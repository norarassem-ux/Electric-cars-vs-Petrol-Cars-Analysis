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ourhan.rassem\Desktop\"/>
    </mc:Choice>
  </mc:AlternateContent>
  <xr:revisionPtr revIDLastSave="0" documentId="13_ncr:1_{25DE03BA-3BBF-4551-A43F-0120749514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graphs" sheetId="5" r:id="rId1"/>
    <sheet name="fact_vehicle_sales" sheetId="1" r:id="rId2"/>
    <sheet name="dim_country" sheetId="2" r:id="rId3"/>
    <sheet name="dim_date" sheetId="3" r:id="rId4"/>
    <sheet name="dim_vehicle" sheetId="4" r:id="rId5"/>
  </sheets>
  <definedNames>
    <definedName name="_xlcn.WorksheetConnection_data_modeling_output_v2.xlsxTable11" hidden="1">Table1[]</definedName>
    <definedName name="_xlcn.WorksheetConnection_data_modeling_output_v2.xlsxTable21" hidden="1">Table2[]</definedName>
    <definedName name="_xlcn.WorksheetConnection_data_modeling_output_v2.xlsxTable31" hidden="1">Table3[]</definedName>
    <definedName name="_xlcn.WorksheetConnection_data_modeling_output_v2.xlsxTable41" hidden="1">Table4[]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Table4" name="Fact_table" connection="WorksheetConnection_data_modeling_output_v2.xlsx!Table4"/>
          <x15:modelTable id="Table3" name="Vehicle_Dim" connection="WorksheetConnection_data_modeling_output_v2.xlsx!Table3"/>
          <x15:modelTable id="Table2" name="Country_Dim" connection="WorksheetConnection_data_modeling_output_v2.xlsx!Table2"/>
          <x15:modelTable id="Table1" name="Date_Dim" connection="WorksheetConnection_data_modeling_output_v2.xlsx!Table1"/>
        </x15:modelTables>
        <x15:modelRelationships>
          <x15:modelRelationship fromTable="Fact_table" fromColumn="Counrty_ID" toTable="Country_Dim" toColumn="country_id"/>
          <x15:modelRelationship fromTable="Fact_table" fromColumn="Year_ID" toTable="Date_Dim" toColumn="year_id"/>
          <x15:modelRelationship fromTable="Fact_table" fromColumn="Vichicle_ID" toTable="Vehicle_Dim" toColumn="vehicle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s="1"/>
  <c r="H3" i="1" a="1"/>
  <c r="H3" i="1" s="1"/>
  <c r="H4" i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 s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 s="1"/>
  <c r="H56" i="1" a="1"/>
  <c r="H56" i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 s="1"/>
  <c r="H65" i="1" a="1"/>
  <c r="H65" i="1" s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 s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 s="1"/>
  <c r="H95" i="1" a="1"/>
  <c r="H95" i="1" s="1"/>
  <c r="H96" i="1" a="1"/>
  <c r="H96" i="1"/>
  <c r="H97" i="1" a="1"/>
  <c r="H97" i="1" s="1"/>
  <c r="H98" i="1" a="1"/>
  <c r="H98" i="1" s="1"/>
  <c r="H99" i="1" a="1"/>
  <c r="H99" i="1" s="1"/>
  <c r="H100" i="1" a="1"/>
  <c r="H100" i="1" s="1"/>
  <c r="H101" i="1" a="1"/>
  <c r="H101" i="1" s="1"/>
  <c r="H102" i="1" a="1"/>
  <c r="H102" i="1" s="1"/>
  <c r="H103" i="1" a="1"/>
  <c r="H103" i="1" s="1"/>
  <c r="H104" i="1" a="1"/>
  <c r="H104" i="1"/>
  <c r="H105" i="1" a="1"/>
  <c r="H105" i="1" s="1"/>
  <c r="H106" i="1" a="1"/>
  <c r="H106" i="1" s="1"/>
  <c r="H107" i="1" a="1"/>
  <c r="H107" i="1" s="1"/>
  <c r="H108" i="1" a="1"/>
  <c r="H108" i="1" s="1"/>
  <c r="H109" i="1" a="1"/>
  <c r="H109" i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 s="1"/>
  <c r="H140" i="1" a="1"/>
  <c r="H140" i="1" s="1"/>
  <c r="H141" i="1" a="1"/>
  <c r="H141" i="1" s="1"/>
  <c r="H142" i="1" a="1"/>
  <c r="H142" i="1" s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/>
  <c r="H153" i="1" a="1"/>
  <c r="H153" i="1" s="1"/>
  <c r="H154" i="1" a="1"/>
  <c r="H154" i="1" s="1"/>
  <c r="H155" i="1" a="1"/>
  <c r="H155" i="1" s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 s="1"/>
  <c r="H179" i="1" a="1"/>
  <c r="H179" i="1" s="1"/>
  <c r="H180" i="1" a="1"/>
  <c r="H180" i="1" s="1"/>
  <c r="H181" i="1" a="1"/>
  <c r="H181" i="1"/>
  <c r="H182" i="1" a="1"/>
  <c r="H182" i="1" s="1"/>
  <c r="H183" i="1" a="1"/>
  <c r="H183" i="1" s="1"/>
  <c r="H184" i="1" a="1"/>
  <c r="H184" i="1" s="1"/>
  <c r="H185" i="1" a="1"/>
  <c r="H185" i="1" s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 s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 s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 s="1"/>
  <c r="H295" i="1" a="1"/>
  <c r="H295" i="1" s="1"/>
  <c r="H296" i="1" a="1"/>
  <c r="H296" i="1"/>
  <c r="H297" i="1" a="1"/>
  <c r="H297" i="1" s="1"/>
  <c r="H298" i="1" a="1"/>
  <c r="H298" i="1" s="1"/>
  <c r="H299" i="1" a="1"/>
  <c r="H299" i="1" s="1"/>
  <c r="H300" i="1" a="1"/>
  <c r="H300" i="1" s="1"/>
  <c r="H301" i="1" a="1"/>
  <c r="H301" i="1"/>
  <c r="H302" i="1" a="1"/>
  <c r="H302" i="1" s="1"/>
  <c r="H303" i="1" a="1"/>
  <c r="H303" i="1" s="1"/>
  <c r="H304" i="1" a="1"/>
  <c r="H304" i="1" s="1"/>
  <c r="H305" i="1" a="1"/>
  <c r="H305" i="1" s="1"/>
  <c r="H306" i="1" a="1"/>
  <c r="H306" i="1" s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 s="1"/>
  <c r="H323" i="1" a="1"/>
  <c r="H323" i="1" s="1"/>
  <c r="H324" i="1" a="1"/>
  <c r="H324" i="1" s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 s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 s="1"/>
  <c r="H357" i="1" a="1"/>
  <c r="H357" i="1" s="1"/>
  <c r="H358" i="1" a="1"/>
  <c r="H358" i="1" s="1"/>
  <c r="H359" i="1" a="1"/>
  <c r="H359" i="1" s="1"/>
  <c r="H360" i="1" a="1"/>
  <c r="H360" i="1" s="1"/>
  <c r="H361" i="1" a="1"/>
  <c r="H361" i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/>
  <c r="H388" i="1" a="1"/>
  <c r="H388" i="1" s="1"/>
  <c r="H389" i="1" a="1"/>
  <c r="H389" i="1" s="1"/>
  <c r="H390" i="1" a="1"/>
  <c r="H390" i="1" s="1"/>
  <c r="H391" i="1" a="1"/>
  <c r="H391" i="1"/>
  <c r="H392" i="1" a="1"/>
  <c r="H392" i="1" s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 s="1"/>
  <c r="H412" i="1" a="1"/>
  <c r="H412" i="1" s="1"/>
  <c r="H413" i="1" a="1"/>
  <c r="H413" i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 s="1"/>
  <c r="H423" i="1" a="1"/>
  <c r="H423" i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 s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/>
  <c r="H474" i="1" a="1"/>
  <c r="H474" i="1" s="1"/>
  <c r="H475" i="1" a="1"/>
  <c r="H475" i="1" s="1"/>
  <c r="H476" i="1" a="1"/>
  <c r="H476" i="1" s="1"/>
  <c r="H477" i="1" a="1"/>
  <c r="H477" i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 s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/>
  <c r="H506" i="1" a="1"/>
  <c r="H506" i="1" s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/>
  <c r="H533" i="1" a="1"/>
  <c r="H533" i="1" s="1"/>
  <c r="H534" i="1" a="1"/>
  <c r="H534" i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/>
  <c r="H565" i="1" a="1"/>
  <c r="H565" i="1" s="1"/>
  <c r="H566" i="1" a="1"/>
  <c r="H566" i="1"/>
  <c r="H567" i="1" a="1"/>
  <c r="H567" i="1" s="1"/>
  <c r="H568" i="1" a="1"/>
  <c r="H568" i="1" s="1"/>
  <c r="H569" i="1" a="1"/>
  <c r="H569" i="1" s="1"/>
  <c r="H570" i="1" a="1"/>
  <c r="H570" i="1" s="1"/>
  <c r="H571" i="1" a="1"/>
  <c r="H571" i="1" s="1"/>
  <c r="H572" i="1" a="1"/>
  <c r="H572" i="1" s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 s="1"/>
  <c r="H581" i="1" a="1"/>
  <c r="H581" i="1" s="1"/>
  <c r="H582" i="1" a="1"/>
  <c r="H582" i="1" s="1"/>
  <c r="H583" i="1" a="1"/>
  <c r="H583" i="1" s="1"/>
  <c r="H584" i="1" a="1"/>
  <c r="H584" i="1" s="1"/>
  <c r="H585" i="1" a="1"/>
  <c r="H585" i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 s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 s="1"/>
  <c r="H615" i="1" a="1"/>
  <c r="H615" i="1" s="1"/>
  <c r="H616" i="1" a="1"/>
  <c r="H616" i="1" s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 s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 s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 s="1"/>
  <c r="H685" i="1" a="1"/>
  <c r="H685" i="1" s="1"/>
  <c r="H686" i="1" a="1"/>
  <c r="H686" i="1" s="1"/>
  <c r="H687" i="1" a="1"/>
  <c r="H687" i="1" s="1"/>
  <c r="H688" i="1" a="1"/>
  <c r="H688" i="1" s="1"/>
  <c r="H689" i="1" a="1"/>
  <c r="H689" i="1" s="1"/>
  <c r="H690" i="1" a="1"/>
  <c r="H690" i="1" s="1"/>
  <c r="H691" i="1" a="1"/>
  <c r="H691" i="1" s="1"/>
  <c r="H692" i="1" a="1"/>
  <c r="H692" i="1" s="1"/>
  <c r="H693" i="1" a="1"/>
  <c r="H693" i="1" s="1"/>
  <c r="H694" i="1" a="1"/>
  <c r="H694" i="1" s="1"/>
  <c r="H695" i="1" a="1"/>
  <c r="H695" i="1" s="1"/>
  <c r="H696" i="1" a="1"/>
  <c r="H696" i="1"/>
  <c r="H697" i="1" a="1"/>
  <c r="H697" i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 s="1"/>
  <c r="H711" i="1" a="1"/>
  <c r="H711" i="1" s="1"/>
  <c r="H712" i="1" a="1"/>
  <c r="H712" i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 s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/>
  <c r="H761" i="1" a="1"/>
  <c r="H761" i="1" s="1"/>
  <c r="H762" i="1" a="1"/>
  <c r="H762" i="1" s="1"/>
  <c r="H763" i="1" a="1"/>
  <c r="H763" i="1" s="1"/>
  <c r="H764" i="1" a="1"/>
  <c r="H764" i="1" s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/>
  <c r="H825" i="1" a="1"/>
  <c r="H825" i="1"/>
  <c r="H826" i="1" a="1"/>
  <c r="H826" i="1" s="1"/>
  <c r="H827" i="1" a="1"/>
  <c r="H827" i="1" s="1"/>
  <c r="H828" i="1" a="1"/>
  <c r="H828" i="1" s="1"/>
  <c r="H829" i="1" a="1"/>
  <c r="H829" i="1" s="1"/>
  <c r="H830" i="1" a="1"/>
  <c r="H830" i="1" s="1"/>
  <c r="H831" i="1" a="1"/>
  <c r="H831" i="1" s="1"/>
  <c r="H832" i="1" a="1"/>
  <c r="H832" i="1" s="1"/>
  <c r="H833" i="1" a="1"/>
  <c r="H833" i="1" s="1"/>
  <c r="H834" i="1" a="1"/>
  <c r="H834" i="1" s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 s="1"/>
  <c r="H851" i="1" a="1"/>
  <c r="H851" i="1"/>
  <c r="H852" i="1" a="1"/>
  <c r="H852" i="1" s="1"/>
  <c r="H853" i="1" a="1"/>
  <c r="H853" i="1" s="1"/>
  <c r="H854" i="1" a="1"/>
  <c r="H854" i="1"/>
  <c r="H855" i="1" a="1"/>
  <c r="H855" i="1" s="1"/>
  <c r="H856" i="1" a="1"/>
  <c r="H856" i="1" s="1"/>
  <c r="H857" i="1" a="1"/>
  <c r="H857" i="1"/>
  <c r="H858" i="1" a="1"/>
  <c r="H858" i="1" s="1"/>
  <c r="H859" i="1" a="1"/>
  <c r="H859" i="1" s="1"/>
  <c r="H860" i="1" a="1"/>
  <c r="H860" i="1" s="1"/>
  <c r="H861" i="1" a="1"/>
  <c r="H861" i="1"/>
  <c r="H862" i="1" a="1"/>
  <c r="H862" i="1" s="1"/>
  <c r="H863" i="1" a="1"/>
  <c r="H863" i="1" s="1"/>
  <c r="H864" i="1" a="1"/>
  <c r="H864" i="1" s="1"/>
  <c r="H865" i="1" a="1"/>
  <c r="H865" i="1"/>
  <c r="H866" i="1" a="1"/>
  <c r="H866" i="1"/>
  <c r="H867" i="1" a="1"/>
  <c r="H867" i="1"/>
  <c r="H868" i="1" a="1"/>
  <c r="H868" i="1" s="1"/>
  <c r="H869" i="1" a="1"/>
  <c r="H869" i="1" s="1"/>
  <c r="H870" i="1" a="1"/>
  <c r="H870" i="1"/>
  <c r="H871" i="1" a="1"/>
  <c r="H871" i="1" s="1"/>
  <c r="H872" i="1" a="1"/>
  <c r="H872" i="1" s="1"/>
  <c r="H873" i="1" a="1"/>
  <c r="H873" i="1" s="1"/>
  <c r="H874" i="1" a="1"/>
  <c r="H874" i="1" s="1"/>
  <c r="H875" i="1" a="1"/>
  <c r="H875" i="1"/>
  <c r="H876" i="1" a="1"/>
  <c r="H876" i="1" s="1"/>
  <c r="H877" i="1" a="1"/>
  <c r="H877" i="1"/>
  <c r="H878" i="1" a="1"/>
  <c r="H878" i="1" s="1"/>
  <c r="H879" i="1" a="1"/>
  <c r="H879" i="1" s="1"/>
  <c r="H880" i="1" a="1"/>
  <c r="H880" i="1" s="1"/>
  <c r="H881" i="1" a="1"/>
  <c r="H881" i="1"/>
  <c r="H882" i="1" a="1"/>
  <c r="H882" i="1" s="1"/>
  <c r="H883" i="1" a="1"/>
  <c r="H883" i="1" s="1"/>
  <c r="H884" i="1" a="1"/>
  <c r="H884" i="1" s="1"/>
  <c r="H885" i="1" a="1"/>
  <c r="H885" i="1" s="1"/>
  <c r="H886" i="1" a="1"/>
  <c r="H886" i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/>
  <c r="H911" i="1" a="1"/>
  <c r="H911" i="1" s="1"/>
  <c r="H912" i="1" a="1"/>
  <c r="H912" i="1" s="1"/>
  <c r="H913" i="1" a="1"/>
  <c r="H913" i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/>
  <c r="H930" i="1" a="1"/>
  <c r="H930" i="1" s="1"/>
  <c r="H931" i="1" a="1"/>
  <c r="H931" i="1" s="1"/>
  <c r="H932" i="1" a="1"/>
  <c r="H932" i="1" s="1"/>
  <c r="H933" i="1" a="1"/>
  <c r="H933" i="1"/>
  <c r="H934" i="1" a="1"/>
  <c r="H934" i="1" s="1"/>
  <c r="H935" i="1" a="1"/>
  <c r="H935" i="1" s="1"/>
  <c r="H936" i="1" a="1"/>
  <c r="H936" i="1" s="1"/>
  <c r="H937" i="1" a="1"/>
  <c r="H937" i="1" s="1"/>
  <c r="H938" i="1" a="1"/>
  <c r="H938" i="1"/>
  <c r="H939" i="1" a="1"/>
  <c r="H939" i="1" s="1"/>
  <c r="H940" i="1" a="1"/>
  <c r="H940" i="1" s="1"/>
  <c r="H941" i="1" a="1"/>
  <c r="H941" i="1" s="1"/>
  <c r="H942" i="1" a="1"/>
  <c r="H942" i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/>
  <c r="H959" i="1" a="1"/>
  <c r="H959" i="1" s="1"/>
  <c r="H960" i="1" a="1"/>
  <c r="H960" i="1" s="1"/>
  <c r="H961" i="1" a="1"/>
  <c r="H961" i="1" s="1"/>
  <c r="H962" i="1" a="1"/>
  <c r="H962" i="1" s="1"/>
  <c r="H963" i="1" a="1"/>
  <c r="H963" i="1" s="1"/>
  <c r="H964" i="1" a="1"/>
  <c r="H964" i="1" s="1"/>
  <c r="H965" i="1" a="1"/>
  <c r="H965" i="1"/>
  <c r="H966" i="1" a="1"/>
  <c r="H966" i="1" s="1"/>
  <c r="H967" i="1" a="1"/>
  <c r="H967" i="1" s="1"/>
  <c r="H968" i="1" a="1"/>
  <c r="H968" i="1" s="1"/>
  <c r="H969" i="1" a="1"/>
  <c r="H969" i="1" s="1"/>
  <c r="H970" i="1" a="1"/>
  <c r="H970" i="1"/>
  <c r="H971" i="1" a="1"/>
  <c r="H971" i="1" s="1"/>
  <c r="H972" i="1" a="1"/>
  <c r="H972" i="1" s="1"/>
  <c r="H973" i="1" a="1"/>
  <c r="H973" i="1" s="1"/>
  <c r="H974" i="1" a="1"/>
  <c r="H974" i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/>
  <c r="H982" i="1" a="1"/>
  <c r="H982" i="1" s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/>
  <c r="H998" i="1" a="1"/>
  <c r="H998" i="1" s="1"/>
  <c r="H999" i="1" a="1"/>
  <c r="H999" i="1" s="1"/>
  <c r="H1000" i="1" a="1"/>
  <c r="H1000" i="1" s="1"/>
  <c r="H1001" i="1" a="1"/>
  <c r="H1001" i="1" s="1"/>
  <c r="H1002" i="1" a="1"/>
  <c r="H1002" i="1"/>
  <c r="H1003" i="1" a="1"/>
  <c r="H1003" i="1" s="1"/>
  <c r="H1004" i="1" a="1"/>
  <c r="H1004" i="1" s="1"/>
  <c r="H1005" i="1" a="1"/>
  <c r="H1005" i="1" s="1"/>
  <c r="H1006" i="1" a="1"/>
  <c r="H1006" i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/>
  <c r="H1014" i="1" a="1"/>
  <c r="H1014" i="1" s="1"/>
  <c r="H1015" i="1" a="1"/>
  <c r="H1015" i="1" s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/>
  <c r="H1030" i="1" a="1"/>
  <c r="H1030" i="1" s="1"/>
  <c r="H1031" i="1" a="1"/>
  <c r="H1031" i="1" s="1"/>
  <c r="H1032" i="1" a="1"/>
  <c r="H1032" i="1" s="1"/>
  <c r="H1033" i="1" a="1"/>
  <c r="H1033" i="1" s="1"/>
  <c r="H1034" i="1" a="1"/>
  <c r="H1034" i="1"/>
  <c r="H1035" i="1" a="1"/>
  <c r="H1035" i="1" s="1"/>
  <c r="H1036" i="1" a="1"/>
  <c r="H1036" i="1" s="1"/>
  <c r="H1037" i="1" a="1"/>
  <c r="H1037" i="1" s="1"/>
  <c r="H1038" i="1" a="1"/>
  <c r="H1038" i="1"/>
  <c r="H1039" i="1" a="1"/>
  <c r="H1039" i="1" s="1"/>
  <c r="H1040" i="1" a="1"/>
  <c r="H1040" i="1" s="1"/>
  <c r="H1041" i="1" a="1"/>
  <c r="H1041" i="1" s="1"/>
  <c r="H1042" i="1" a="1"/>
  <c r="H1042" i="1" s="1"/>
  <c r="H1043" i="1" a="1"/>
  <c r="H1043" i="1" s="1"/>
  <c r="H1044" i="1" a="1"/>
  <c r="H1044" i="1" s="1"/>
  <c r="H1045" i="1" a="1"/>
  <c r="H1045" i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 s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 s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 s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 s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95B6E6-0EFF-4CC0-A302-143B2916E5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648150C-4FB4-485A-8F4B-35517909C805}" name="WorksheetConnection_data_modeling_output_v2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data_modeling_output_v2.xlsxTable11"/>
        </x15:connection>
      </ext>
    </extLst>
  </connection>
  <connection id="3" xr16:uid="{ED83FB56-000B-4C57-A25D-52B4B72CAFEA}" name="WorksheetConnection_data_modeling_output_v2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data_modeling_output_v2.xlsxTable21"/>
        </x15:connection>
      </ext>
    </extLst>
  </connection>
  <connection id="4" xr16:uid="{F384D4E5-657E-4B71-A913-B7CE00412D3D}" name="WorksheetConnection_data_modeling_output_v2.xlsx!Table3" type="102" refreshedVersion="8" minRefreshableVersion="5">
    <extLst>
      <ext xmlns:x15="http://schemas.microsoft.com/office/spreadsheetml/2010/11/main" uri="{DE250136-89BD-433C-8126-D09CA5730AF9}">
        <x15:connection id="Table3">
          <x15:rangePr sourceName="_xlcn.WorksheetConnection_data_modeling_output_v2.xlsxTable31"/>
        </x15:connection>
      </ext>
    </extLst>
  </connection>
  <connection id="5" xr16:uid="{3E9641F9-366E-47DA-97EC-4F5A076A5781}" name="WorksheetConnection_data_modeling_output_v2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data_modeling_output_v2.xlsxTable4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<sst xmlns="http://schemas.openxmlformats.org/spreadsheetml/2006/main" count="4983" uniqueCount="81">
  <si>
    <t>country</t>
  </si>
  <si>
    <t>region</t>
  </si>
  <si>
    <t>year</t>
  </si>
  <si>
    <t>vehicle_segment</t>
  </si>
  <si>
    <t>powertrain_type</t>
  </si>
  <si>
    <t>ev_sales</t>
  </si>
  <si>
    <t>petrol_car_sales</t>
  </si>
  <si>
    <t>diesel_car_sales</t>
  </si>
  <si>
    <t>total_vehicle_sales</t>
  </si>
  <si>
    <t>ev_market_share</t>
  </si>
  <si>
    <t>charging_stations</t>
  </si>
  <si>
    <t>fast_chargers_share</t>
  </si>
  <si>
    <t>avg_ev_range_km</t>
  </si>
  <si>
    <t>fuel_price_usd_per_liter</t>
  </si>
  <si>
    <t>electricity_price_usd_per_kwh</t>
  </si>
  <si>
    <t>gdp_per_capita</t>
  </si>
  <si>
    <t>urban_population_percent</t>
  </si>
  <si>
    <t>co2_emissions_transport_mt</t>
  </si>
  <si>
    <t>ev_subsidy_usd</t>
  </si>
  <si>
    <t>emission_regulation_score</t>
  </si>
  <si>
    <t>ev_growth_rate_yoy</t>
  </si>
  <si>
    <t>is_ev_dominant</t>
  </si>
  <si>
    <t>country_id</t>
  </si>
  <si>
    <t>year_id</t>
  </si>
  <si>
    <t>vehicle_id</t>
  </si>
  <si>
    <t>Australia</t>
  </si>
  <si>
    <t>Oceania</t>
  </si>
  <si>
    <t>commercial</t>
  </si>
  <si>
    <t>ICE</t>
  </si>
  <si>
    <t>mass_market</t>
  </si>
  <si>
    <t>premium</t>
  </si>
  <si>
    <t>Austria</t>
  </si>
  <si>
    <t>Europe</t>
  </si>
  <si>
    <t>Belgium</t>
  </si>
  <si>
    <t>BEV</t>
  </si>
  <si>
    <t>Brazil</t>
  </si>
  <si>
    <t>South America</t>
  </si>
  <si>
    <t>Canada</t>
  </si>
  <si>
    <t>North America</t>
  </si>
  <si>
    <t>China</t>
  </si>
  <si>
    <t>APAC</t>
  </si>
  <si>
    <t>France</t>
  </si>
  <si>
    <t>Germany</t>
  </si>
  <si>
    <t>India</t>
  </si>
  <si>
    <t>Indonesia</t>
  </si>
  <si>
    <t>Italy</t>
  </si>
  <si>
    <t>Japan</t>
  </si>
  <si>
    <t>Mexico</t>
  </si>
  <si>
    <t>Netherlands</t>
  </si>
  <si>
    <t>Norway</t>
  </si>
  <si>
    <t>Poland</t>
  </si>
  <si>
    <t>Portugal</t>
  </si>
  <si>
    <t>South Korea</t>
  </si>
  <si>
    <t>Spain</t>
  </si>
  <si>
    <t>Sweden</t>
  </si>
  <si>
    <t>Switzerland</t>
  </si>
  <si>
    <t>Thailand</t>
  </si>
  <si>
    <t>Turkey</t>
  </si>
  <si>
    <t>United Kingdom</t>
  </si>
  <si>
    <t>United States</t>
  </si>
  <si>
    <t>Counrty_ID</t>
  </si>
  <si>
    <t>Year_ID</t>
  </si>
  <si>
    <t>Vichicle_ID</t>
  </si>
  <si>
    <t>Row Labels</t>
  </si>
  <si>
    <t>(blank)</t>
  </si>
  <si>
    <t>Grand Total</t>
  </si>
  <si>
    <t>(All)</t>
  </si>
  <si>
    <t>Column Labels</t>
  </si>
  <si>
    <t>Sum of charging_stations</t>
  </si>
  <si>
    <t>Sum of fuel_price_usd_per_liter</t>
  </si>
  <si>
    <t>Sum of electricity_price_usd_per_kwh</t>
  </si>
  <si>
    <t>Sum of co2_emissions_transport_mt</t>
  </si>
  <si>
    <t>Sum of emission_regulation_score</t>
  </si>
  <si>
    <t>Sum of ev_sales</t>
  </si>
  <si>
    <t>graph showing that co2 emissions rate affected by the ev share,decreased</t>
  </si>
  <si>
    <t>countries that have the largest ev margin</t>
  </si>
  <si>
    <t>comaprison bet fuel price to electricity price showing that while fuel prices increase the electricity prices keep the same through years</t>
  </si>
  <si>
    <t>Average of fuel_price_usd_per_liter</t>
  </si>
  <si>
    <t>fuel price through years by country</t>
  </si>
  <si>
    <t xml:space="preserve">rate of the ev market </t>
  </si>
  <si>
    <t xml:space="preserve"> charging_stations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</si>
</sst>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" xfId="0" builtinId="0"/>
  </cellStyles>
  <dxfs count="1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8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graphs!$B$3</c:f>
              <c:strCache>
                <c:ptCount val="1"/>
                <c:pt idx="0">
                  <c:v>Sum of fuel_price_usd_per_liter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graphs!$A$4:$A$21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(blank)</c:v>
                </c:pt>
              </c:strCache>
            </c:strRef>
          </c:cat>
          <c:val>
            <c:numRef>
              <c:f>graphs!$B$4:$B$21</c:f>
              <c:numCache>
                <c:formatCode>General</c:formatCode>
                <c:ptCount val="17"/>
                <c:pt idx="0">
                  <c:v>93.878700000000052</c:v>
                </c:pt>
                <c:pt idx="1">
                  <c:v>92.255700000000033</c:v>
                </c:pt>
                <c:pt idx="2">
                  <c:v>90.881699999999995</c:v>
                </c:pt>
                <c:pt idx="3">
                  <c:v>89.360700000000051</c:v>
                </c:pt>
                <c:pt idx="4">
                  <c:v>88.265999999999977</c:v>
                </c:pt>
                <c:pt idx="5">
                  <c:v>88.077000000000098</c:v>
                </c:pt>
                <c:pt idx="6">
                  <c:v>89.246999999999986</c:v>
                </c:pt>
                <c:pt idx="7">
                  <c:v>91.029000000000025</c:v>
                </c:pt>
                <c:pt idx="8">
                  <c:v>93.212999999999965</c:v>
                </c:pt>
                <c:pt idx="9">
                  <c:v>98.03400000000002</c:v>
                </c:pt>
                <c:pt idx="10">
                  <c:v>106.11300000000004</c:v>
                </c:pt>
                <c:pt idx="11">
                  <c:v>116.43600000000001</c:v>
                </c:pt>
                <c:pt idx="12">
                  <c:v>121.69499999999989</c:v>
                </c:pt>
                <c:pt idx="13">
                  <c:v>122.05200000000005</c:v>
                </c:pt>
                <c:pt idx="14">
                  <c:v>117.58800000000001</c:v>
                </c:pt>
                <c:pt idx="15">
                  <c:v>112.56000000000007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0-494B-81C4-3946A2EF7940}"/>
            </c:ext>
          </c:extLst>
        </c:ser>
        <c:ser>
          <c:idx val="1"/>
          <c:order val="1"/>
          <c:tx>
            <c:strRef>
              <c:f>graphs!$C$3</c:f>
              <c:strCache>
                <c:ptCount val="1"/>
                <c:pt idx="0">
                  <c:v>Sum of electricity_price_usd_per_kwh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graphs!$A$4:$A$21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(blank)</c:v>
                </c:pt>
              </c:strCache>
            </c:strRef>
          </c:cat>
          <c:val>
            <c:numRef>
              <c:f>graphs!$C$4:$C$21</c:f>
              <c:numCache>
                <c:formatCode>General</c:formatCode>
                <c:ptCount val="17"/>
                <c:pt idx="0">
                  <c:v>10.478969999999995</c:v>
                </c:pt>
                <c:pt idx="1">
                  <c:v>10.748970000000011</c:v>
                </c:pt>
                <c:pt idx="2">
                  <c:v>10.994970000000006</c:v>
                </c:pt>
                <c:pt idx="3">
                  <c:v>11.288969999999997</c:v>
                </c:pt>
                <c:pt idx="4">
                  <c:v>11.561999999999996</c:v>
                </c:pt>
                <c:pt idx="5">
                  <c:v>11.786999999999995</c:v>
                </c:pt>
                <c:pt idx="6">
                  <c:v>11.910000000000002</c:v>
                </c:pt>
                <c:pt idx="7">
                  <c:v>12.036000000000003</c:v>
                </c:pt>
                <c:pt idx="8">
                  <c:v>12.159000000000013</c:v>
                </c:pt>
                <c:pt idx="9">
                  <c:v>12.309000000000005</c:v>
                </c:pt>
                <c:pt idx="10">
                  <c:v>12.981000000000005</c:v>
                </c:pt>
                <c:pt idx="11">
                  <c:v>14.141999999999999</c:v>
                </c:pt>
                <c:pt idx="12">
                  <c:v>15.168240000000004</c:v>
                </c:pt>
                <c:pt idx="13">
                  <c:v>15.516239999999987</c:v>
                </c:pt>
                <c:pt idx="14">
                  <c:v>15.303000000000003</c:v>
                </c:pt>
                <c:pt idx="15">
                  <c:v>15.023999999999997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F0-494B-81C4-3946A2EF7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289872"/>
        <c:axId val="1207291312"/>
      </c:barChart>
      <c:catAx>
        <c:axId val="120728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91312"/>
        <c:crosses val="autoZero"/>
        <c:auto val="1"/>
        <c:lblAlgn val="ctr"/>
        <c:lblOffset val="100"/>
        <c:noMultiLvlLbl val="0"/>
      </c:catAx>
      <c:valAx>
        <c:axId val="120729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28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modeling.xlsx]graphs!PivotTable2</c:name>
    <c:fmtId val="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graphs!$B$25</c:f>
              <c:strCache>
                <c:ptCount val="1"/>
                <c:pt idx="0">
                  <c:v>Sum of co2_emissions_transport_mt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graphs!$A$26:$A$43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(blank)</c:v>
                </c:pt>
              </c:strCache>
            </c:strRef>
          </c:cat>
          <c:val>
            <c:numRef>
              <c:f>graphs!$B$26:$B$43</c:f>
              <c:numCache>
                <c:formatCode>General</c:formatCode>
                <c:ptCount val="17"/>
                <c:pt idx="0">
                  <c:v>13255.500000000002</c:v>
                </c:pt>
                <c:pt idx="1">
                  <c:v>13475.400000000001</c:v>
                </c:pt>
                <c:pt idx="2">
                  <c:v>13766.400000000001</c:v>
                </c:pt>
                <c:pt idx="3">
                  <c:v>14018.699999999995</c:v>
                </c:pt>
                <c:pt idx="4">
                  <c:v>14280.000000000009</c:v>
                </c:pt>
                <c:pt idx="5">
                  <c:v>14546.099999999999</c:v>
                </c:pt>
                <c:pt idx="6">
                  <c:v>14840.099999999997</c:v>
                </c:pt>
                <c:pt idx="7">
                  <c:v>15153.300000000001</c:v>
                </c:pt>
                <c:pt idx="8">
                  <c:v>15357</c:v>
                </c:pt>
                <c:pt idx="9">
                  <c:v>14862.300000000007</c:v>
                </c:pt>
                <c:pt idx="10">
                  <c:v>14437.500000000005</c:v>
                </c:pt>
                <c:pt idx="11">
                  <c:v>14213.400000000003</c:v>
                </c:pt>
                <c:pt idx="12">
                  <c:v>14417.100000000009</c:v>
                </c:pt>
                <c:pt idx="13">
                  <c:v>14435.400000000003</c:v>
                </c:pt>
                <c:pt idx="14">
                  <c:v>14096.699999999999</c:v>
                </c:pt>
                <c:pt idx="15">
                  <c:v>13849.500000000002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B-49B4-8341-17BD6E5B2D66}"/>
            </c:ext>
          </c:extLst>
        </c:ser>
        <c:ser>
          <c:idx val="1"/>
          <c:order val="1"/>
          <c:tx>
            <c:strRef>
              <c:f>graphs!$C$25</c:f>
              <c:strCache>
                <c:ptCount val="1"/>
                <c:pt idx="0">
                  <c:v>Sum of emission_regulation_score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graphs!$A$26:$A$43</c:f>
              <c:strCache>
                <c:ptCount val="17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  <c:pt idx="15">
                  <c:v>2025</c:v>
                </c:pt>
                <c:pt idx="16">
                  <c:v>(blank)</c:v>
                </c:pt>
              </c:strCache>
            </c:strRef>
          </c:cat>
          <c:val>
            <c:numRef>
              <c:f>graphs!$C$26:$C$43</c:f>
              <c:numCache>
                <c:formatCode>General</c:formatCode>
                <c:ptCount val="17"/>
                <c:pt idx="0">
                  <c:v>3213.5040000000008</c:v>
                </c:pt>
                <c:pt idx="1">
                  <c:v>3321.8520000000003</c:v>
                </c:pt>
                <c:pt idx="2">
                  <c:v>3443.6519999999987</c:v>
                </c:pt>
                <c:pt idx="3">
                  <c:v>3596.1000000000004</c:v>
                </c:pt>
                <c:pt idx="4">
                  <c:v>3716.7000000000007</c:v>
                </c:pt>
                <c:pt idx="5">
                  <c:v>3853.7999999999997</c:v>
                </c:pt>
                <c:pt idx="6">
                  <c:v>4039.5000000000009</c:v>
                </c:pt>
                <c:pt idx="7">
                  <c:v>4255.8</c:v>
                </c:pt>
                <c:pt idx="8">
                  <c:v>4430.7</c:v>
                </c:pt>
                <c:pt idx="9">
                  <c:v>4626.6000000000013</c:v>
                </c:pt>
                <c:pt idx="10">
                  <c:v>4840.4999999999991</c:v>
                </c:pt>
                <c:pt idx="11">
                  <c:v>5023.8000000000029</c:v>
                </c:pt>
                <c:pt idx="12">
                  <c:v>5253.9059999999963</c:v>
                </c:pt>
                <c:pt idx="13">
                  <c:v>5433.8999999999978</c:v>
                </c:pt>
                <c:pt idx="14">
                  <c:v>5619.0060000000003</c:v>
                </c:pt>
                <c:pt idx="15">
                  <c:v>5844.9120000000003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B-49B4-8341-17BD6E5B2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552720"/>
        <c:axId val="1584561840"/>
      </c:lineChart>
      <c:catAx>
        <c:axId val="158455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61840"/>
        <c:crosses val="autoZero"/>
        <c:auto val="1"/>
        <c:lblAlgn val="ctr"/>
        <c:lblOffset val="100"/>
        <c:noMultiLvlLbl val="0"/>
      </c:catAx>
      <c:valAx>
        <c:axId val="158456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55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graphs!$B$47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graphs!$A$48:$A$74</c:f>
              <c:strCache>
                <c:ptCount val="26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China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Indonesia</c:v>
                </c:pt>
                <c:pt idx="10">
                  <c:v>Italy</c:v>
                </c:pt>
                <c:pt idx="11">
                  <c:v>Japan</c:v>
                </c:pt>
                <c:pt idx="12">
                  <c:v>Mexico</c:v>
                </c:pt>
                <c:pt idx="13">
                  <c:v>Netherlands</c:v>
                </c:pt>
                <c:pt idx="14">
                  <c:v>Norway</c:v>
                </c:pt>
                <c:pt idx="15">
                  <c:v>Poland</c:v>
                </c:pt>
                <c:pt idx="16">
                  <c:v>Portugal</c:v>
                </c:pt>
                <c:pt idx="17">
                  <c:v>South Korea</c:v>
                </c:pt>
                <c:pt idx="18">
                  <c:v>Spain</c:v>
                </c:pt>
                <c:pt idx="19">
                  <c:v>Sweden</c:v>
                </c:pt>
                <c:pt idx="20">
                  <c:v>Switzerland</c:v>
                </c:pt>
                <c:pt idx="21">
                  <c:v>Thailand</c:v>
                </c:pt>
                <c:pt idx="22">
                  <c:v>Turkey</c:v>
                </c:pt>
                <c:pt idx="23">
                  <c:v>United Kingdom</c:v>
                </c:pt>
                <c:pt idx="24">
                  <c:v>United States</c:v>
                </c:pt>
                <c:pt idx="25">
                  <c:v>(blank)</c:v>
                </c:pt>
              </c:strCache>
            </c:strRef>
          </c:cat>
          <c:val>
            <c:numRef>
              <c:f>graphs!$B$48:$B$74</c:f>
              <c:numCache>
                <c:formatCode>General</c:formatCode>
                <c:ptCount val="26"/>
                <c:pt idx="0">
                  <c:v>507897</c:v>
                </c:pt>
                <c:pt idx="1">
                  <c:v>315708</c:v>
                </c:pt>
                <c:pt idx="2">
                  <c:v>618647</c:v>
                </c:pt>
                <c:pt idx="3">
                  <c:v>254703</c:v>
                </c:pt>
                <c:pt idx="4">
                  <c:v>1166676</c:v>
                </c:pt>
                <c:pt idx="5">
                  <c:v>46544667</c:v>
                </c:pt>
                <c:pt idx="6">
                  <c:v>2446101</c:v>
                </c:pt>
                <c:pt idx="7">
                  <c:v>4848735</c:v>
                </c:pt>
                <c:pt idx="8">
                  <c:v>470701</c:v>
                </c:pt>
                <c:pt idx="9">
                  <c:v>103414</c:v>
                </c:pt>
                <c:pt idx="10">
                  <c:v>856622</c:v>
                </c:pt>
                <c:pt idx="11">
                  <c:v>1087957</c:v>
                </c:pt>
                <c:pt idx="12">
                  <c:v>132167</c:v>
                </c:pt>
                <c:pt idx="13">
                  <c:v>820328</c:v>
                </c:pt>
                <c:pt idx="14">
                  <c:v>923061</c:v>
                </c:pt>
                <c:pt idx="15">
                  <c:v>184107</c:v>
                </c:pt>
                <c:pt idx="16">
                  <c:v>262024</c:v>
                </c:pt>
                <c:pt idx="17">
                  <c:v>1140878</c:v>
                </c:pt>
                <c:pt idx="18">
                  <c:v>527789</c:v>
                </c:pt>
                <c:pt idx="19">
                  <c:v>908473</c:v>
                </c:pt>
                <c:pt idx="20">
                  <c:v>358938</c:v>
                </c:pt>
                <c:pt idx="21">
                  <c:v>361898</c:v>
                </c:pt>
                <c:pt idx="22">
                  <c:v>324746</c:v>
                </c:pt>
                <c:pt idx="23">
                  <c:v>2450901</c:v>
                </c:pt>
                <c:pt idx="24">
                  <c:v>8705699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91-49F2-A788-9DBE73720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7297008"/>
        <c:axId val="1597297488"/>
      </c:areaChart>
      <c:catAx>
        <c:axId val="1597297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97488"/>
        <c:crosses val="autoZero"/>
        <c:auto val="1"/>
        <c:lblAlgn val="ctr"/>
        <c:lblOffset val="100"/>
        <c:noMultiLvlLbl val="0"/>
      </c:catAx>
      <c:valAx>
        <c:axId val="159729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297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graphs!$B$77:$B$78</c:f>
              <c:strCache>
                <c:ptCount val="1"/>
                <c:pt idx="0">
                  <c:v>2010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graphs!$B$79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A2-40CF-B1E2-AFA0CA4E8E77}"/>
            </c:ext>
          </c:extLst>
        </c:ser>
        <c:ser>
          <c:idx val="1"/>
          <c:order val="1"/>
          <c:tx>
            <c:strRef>
              <c:f>graphs!$C$77:$C$78</c:f>
              <c:strCache>
                <c:ptCount val="1"/>
                <c:pt idx="0">
                  <c:v>2011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graphs!$C$79</c:f>
              <c:numCache>
                <c:formatCode>General</c:formatCode>
                <c:ptCount val="1"/>
                <c:pt idx="0">
                  <c:v>1.4870000000000001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A2-40CF-B1E2-AFA0CA4E8E77}"/>
            </c:ext>
          </c:extLst>
        </c:ser>
        <c:ser>
          <c:idx val="2"/>
          <c:order val="2"/>
          <c:tx>
            <c:strRef>
              <c:f>graphs!$D$77:$D$78</c:f>
              <c:strCache>
                <c:ptCount val="1"/>
                <c:pt idx="0">
                  <c:v>2012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graphs!$D$79</c:f>
              <c:numCache>
                <c:formatCode>General</c:formatCode>
                <c:ptCount val="1"/>
                <c:pt idx="0">
                  <c:v>1.4630000000000001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A2-40CF-B1E2-AFA0CA4E8E77}"/>
            </c:ext>
          </c:extLst>
        </c:ser>
        <c:ser>
          <c:idx val="3"/>
          <c:order val="3"/>
          <c:tx>
            <c:strRef>
              <c:f>graphs!$E$77:$E$78</c:f>
              <c:strCache>
                <c:ptCount val="1"/>
                <c:pt idx="0">
                  <c:v>2013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graphs!$E$79</c:f>
              <c:numCache>
                <c:formatCode>General</c:formatCode>
                <c:ptCount val="1"/>
                <c:pt idx="0">
                  <c:v>1.413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5A2-40CF-B1E2-AFA0CA4E8E77}"/>
            </c:ext>
          </c:extLst>
        </c:ser>
        <c:ser>
          <c:idx val="4"/>
          <c:order val="4"/>
          <c:tx>
            <c:strRef>
              <c:f>graphs!$F$77:$F$78</c:f>
              <c:strCache>
                <c:ptCount val="1"/>
                <c:pt idx="0">
                  <c:v>2014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graphs!$F$79</c:f>
              <c:numCache>
                <c:formatCode>General</c:formatCode>
                <c:ptCount val="1"/>
                <c:pt idx="0">
                  <c:v>1.383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A2-40CF-B1E2-AFA0CA4E8E77}"/>
            </c:ext>
          </c:extLst>
        </c:ser>
        <c:ser>
          <c:idx val="5"/>
          <c:order val="5"/>
          <c:tx>
            <c:strRef>
              <c:f>graphs!$G$77:$G$78</c:f>
              <c:strCache>
                <c:ptCount val="1"/>
                <c:pt idx="0">
                  <c:v>2015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graphs!$G$79</c:f>
              <c:numCache>
                <c:formatCode>General</c:formatCode>
                <c:ptCount val="1"/>
                <c:pt idx="0">
                  <c:v>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A2-40CF-B1E2-AFA0CA4E8E77}"/>
            </c:ext>
          </c:extLst>
        </c:ser>
        <c:ser>
          <c:idx val="6"/>
          <c:order val="6"/>
          <c:tx>
            <c:strRef>
              <c:f>graphs!$H$77:$H$78</c:f>
              <c:strCache>
                <c:ptCount val="1"/>
                <c:pt idx="0">
                  <c:v>2016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graphs!$H$79</c:f>
              <c:numCache>
                <c:formatCode>General</c:formatCode>
                <c:ptCount val="1"/>
                <c:pt idx="0">
                  <c:v>1.39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5A2-40CF-B1E2-AFA0CA4E8E77}"/>
            </c:ext>
          </c:extLst>
        </c:ser>
        <c:ser>
          <c:idx val="7"/>
          <c:order val="7"/>
          <c:tx>
            <c:strRef>
              <c:f>graphs!$I$77:$I$78</c:f>
              <c:strCache>
                <c:ptCount val="1"/>
                <c:pt idx="0">
                  <c:v>2017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graphs!$I$79</c:f>
              <c:numCache>
                <c:formatCode>General</c:formatCode>
                <c:ptCount val="1"/>
                <c:pt idx="0">
                  <c:v>1.4430000000000003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5A2-40CF-B1E2-AFA0CA4E8E77}"/>
            </c:ext>
          </c:extLst>
        </c:ser>
        <c:ser>
          <c:idx val="8"/>
          <c:order val="8"/>
          <c:tx>
            <c:strRef>
              <c:f>graphs!$J$77:$J$78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graphs!$J$79</c:f>
              <c:numCache>
                <c:formatCode>General</c:formatCode>
                <c:ptCount val="1"/>
                <c:pt idx="0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5A2-40CF-B1E2-AFA0CA4E8E77}"/>
            </c:ext>
          </c:extLst>
        </c:ser>
        <c:ser>
          <c:idx val="9"/>
          <c:order val="9"/>
          <c:tx>
            <c:strRef>
              <c:f>graphs!$K$77:$K$78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graphs!$K$79</c:f>
              <c:numCache>
                <c:formatCode>General</c:formatCode>
                <c:ptCount val="1"/>
                <c:pt idx="0">
                  <c:v>1.587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5A2-40CF-B1E2-AFA0CA4E8E77}"/>
            </c:ext>
          </c:extLst>
        </c:ser>
        <c:ser>
          <c:idx val="10"/>
          <c:order val="10"/>
          <c:tx>
            <c:strRef>
              <c:f>graphs!$L$77:$L$78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graphs!$L$79</c:f>
              <c:numCache>
                <c:formatCode>General</c:formatCode>
                <c:ptCount val="1"/>
                <c:pt idx="0">
                  <c:v>1.7070000000000001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5A2-40CF-B1E2-AFA0CA4E8E77}"/>
            </c:ext>
          </c:extLst>
        </c:ser>
        <c:ser>
          <c:idx val="11"/>
          <c:order val="11"/>
          <c:tx>
            <c:strRef>
              <c:f>graphs!$M$77:$M$78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graphs!$M$79</c:f>
              <c:numCache>
                <c:formatCode>General</c:formatCode>
                <c:ptCount val="1"/>
                <c:pt idx="0">
                  <c:v>1.893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75A2-40CF-B1E2-AFA0CA4E8E77}"/>
            </c:ext>
          </c:extLst>
        </c:ser>
        <c:ser>
          <c:idx val="12"/>
          <c:order val="12"/>
          <c:tx>
            <c:strRef>
              <c:f>graphs!$N$77:$N$78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graphs!$N$79</c:f>
              <c:numCache>
                <c:formatCode>General</c:formatCode>
                <c:ptCount val="1"/>
                <c:pt idx="0">
                  <c:v>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5A2-40CF-B1E2-AFA0CA4E8E77}"/>
            </c:ext>
          </c:extLst>
        </c:ser>
        <c:ser>
          <c:idx val="13"/>
          <c:order val="13"/>
          <c:tx>
            <c:strRef>
              <c:f>graphs!$O$77:$O$78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graphs!$O$79</c:f>
              <c:numCache>
                <c:formatCode>General</c:formatCode>
                <c:ptCount val="1"/>
                <c:pt idx="0">
                  <c:v>1.9829999999999999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5A2-40CF-B1E2-AFA0CA4E8E77}"/>
            </c:ext>
          </c:extLst>
        </c:ser>
        <c:ser>
          <c:idx val="14"/>
          <c:order val="14"/>
          <c:tx>
            <c:strRef>
              <c:f>graphs!$P$77:$P$78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graphs!$P$79</c:f>
              <c:numCache>
                <c:formatCode>General</c:formatCode>
                <c:ptCount val="1"/>
                <c:pt idx="0">
                  <c:v>1.8999999999999997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5A2-40CF-B1E2-AFA0CA4E8E77}"/>
            </c:ext>
          </c:extLst>
        </c:ser>
        <c:ser>
          <c:idx val="15"/>
          <c:order val="15"/>
          <c:tx>
            <c:strRef>
              <c:f>graphs!$Q$77:$Q$78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graphs!$A$79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graphs!$Q$79</c:f>
              <c:numCache>
                <c:formatCode>General</c:formatCode>
                <c:ptCount val="1"/>
                <c:pt idx="0">
                  <c:v>1.84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75A2-40CF-B1E2-AFA0CA4E8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556192"/>
        <c:axId val="1596557152"/>
      </c:barChart>
      <c:catAx>
        <c:axId val="159655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557152"/>
        <c:crosses val="autoZero"/>
        <c:auto val="1"/>
        <c:lblAlgn val="ctr"/>
        <c:lblOffset val="100"/>
        <c:noMultiLvlLbl val="0"/>
      </c:catAx>
      <c:valAx>
        <c:axId val="159655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55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graphs!$B$98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graphs!$A$99:$A$102</c:f>
              <c:strCache>
                <c:ptCount val="3"/>
                <c:pt idx="0">
                  <c:v>commercial</c:v>
                </c:pt>
                <c:pt idx="1">
                  <c:v>mass_market</c:v>
                </c:pt>
                <c:pt idx="2">
                  <c:v>premium</c:v>
                </c:pt>
              </c:strCache>
            </c:strRef>
          </c:cat>
          <c:val>
            <c:numRef>
              <c:f>graphs!$B$99:$B$102</c:f>
              <c:numCache>
                <c:formatCode>General</c:formatCode>
                <c:ptCount val="3"/>
                <c:pt idx="0">
                  <c:v>12</c:v>
                </c:pt>
                <c:pt idx="1">
                  <c:v>137</c:v>
                </c:pt>
                <c:pt idx="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E-4198-8039-4CCBDE001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18563904"/>
        <c:axId val="1518564864"/>
      </c:barChart>
      <c:catAx>
        <c:axId val="1518563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4864"/>
        <c:crosses val="autoZero"/>
        <c:auto val="1"/>
        <c:lblAlgn val="ctr"/>
        <c:lblOffset val="100"/>
        <c:noMultiLvlLbl val="0"/>
      </c:catAx>
      <c:valAx>
        <c:axId val="151856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5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[Project_data modeling.xlsx]graphs!PivotTable9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graphs!$B$113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graphs!$A$114:$A$140</c:f>
              <c:strCache>
                <c:ptCount val="26"/>
                <c:pt idx="0">
                  <c:v>Australia</c:v>
                </c:pt>
                <c:pt idx="1">
                  <c:v>Austria</c:v>
                </c:pt>
                <c:pt idx="2">
                  <c:v>Belgium</c:v>
                </c:pt>
                <c:pt idx="3">
                  <c:v>Brazil</c:v>
                </c:pt>
                <c:pt idx="4">
                  <c:v>Canada</c:v>
                </c:pt>
                <c:pt idx="5">
                  <c:v>China</c:v>
                </c:pt>
                <c:pt idx="6">
                  <c:v>France</c:v>
                </c:pt>
                <c:pt idx="7">
                  <c:v>Germany</c:v>
                </c:pt>
                <c:pt idx="8">
                  <c:v>India</c:v>
                </c:pt>
                <c:pt idx="9">
                  <c:v>Indonesia</c:v>
                </c:pt>
                <c:pt idx="10">
                  <c:v>Italy</c:v>
                </c:pt>
                <c:pt idx="11">
                  <c:v>Japan</c:v>
                </c:pt>
                <c:pt idx="12">
                  <c:v>Mexico</c:v>
                </c:pt>
                <c:pt idx="13">
                  <c:v>Netherlands</c:v>
                </c:pt>
                <c:pt idx="14">
                  <c:v>Norway</c:v>
                </c:pt>
                <c:pt idx="15">
                  <c:v>Poland</c:v>
                </c:pt>
                <c:pt idx="16">
                  <c:v>Portugal</c:v>
                </c:pt>
                <c:pt idx="17">
                  <c:v>South Korea</c:v>
                </c:pt>
                <c:pt idx="18">
                  <c:v>Spain</c:v>
                </c:pt>
                <c:pt idx="19">
                  <c:v>Sweden</c:v>
                </c:pt>
                <c:pt idx="20">
                  <c:v>Switzerland</c:v>
                </c:pt>
                <c:pt idx="21">
                  <c:v>Thailand</c:v>
                </c:pt>
                <c:pt idx="22">
                  <c:v>Turkey</c:v>
                </c:pt>
                <c:pt idx="23">
                  <c:v>United Kingdom</c:v>
                </c:pt>
                <c:pt idx="24">
                  <c:v>United States</c:v>
                </c:pt>
                <c:pt idx="25">
                  <c:v>(blank)</c:v>
                </c:pt>
              </c:strCache>
            </c:strRef>
          </c:cat>
          <c:val>
            <c:numRef>
              <c:f>graphs!$B$114:$B$140</c:f>
              <c:numCache>
                <c:formatCode>General</c:formatCode>
                <c:ptCount val="26"/>
                <c:pt idx="0">
                  <c:v>153510</c:v>
                </c:pt>
                <c:pt idx="1">
                  <c:v>430476</c:v>
                </c:pt>
                <c:pt idx="2">
                  <c:v>561030</c:v>
                </c:pt>
                <c:pt idx="3">
                  <c:v>121653</c:v>
                </c:pt>
                <c:pt idx="4">
                  <c:v>640740</c:v>
                </c:pt>
                <c:pt idx="5">
                  <c:v>47822847</c:v>
                </c:pt>
                <c:pt idx="6">
                  <c:v>2187357</c:v>
                </c:pt>
                <c:pt idx="7">
                  <c:v>2199273</c:v>
                </c:pt>
                <c:pt idx="8">
                  <c:v>248472</c:v>
                </c:pt>
                <c:pt idx="9">
                  <c:v>65169</c:v>
                </c:pt>
                <c:pt idx="10">
                  <c:v>862140</c:v>
                </c:pt>
                <c:pt idx="11">
                  <c:v>1138953</c:v>
                </c:pt>
                <c:pt idx="12">
                  <c:v>67857</c:v>
                </c:pt>
                <c:pt idx="13">
                  <c:v>2951541</c:v>
                </c:pt>
                <c:pt idx="14">
                  <c:v>659556</c:v>
                </c:pt>
                <c:pt idx="15">
                  <c:v>108570</c:v>
                </c:pt>
                <c:pt idx="16">
                  <c:v>215583</c:v>
                </c:pt>
                <c:pt idx="17">
                  <c:v>2952321</c:v>
                </c:pt>
                <c:pt idx="18">
                  <c:v>597624</c:v>
                </c:pt>
                <c:pt idx="19">
                  <c:v>589152</c:v>
                </c:pt>
                <c:pt idx="20">
                  <c:v>391515</c:v>
                </c:pt>
                <c:pt idx="21">
                  <c:v>162321</c:v>
                </c:pt>
                <c:pt idx="22">
                  <c:v>183975</c:v>
                </c:pt>
                <c:pt idx="23">
                  <c:v>1228425</c:v>
                </c:pt>
                <c:pt idx="24">
                  <c:v>1786716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F0-4C6F-86A2-3E70747F6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696672"/>
        <c:axId val="1603697152"/>
      </c:radarChart>
      <c:catAx>
        <c:axId val="160369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97152"/>
        <c:crosses val="autoZero"/>
        <c:auto val="1"/>
        <c:lblAlgn val="ctr"/>
        <c:lblOffset val="100"/>
        <c:noMultiLvlLbl val="0"/>
      </c:catAx>
      <c:valAx>
        <c:axId val="160369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69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9525</xdr:rowOff>
    </xdr:from>
    <xdr:to>
      <xdr:col>16</xdr:col>
      <xdr:colOff>190500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55866E-25AD-4CD8-F0A5-62D5018DD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57150</xdr:colOff>
      <xdr:row>23</xdr:row>
      <xdr:rowOff>152400</xdr:rowOff>
    </xdr:from>
    <xdr:to>
      <xdr:col>12</xdr:col>
      <xdr:colOff>209550</xdr:colOff>
      <xdr:row>38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7B87C0-8B19-BE88-390B-4A701BEF8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133350</xdr:colOff>
      <xdr:row>46</xdr:row>
      <xdr:rowOff>19050</xdr:rowOff>
    </xdr:from>
    <xdr:to>
      <xdr:col>15</xdr:col>
      <xdr:colOff>142875</xdr:colOff>
      <xdr:row>60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3E3DA44-9238-9170-BD4E-04ACFFFE2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9525</xdr:colOff>
      <xdr:row>79</xdr:row>
      <xdr:rowOff>28575</xdr:rowOff>
    </xdr:from>
    <xdr:to>
      <xdr:col>12</xdr:col>
      <xdr:colOff>381000</xdr:colOff>
      <xdr:row>93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A7351D-7AC5-1AB6-49FC-C234D4BAE2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47625</xdr:colOff>
      <xdr:row>95</xdr:row>
      <xdr:rowOff>66675</xdr:rowOff>
    </xdr:from>
    <xdr:to>
      <xdr:col>11</xdr:col>
      <xdr:colOff>114300</xdr:colOff>
      <xdr:row>109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75BB48-444B-DC78-2007-2513EAA9D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190500</xdr:colOff>
      <xdr:row>116</xdr:row>
      <xdr:rowOff>161925</xdr:rowOff>
    </xdr:from>
    <xdr:to>
      <xdr:col>13</xdr:col>
      <xdr:colOff>304800</xdr:colOff>
      <xdr:row>131</xdr:row>
      <xdr:rowOff>47625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B35262-814F-CF52-A50B-E5EC71E60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urhan Mostafa Rassem Saleh" refreshedDate="46119.387012384257" createdVersion="8" refreshedVersion="8" minRefreshableVersion="3" recordCount="1201" xr:uid="{0D98A88A-8E4B-49F9-B475-60CDF559BB14}">
  <cacheSource type="worksheet">
    <worksheetSource ref="A1:Y1048576" sheet="fact_vehicle_sales"/>
  </cacheSource>
  <cacheFields count="25">
    <cacheField name="country" numFmtId="0">
      <sharedItems containsBlank="1" count="26">
        <s v="Australia"/>
        <s v="Austria"/>
        <s v="Belgium"/>
        <s v="Brazil"/>
        <s v="Canada"/>
        <s v="China"/>
        <s v="France"/>
        <s v="Germany"/>
        <s v="India"/>
        <s v="Indonesia"/>
        <s v="Italy"/>
        <s v="Japan"/>
        <s v="Mexico"/>
        <s v="Netherlands"/>
        <s v="Norway"/>
        <s v="Poland"/>
        <s v="Portugal"/>
        <s v="South Korea"/>
        <s v="Spain"/>
        <s v="Sweden"/>
        <s v="Switzerland"/>
        <s v="Thailand"/>
        <s v="Turkey"/>
        <s v="United Kingdom"/>
        <s v="United States"/>
        <m/>
      </sharedItems>
    </cacheField>
    <cacheField name="Counrty_ID" numFmtId="0">
      <sharedItems containsString="0" containsBlank="1" containsNumber="1" containsInteger="1" minValue="1" maxValue="25"/>
    </cacheField>
    <cacheField name="region" numFmtId="0">
      <sharedItems containsBlank="1" count="6">
        <s v="Oceania"/>
        <s v="Europe"/>
        <s v="South America"/>
        <s v="North America"/>
        <s v="APAC"/>
        <m/>
      </sharedItems>
    </cacheField>
    <cacheField name="year" numFmtId="0">
      <sharedItems containsString="0" containsBlank="1" containsNumber="1" containsInteger="1" minValue="2010" maxValue="2025" count="17"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Year_ID" numFmtId="0">
      <sharedItems containsString="0" containsBlank="1" containsNumber="1" containsInteger="1" minValue="1" maxValue="16"/>
    </cacheField>
    <cacheField name="vehicle_segment" numFmtId="0">
      <sharedItems containsBlank="1" count="4">
        <s v="commercial"/>
        <s v="mass_market"/>
        <s v="premium"/>
        <m/>
      </sharedItems>
    </cacheField>
    <cacheField name="powertrain_type" numFmtId="0">
      <sharedItems containsBlank="1" count="3">
        <s v="ICE"/>
        <s v="BEV"/>
        <m/>
      </sharedItems>
    </cacheField>
    <cacheField name="Vichicle_ID" numFmtId="0">
      <sharedItems containsString="0" containsBlank="1" containsNumber="1" containsInteger="1" minValue="1" maxValue="5"/>
    </cacheField>
    <cacheField name="ev_sales" numFmtId="0">
      <sharedItems containsString="0" containsBlank="1" containsNumber="1" containsInteger="1" minValue="5" maxValue="7670056"/>
    </cacheField>
    <cacheField name="petrol_car_sales" numFmtId="0">
      <sharedItems containsString="0" containsBlank="1" containsNumber="1" containsInteger="1" minValue="1727" maxValue="14773694" count="1200">
        <n v="92877"/>
        <n v="535933"/>
        <n v="235282"/>
        <n v="98092"/>
        <n v="569679"/>
        <n v="252643"/>
        <n v="96466"/>
        <n v="571555"/>
        <n v="246448"/>
        <n v="101461"/>
        <n v="586920"/>
        <n v="256088"/>
        <n v="100760"/>
        <n v="601126"/>
        <n v="258559"/>
        <n v="101833"/>
        <n v="604172"/>
        <n v="263800"/>
        <n v="106179"/>
        <n v="620584"/>
        <n v="266718"/>
        <n v="109622"/>
        <n v="628305"/>
        <n v="272461"/>
        <n v="97669"/>
        <n v="572260"/>
        <n v="253500"/>
        <n v="96285"/>
        <n v="549725"/>
        <n v="240099"/>
        <n v="82916"/>
        <n v="486451"/>
        <n v="210605"/>
        <n v="92662"/>
        <n v="527029"/>
        <n v="228052"/>
        <n v="94469"/>
        <n v="517272"/>
        <n v="221097"/>
        <n v="107470"/>
        <n v="595430"/>
        <n v="250441"/>
        <n v="107417"/>
        <n v="582248"/>
        <n v="243146"/>
        <n v="106880"/>
        <n v="581468"/>
        <n v="235423"/>
        <n v="29372"/>
        <n v="172919"/>
        <n v="74257"/>
        <n v="29600"/>
        <n v="169880"/>
        <n v="74737"/>
        <n v="28680"/>
        <n v="169419"/>
        <n v="70738"/>
        <n v="27821"/>
        <n v="165919"/>
        <n v="72526"/>
        <n v="27797"/>
        <n v="164197"/>
        <n v="72229"/>
        <n v="29553"/>
        <n v="171452"/>
        <n v="75598"/>
        <n v="30504"/>
        <n v="177091"/>
        <n v="76505"/>
        <n v="30505"/>
        <n v="179289"/>
        <n v="77526"/>
        <n v="30164"/>
        <n v="175305"/>
        <n v="75406"/>
        <n v="28807"/>
        <n v="166261"/>
        <n v="71458"/>
        <n v="21523"/>
        <n v="117264"/>
        <n v="48991"/>
        <n v="20095"/>
        <n v="101875"/>
        <n v="38835"/>
        <n v="18047"/>
        <n v="93777"/>
        <n v="35566"/>
        <n v="20460"/>
        <n v="102806"/>
        <n v="41220"/>
        <n v="20158"/>
        <n v="99208"/>
        <n v="38162"/>
        <n v="21178"/>
        <n v="104742"/>
        <n v="37500"/>
        <n v="50107"/>
        <n v="292245"/>
        <n v="125953"/>
        <n v="47677"/>
        <n v="276670"/>
        <n v="118827"/>
        <n v="44566"/>
        <n v="263740"/>
        <n v="116159"/>
        <n v="44672"/>
        <n v="264841"/>
        <n v="111996"/>
        <n v="43958"/>
        <n v="262762"/>
        <n v="111985"/>
        <n v="45037"/>
        <n v="263036"/>
        <n v="114211"/>
        <n v="46430"/>
        <n v="272960"/>
        <n v="118364"/>
        <n v="49834"/>
        <n v="288837"/>
        <n v="122846"/>
        <n v="48593"/>
        <n v="284684"/>
        <n v="122949"/>
        <n v="50613"/>
        <n v="285886"/>
        <n v="123006"/>
        <n v="37094"/>
        <n v="202631"/>
        <n v="83592"/>
        <n v="34726"/>
        <n v="172887"/>
        <n v="66265"/>
        <n v="32806"/>
        <n v="160264"/>
        <n v="59786"/>
        <n v="35843"/>
        <n v="173825"/>
        <n v="65429"/>
        <n v="37419"/>
        <n v="183264"/>
        <n v="68211"/>
        <n v="37346"/>
        <n v="170040"/>
        <n v="61490"/>
        <n v="319187"/>
        <n v="1842149"/>
        <n v="813977"/>
        <n v="322673"/>
        <n v="1917857"/>
        <n v="834630"/>
        <n v="333101"/>
        <n v="1944648"/>
        <n v="851497"/>
        <n v="342112"/>
        <n v="1978022"/>
        <n v="874267"/>
        <n v="294781"/>
        <n v="1775725"/>
        <n v="749039"/>
        <n v="236048"/>
        <n v="1383162"/>
        <n v="596673"/>
        <n v="218858"/>
        <n v="1279628"/>
        <n v="555950"/>
        <n v="200788"/>
        <n v="1174606"/>
        <n v="524885"/>
        <n v="226414"/>
        <n v="1356860"/>
        <n v="584907"/>
        <n v="248191"/>
        <n v="1462023"/>
        <n v="627722"/>
        <n v="187246"/>
        <n v="1083768"/>
        <n v="485161"/>
        <n v="193657"/>
        <n v="1126855"/>
        <n v="486182"/>
        <n v="189535"/>
        <n v="1094452"/>
        <n v="477681"/>
        <n v="206413"/>
        <n v="1198780"/>
        <n v="516622"/>
        <n v="222110"/>
        <n v="1272596"/>
        <n v="538086"/>
        <n v="223797"/>
        <n v="1297624"/>
        <n v="540592"/>
        <n v="141006"/>
        <n v="815012"/>
        <n v="359125"/>
        <n v="148511"/>
        <n v="879070"/>
        <n v="370536"/>
        <n v="152136"/>
        <n v="892842"/>
        <n v="399856"/>
        <n v="157432"/>
        <n v="936386"/>
        <n v="412656"/>
        <n v="166051"/>
        <n v="967385"/>
        <n v="416504"/>
        <n v="171378"/>
        <n v="1000047"/>
        <n v="437591"/>
        <n v="173996"/>
        <n v="1036073"/>
        <n v="454141"/>
        <n v="182006"/>
        <n v="1031489"/>
        <n v="454714"/>
        <n v="174768"/>
        <n v="1009554"/>
        <n v="437236"/>
        <n v="172356"/>
        <n v="1008126"/>
        <n v="431377"/>
        <n v="139351"/>
        <n v="795975"/>
        <n v="342741"/>
        <n v="147534"/>
        <n v="824512"/>
        <n v="354428"/>
        <n v="132991"/>
        <n v="741360"/>
        <n v="313132"/>
        <n v="148267"/>
        <n v="794185"/>
        <n v="326463"/>
        <n v="148222"/>
        <n v="796550"/>
        <n v="324460"/>
        <n v="151558"/>
        <n v="788916"/>
        <n v="315912"/>
        <n v="1671715"/>
        <n v="9662937"/>
        <n v="4149907"/>
        <n v="1744402"/>
        <n v="10027552"/>
        <n v="4472154"/>
        <n v="1845624"/>
        <n v="10990053"/>
        <n v="4755573"/>
        <n v="1942876"/>
        <n v="11322208"/>
        <n v="5009322"/>
        <n v="2035951"/>
        <n v="11948424"/>
        <n v="5235574"/>
        <n v="2227294"/>
        <n v="13096719"/>
        <n v="5684378"/>
        <n v="2359381"/>
        <n v="13952426"/>
        <n v="5940464"/>
        <n v="2603018"/>
        <n v="14773694"/>
        <n v="6395600"/>
        <n v="2380577"/>
        <n v="13708805"/>
        <n v="5866480"/>
        <n v="2259457"/>
        <n v="12980482"/>
        <n v="5583765"/>
        <n v="2181896"/>
        <n v="12510357"/>
        <n v="5232629"/>
        <n v="2223298"/>
        <n v="11801399"/>
        <n v="4812525"/>
        <n v="2201614"/>
        <n v="10714573"/>
        <n v="4085236"/>
        <n v="2439959"/>
        <n v="11735091"/>
        <n v="4309269"/>
        <n v="2464064"/>
        <n v="10958612"/>
        <n v="3748994"/>
        <n v="2426615"/>
        <n v="9838330"/>
        <n v="2917116"/>
        <n v="208515"/>
        <n v="1202487"/>
        <n v="524788"/>
        <n v="193024"/>
        <n v="1119193"/>
        <n v="485601"/>
        <n v="176091"/>
        <n v="1054815"/>
        <n v="455902"/>
        <n v="161797"/>
        <n v="946646"/>
        <n v="405305"/>
        <n v="167025"/>
        <n v="968219"/>
        <n v="422711"/>
        <n v="169789"/>
        <n v="996195"/>
        <n v="424425"/>
        <n v="179577"/>
        <n v="1061823"/>
        <n v="460675"/>
        <n v="184450"/>
        <n v="1092069"/>
        <n v="467648"/>
        <n v="194285"/>
        <n v="1124294"/>
        <n v="490059"/>
        <n v="204628"/>
        <n v="1187806"/>
        <n v="500721"/>
        <n v="139642"/>
        <n v="755408"/>
        <n v="301045"/>
        <n v="136916"/>
        <n v="702747"/>
        <n v="276732"/>
        <n v="129909"/>
        <n v="649775"/>
        <n v="249614"/>
        <n v="147760"/>
        <n v="722322"/>
        <n v="273625"/>
        <n v="151886"/>
        <n v="734533"/>
        <n v="267061"/>
        <n v="155665"/>
        <n v="757858"/>
        <n v="277956"/>
        <n v="264089"/>
        <n v="1518311"/>
        <n v="668018"/>
        <n v="258133"/>
        <n v="1533576"/>
        <n v="660981"/>
        <n v="261435"/>
        <n v="1535278"/>
        <n v="671728"/>
        <n v="263615"/>
        <n v="1541170"/>
        <n v="665628"/>
        <n v="273249"/>
        <n v="1582841"/>
        <n v="693852"/>
        <n v="281524"/>
        <n v="1674438"/>
        <n v="729681"/>
        <n v="299091"/>
        <n v="1774612"/>
        <n v="772587"/>
        <n v="318143"/>
        <n v="1835925"/>
        <n v="816972"/>
        <n v="323507"/>
        <n v="1853742"/>
        <n v="795541"/>
        <n v="313246"/>
        <n v="1795042"/>
        <n v="777041"/>
        <n v="252120"/>
        <n v="1338535"/>
        <n v="538520"/>
        <n v="213782"/>
        <n v="1006599"/>
        <n v="377958"/>
        <n v="209795"/>
        <n v="969514"/>
        <n v="336714"/>
        <n v="238665"/>
        <n v="1105943"/>
        <n v="375507"/>
        <n v="221956"/>
        <n v="1011872"/>
        <n v="351375"/>
        <n v="230839"/>
        <n v="1029166"/>
        <n v="357387"/>
        <n v="272921"/>
        <n v="1574664"/>
        <n v="688207"/>
        <n v="284389"/>
        <n v="1639680"/>
        <n v="721989"/>
        <n v="282353"/>
        <n v="1655912"/>
        <n v="712641"/>
        <n v="296840"/>
        <n v="1709098"/>
        <n v="745804"/>
        <n v="293459"/>
        <n v="1734426"/>
        <n v="767152"/>
        <n v="312178"/>
        <n v="1807822"/>
        <n v="791778"/>
        <n v="334239"/>
        <n v="1963639"/>
        <n v="867004"/>
        <n v="365402"/>
        <n v="2087996"/>
        <n v="924394"/>
        <n v="345233"/>
        <n v="2011743"/>
        <n v="887985"/>
        <n v="345277"/>
        <n v="2014429"/>
        <n v="882956"/>
        <n v="267685"/>
        <n v="1579281"/>
        <n v="688019"/>
        <n v="334820"/>
        <n v="1959067"/>
        <n v="858953"/>
        <n v="429503"/>
        <n v="2563455"/>
        <n v="1098416"/>
        <n v="449851"/>
        <n v="2627529"/>
        <n v="1117649"/>
        <n v="487714"/>
        <n v="2764885"/>
        <n v="1196976"/>
        <n v="486962"/>
        <n v="2853916"/>
        <n v="1237618"/>
        <n v="69429"/>
        <n v="405830"/>
        <n v="172832"/>
        <n v="85896"/>
        <n v="490700"/>
        <n v="215999"/>
        <n v="97296"/>
        <n v="577142"/>
        <n v="249628"/>
        <n v="111360"/>
        <n v="650829"/>
        <n v="286154"/>
        <n v="99575"/>
        <n v="589091"/>
        <n v="258400"/>
        <n v="94239"/>
        <n v="545362"/>
        <n v="238835"/>
        <n v="93041"/>
        <n v="533505"/>
        <n v="236579"/>
        <n v="96006"/>
        <n v="580963"/>
        <n v="246464"/>
        <n v="95534"/>
        <n v="569055"/>
        <n v="245795"/>
        <n v="88852"/>
        <n v="514464"/>
        <n v="232114"/>
        <n v="47605"/>
        <n v="280518"/>
        <n v="121849"/>
        <n v="80588"/>
        <n v="468007"/>
        <n v="206514"/>
        <n v="91957"/>
        <n v="534066"/>
        <n v="230524"/>
        <n v="91286"/>
        <n v="527358"/>
        <n v="221660"/>
        <n v="92308"/>
        <n v="538261"/>
        <n v="230081"/>
        <n v="93907"/>
        <n v="544205"/>
        <n v="229559"/>
        <n v="173469"/>
        <n v="1050397"/>
        <n v="448869"/>
        <n v="155450"/>
        <n v="909862"/>
        <n v="386672"/>
        <n v="136301"/>
        <n v="796079"/>
        <n v="350698"/>
        <n v="114655"/>
        <n v="664462"/>
        <n v="300107"/>
        <n v="129831"/>
        <n v="762097"/>
        <n v="332562"/>
        <n v="142943"/>
        <n v="837862"/>
        <n v="366649"/>
        <n v="166586"/>
        <n v="962968"/>
        <n v="417697"/>
        <n v="176401"/>
        <n v="1066177"/>
        <n v="464492"/>
        <n v="174341"/>
        <n v="1023579"/>
        <n v="440223"/>
        <n v="173696"/>
        <n v="1017917"/>
        <n v="438075"/>
        <n v="120514"/>
        <n v="674257"/>
        <n v="289022"/>
        <n v="128120"/>
        <n v="709035"/>
        <n v="290759"/>
        <n v="115831"/>
        <n v="637103"/>
        <n v="261362"/>
        <n v="134378"/>
        <n v="751073"/>
        <n v="313652"/>
        <n v="140020"/>
        <n v="759806"/>
        <n v="321971"/>
        <n v="136411"/>
        <n v="752690"/>
        <n v="302173"/>
        <n v="459304"/>
        <n v="2663470"/>
        <n v="1138264"/>
        <n v="464224"/>
        <n v="2766736"/>
        <n v="1185941"/>
        <n v="482781"/>
        <n v="2803798"/>
        <n v="1213398"/>
        <n v="494524"/>
        <n v="2896997"/>
        <n v="1252407"/>
        <n v="483602"/>
        <n v="2758127"/>
        <n v="1202881"/>
        <n v="444632"/>
        <n v="2585057"/>
        <n v="1125440"/>
        <n v="461954"/>
        <n v="2707122"/>
        <n v="1188232"/>
        <n v="459325"/>
        <n v="2623997"/>
        <n v="1170960"/>
        <n v="466173"/>
        <n v="2717085"/>
        <n v="1186439"/>
        <n v="458703"/>
        <n v="2641731"/>
        <n v="1154077"/>
        <n v="410516"/>
        <n v="2398880"/>
        <n v="1051467"/>
        <n v="399235"/>
        <n v="2325453"/>
        <n v="1013274"/>
        <n v="386722"/>
        <n v="2203446"/>
        <n v="931816"/>
        <n v="421213"/>
        <n v="2407241"/>
        <n v="1022402"/>
        <n v="426472"/>
        <n v="2437956"/>
        <n v="1066388"/>
        <n v="423433"/>
        <n v="2330320"/>
        <n v="993566"/>
        <n v="72429"/>
        <n v="435071"/>
        <n v="187461"/>
        <n v="80838"/>
        <n v="486471"/>
        <n v="211164"/>
        <n v="88548"/>
        <n v="514964"/>
        <n v="224701"/>
        <n v="95363"/>
        <n v="548574"/>
        <n v="243095"/>
        <n v="109105"/>
        <n v="643959"/>
        <n v="279802"/>
        <n v="118034"/>
        <n v="679464"/>
        <n v="302244"/>
        <n v="130316"/>
        <n v="746750"/>
        <n v="325890"/>
        <n v="138659"/>
        <n v="818499"/>
        <n v="354150"/>
        <n v="128654"/>
        <n v="754024"/>
        <n v="330374"/>
        <n v="118841"/>
        <n v="697888"/>
        <n v="305473"/>
        <n v="85877"/>
        <n v="500791"/>
        <n v="219488"/>
        <n v="90323"/>
        <n v="537222"/>
        <n v="235445"/>
        <n v="96601"/>
        <n v="561012"/>
        <n v="241011"/>
        <n v="114552"/>
        <n v="676027"/>
        <n v="294642"/>
        <n v="113525"/>
        <n v="667434"/>
        <n v="287534"/>
        <n v="125943"/>
        <n v="727380"/>
        <n v="308631"/>
        <n v="42900"/>
        <n v="249066"/>
        <n v="109267"/>
        <n v="39753"/>
        <n v="230465"/>
        <n v="102119"/>
        <n v="38665"/>
        <n v="225738"/>
        <n v="96058"/>
        <n v="38369"/>
        <n v="217272"/>
        <n v="93395"/>
        <n v="37688"/>
        <n v="215948"/>
        <n v="92410"/>
        <n v="39613"/>
        <n v="229398"/>
        <n v="98007"/>
        <n v="37978"/>
        <n v="214282"/>
        <n v="89953"/>
        <n v="203482"/>
        <n v="88756"/>
        <n v="37417"/>
        <n v="209386"/>
        <n v="89231"/>
        <n v="37871"/>
        <n v="204775"/>
        <n v="80297"/>
        <n v="30366"/>
        <n v="150445"/>
        <n v="58925"/>
        <n v="30338"/>
        <n v="154885"/>
        <n v="60016"/>
        <n v="26116"/>
        <n v="125140"/>
        <n v="46785"/>
        <n v="30479"/>
        <n v="140980"/>
        <n v="48204"/>
        <n v="31402"/>
        <n v="139303"/>
        <n v="46668"/>
        <n v="32150"/>
        <n v="137908"/>
        <n v="44581"/>
        <n v="11782"/>
        <n v="69659"/>
        <n v="30624"/>
        <n v="12425"/>
        <n v="70947"/>
        <n v="30812"/>
        <n v="12631"/>
        <n v="72230"/>
        <n v="30618"/>
        <n v="12158"/>
        <n v="68819"/>
        <n v="28106"/>
        <n v="12587"/>
        <n v="68419"/>
        <n v="27421"/>
        <n v="13093"/>
        <n v="69343"/>
        <n v="27780"/>
        <n v="12946"/>
        <n v="67512"/>
        <n v="27255"/>
        <n v="12693"/>
        <n v="61088"/>
        <n v="23226"/>
        <n v="12374"/>
        <n v="55743"/>
        <n v="19523"/>
        <n v="10927"/>
        <n v="42892"/>
        <n v="12955"/>
        <n v="10167"/>
        <n v="33749"/>
        <n v="6630"/>
        <n v="12215"/>
        <n v="31080"/>
        <n v="2055"/>
        <n v="9462"/>
        <n v="8218"/>
        <n v="1748"/>
        <n v="9069"/>
        <n v="7450"/>
        <n v="1727"/>
        <n v="10069"/>
        <n v="10471"/>
        <n v="1786"/>
        <n v="9845"/>
        <n v="11461"/>
        <n v="1803"/>
        <n v="30458"/>
        <n v="179802"/>
        <n v="77444"/>
        <n v="30688"/>
        <n v="179407"/>
        <n v="76516"/>
        <n v="29335"/>
        <n v="170818"/>
        <n v="75579"/>
        <n v="29076"/>
        <n v="172737"/>
        <n v="75395"/>
        <n v="34065"/>
        <n v="193494"/>
        <n v="85002"/>
        <n v="36476"/>
        <n v="214912"/>
        <n v="92290"/>
        <n v="40343"/>
        <n v="231719"/>
        <n v="103600"/>
        <n v="43333"/>
        <n v="259167"/>
        <n v="112972"/>
        <n v="46607"/>
        <n v="271637"/>
        <n v="117738"/>
        <n v="51111"/>
        <n v="299075"/>
        <n v="128419"/>
        <n v="37373"/>
        <n v="219472"/>
        <n v="93811"/>
        <n v="41026"/>
        <n v="232928"/>
        <n v="99794"/>
        <n v="36659"/>
        <n v="205221"/>
        <n v="88520"/>
        <n v="41951"/>
        <n v="232642"/>
        <n v="100326"/>
        <n v="45012"/>
        <n v="248546"/>
        <n v="104478"/>
        <n v="47227"/>
        <n v="253297"/>
        <n v="105973"/>
        <n v="20810"/>
        <n v="122492"/>
        <n v="53142"/>
        <n v="16483"/>
        <n v="97297"/>
        <n v="42700"/>
        <n v="14078"/>
        <n v="81786"/>
        <n v="35212"/>
        <n v="10482"/>
        <n v="59897"/>
        <n v="26519"/>
        <n v="13321"/>
        <n v="77530"/>
        <n v="34206"/>
        <n v="15697"/>
        <n v="93878"/>
        <n v="40647"/>
        <n v="18361"/>
        <n v="108005"/>
        <n v="45891"/>
        <n v="19738"/>
        <n v="115847"/>
        <n v="49744"/>
        <n v="21907"/>
        <n v="127886"/>
        <n v="54575"/>
        <n v="22952"/>
        <n v="129248"/>
        <n v="57398"/>
        <n v="15551"/>
        <n v="83093"/>
        <n v="34299"/>
        <n v="16851"/>
        <n v="88830"/>
        <n v="35568"/>
        <n v="14831"/>
        <n v="75537"/>
        <n v="30336"/>
        <n v="17279"/>
        <n v="85664"/>
        <n v="33606"/>
        <n v="18281"/>
        <n v="86870"/>
        <n v="32473"/>
        <n v="18297"/>
        <n v="87563"/>
        <n v="32307"/>
        <n v="132527"/>
        <n v="776204"/>
        <n v="338527"/>
        <n v="135049"/>
        <n v="793239"/>
        <n v="347858"/>
        <n v="141188"/>
        <n v="808794"/>
        <n v="362744"/>
        <n v="135405"/>
        <n v="771844"/>
        <n v="353288"/>
        <n v="150940"/>
        <n v="884602"/>
        <n v="391455"/>
        <n v="172691"/>
        <n v="1027725"/>
        <n v="437685"/>
        <n v="163106"/>
        <n v="954205"/>
        <n v="413048"/>
        <n v="163948"/>
        <n v="944137"/>
        <n v="410177"/>
        <n v="160513"/>
        <n v="952523"/>
        <n v="409273"/>
        <n v="158104"/>
        <n v="909285"/>
        <n v="397430"/>
        <n v="168775"/>
        <n v="973863"/>
        <n v="419556"/>
        <n v="151579"/>
        <n v="852459"/>
        <n v="359081"/>
        <n v="149487"/>
        <n v="800753"/>
        <n v="337000"/>
        <n v="147944"/>
        <n v="812687"/>
        <n v="329053"/>
        <n v="144313"/>
        <n v="779889"/>
        <n v="312313"/>
        <n v="145444"/>
        <n v="772425"/>
        <n v="308206"/>
        <n v="87781"/>
        <n v="503052"/>
        <n v="225706"/>
        <n v="79589"/>
        <n v="478930"/>
        <n v="206014"/>
        <n v="70979"/>
        <n v="432966"/>
        <n v="181784"/>
        <n v="63243"/>
        <n v="377628"/>
        <n v="162708"/>
        <n v="79781"/>
        <n v="470168"/>
        <n v="204450"/>
        <n v="92038"/>
        <n v="540115"/>
        <n v="233344"/>
        <n v="103535"/>
        <n v="612062"/>
        <n v="263788"/>
        <n v="111517"/>
        <n v="670676"/>
        <n v="289810"/>
        <n v="112464"/>
        <n v="662790"/>
        <n v="281824"/>
        <n v="110233"/>
        <n v="642819"/>
        <n v="281138"/>
        <n v="76196"/>
        <n v="434320"/>
        <n v="181987"/>
        <n v="78002"/>
        <n v="431842"/>
        <n v="180855"/>
        <n v="71603"/>
        <n v="393097"/>
        <n v="165236"/>
        <n v="83449"/>
        <n v="465367"/>
        <n v="192930"/>
        <n v="83531"/>
        <n v="467681"/>
        <n v="187658"/>
        <n v="89337"/>
        <n v="480205"/>
        <n v="194172"/>
        <n v="27387"/>
        <n v="157706"/>
        <n v="67925"/>
        <n v="25180"/>
        <n v="147374"/>
        <n v="64347"/>
        <n v="24205"/>
        <n v="141675"/>
        <n v="61715"/>
        <n v="23731"/>
        <n v="143390"/>
        <n v="60510"/>
        <n v="27668"/>
        <n v="162453"/>
        <n v="68033"/>
        <n v="31009"/>
        <n v="175132"/>
        <n v="76271"/>
        <n v="32090"/>
        <n v="185429"/>
        <n v="79155"/>
        <n v="32384"/>
        <n v="182010"/>
        <n v="78123"/>
        <n v="33332"/>
        <n v="181347"/>
        <n v="77569"/>
        <n v="30580"/>
        <n v="168195"/>
        <n v="69608"/>
        <n v="23507"/>
        <n v="114957"/>
        <n v="42475"/>
        <n v="23368"/>
        <n v="96645"/>
        <n v="29621"/>
        <n v="20695"/>
        <n v="73352"/>
        <n v="17881"/>
        <n v="21754"/>
        <n v="78590"/>
        <n v="19214"/>
        <n v="21616"/>
        <n v="75829"/>
        <n v="18104"/>
        <n v="22172"/>
        <n v="76624"/>
        <n v="16948"/>
        <n v="25876"/>
        <n v="150107"/>
        <n v="65942"/>
        <n v="25262"/>
        <n v="145420"/>
        <n v="62999"/>
        <n v="27242"/>
        <n v="152449"/>
        <n v="68093"/>
        <n v="26645"/>
        <n v="157620"/>
        <n v="68096"/>
        <n v="28420"/>
        <n v="164924"/>
        <n v="72005"/>
        <n v="28646"/>
        <n v="169677"/>
        <n v="72659"/>
        <n v="29057"/>
        <n v="167228"/>
        <n v="73003"/>
        <n v="27889"/>
        <n v="161008"/>
        <n v="69173"/>
        <n v="27455"/>
        <n v="160987"/>
        <n v="68804"/>
        <n v="27316"/>
        <n v="155643"/>
        <n v="66262"/>
        <n v="20696"/>
        <n v="112939"/>
        <n v="46346"/>
        <n v="19672"/>
        <n v="99246"/>
        <n v="39409"/>
        <n v="18906"/>
        <n v="92534"/>
        <n v="35293"/>
        <n v="20185"/>
        <n v="100156"/>
        <n v="36971"/>
        <n v="20731"/>
        <n v="99303"/>
        <n v="36668"/>
        <n v="21231"/>
        <n v="98079"/>
        <n v="35333"/>
        <n v="74582"/>
        <n v="427070"/>
        <n v="184012"/>
        <n v="85329"/>
        <n v="508639"/>
        <n v="219464"/>
        <n v="100324"/>
        <n v="608769"/>
        <n v="261656"/>
        <n v="120778"/>
        <n v="709990"/>
        <n v="303500"/>
        <n v="95716"/>
        <n v="570301"/>
        <n v="247279"/>
        <n v="74111"/>
        <n v="438130"/>
        <n v="191086"/>
        <n v="78422"/>
        <n v="448242"/>
        <n v="196633"/>
        <n v="76564"/>
        <n v="442709"/>
        <n v="198848"/>
        <n v="85724"/>
        <n v="498869"/>
        <n v="213723"/>
        <n v="88552"/>
        <n v="519613"/>
        <n v="232206"/>
        <n v="71551"/>
        <n v="413874"/>
        <n v="181882"/>
        <n v="66785"/>
        <n v="389774"/>
        <n v="171333"/>
        <n v="76100"/>
        <n v="437686"/>
        <n v="187135"/>
        <n v="74584"/>
        <n v="410220"/>
        <n v="174615"/>
        <n v="78083"/>
        <n v="419800"/>
        <n v="172679"/>
        <n v="81953"/>
        <n v="423456"/>
        <n v="169252"/>
        <n v="69083"/>
        <n v="402048"/>
        <n v="177904"/>
        <n v="73155"/>
        <n v="434453"/>
        <n v="184044"/>
        <n v="75132"/>
        <n v="439735"/>
        <n v="193955"/>
        <n v="75222"/>
        <n v="449813"/>
        <n v="193146"/>
        <n v="78056"/>
        <n v="453907"/>
        <n v="205829"/>
        <n v="88113"/>
        <n v="511294"/>
        <n v="224018"/>
        <n v="85497"/>
        <n v="497189"/>
        <n v="217464"/>
        <n v="88095"/>
        <n v="521165"/>
        <n v="224487"/>
        <n v="62439"/>
        <n v="375306"/>
        <n v="161831"/>
        <n v="43151"/>
        <n v="249742"/>
        <n v="108835"/>
        <n v="68430"/>
        <n v="394128"/>
        <n v="171968"/>
        <n v="68510"/>
        <n v="417998"/>
        <n v="177944"/>
        <n v="70795"/>
        <n v="411177"/>
        <n v="179836"/>
        <n v="104809"/>
        <n v="586080"/>
        <n v="249855"/>
        <n v="96900"/>
        <n v="533118"/>
        <n v="223612"/>
        <n v="93067"/>
        <n v="511448"/>
        <n v="212204"/>
        <n v="182996"/>
        <n v="1066605"/>
        <n v="460859"/>
        <n v="185246"/>
        <n v="1095633"/>
        <n v="470904"/>
        <n v="196380"/>
        <n v="1151581"/>
        <n v="511954"/>
        <n v="198389"/>
        <n v="1192990"/>
        <n v="506744"/>
        <n v="229062"/>
        <n v="1322276"/>
        <n v="564315"/>
        <n v="237609"/>
        <n v="1360865"/>
        <n v="598324"/>
        <n v="233407"/>
        <n v="1364198"/>
        <n v="589105"/>
        <n v="229292"/>
        <n v="1320914"/>
        <n v="568772"/>
        <n v="220506"/>
        <n v="1254759"/>
        <n v="546540"/>
        <n v="201883"/>
        <n v="1178324"/>
        <n v="492430"/>
        <n v="140359"/>
        <n v="749402"/>
        <n v="314061"/>
        <n v="141535"/>
        <n v="712199"/>
        <n v="273052"/>
        <n v="131342"/>
        <n v="656447"/>
        <n v="245934"/>
        <n v="152535"/>
        <n v="759884"/>
        <n v="288401"/>
        <n v="153582"/>
        <n v="766726"/>
        <n v="295417"/>
        <n v="156110"/>
        <n v="761717"/>
        <n v="280367"/>
        <n v="1014179"/>
        <n v="6089352"/>
        <n v="2634122"/>
        <n v="1148891"/>
        <n v="6881698"/>
        <n v="2991604"/>
        <n v="1287944"/>
        <n v="7550782"/>
        <n v="3235864"/>
        <n v="1402874"/>
        <n v="8317730"/>
        <n v="3566691"/>
        <n v="1478149"/>
        <n v="8528977"/>
        <n v="3725739"/>
        <n v="1540155"/>
        <n v="8938743"/>
        <n v="3968886"/>
        <n v="1587086"/>
        <n v="9107189"/>
        <n v="3884355"/>
        <n v="1520764"/>
        <n v="8759644"/>
        <n v="3801421"/>
        <n v="1511770"/>
        <n v="8823117"/>
        <n v="3860591"/>
        <n v="1550392"/>
        <n v="8864448"/>
        <n v="3898677"/>
        <n v="1259676"/>
        <n v="7418173"/>
        <n v="3135497"/>
        <n v="1343135"/>
        <n v="7751025"/>
        <n v="3240899"/>
        <n v="1220420"/>
        <n v="6905886"/>
        <n v="2893773"/>
        <n v="1322159"/>
        <n v="7520574"/>
        <n v="3096091"/>
        <n v="1379392"/>
        <n v="7649368"/>
        <n v="3049289"/>
        <n v="1393349"/>
        <n v="7698000"/>
        <n v="3077808"/>
        <m/>
      </sharedItems>
    </cacheField>
    <cacheField name="diesel_car_sales" numFmtId="0">
      <sharedItems containsString="0" containsBlank="1" containsNumber="1" containsInteger="1" minValue="150" maxValue="2014595" count="1195">
        <n v="61921"/>
        <n v="73089"/>
        <n v="20462"/>
        <n v="65395"/>
        <n v="77684"/>
        <n v="21969"/>
        <n v="64310"/>
        <n v="77939"/>
        <n v="21430"/>
        <n v="67640"/>
        <n v="80035"/>
        <n v="22269"/>
        <n v="67173"/>
        <n v="81972"/>
        <n v="22483"/>
        <n v="67888"/>
        <n v="82387"/>
        <n v="22939"/>
        <n v="70786"/>
        <n v="84625"/>
        <n v="23193"/>
        <n v="73081"/>
        <n v="85678"/>
        <n v="23692"/>
        <n v="65113"/>
        <n v="78035"/>
        <n v="22043"/>
        <n v="64190"/>
        <n v="74963"/>
        <n v="20878"/>
        <n v="55277"/>
        <n v="66334"/>
        <n v="18313"/>
        <n v="61774"/>
        <n v="71868"/>
        <n v="19831"/>
        <n v="62979"/>
        <n v="70537"/>
        <n v="19226"/>
        <n v="71646"/>
        <n v="81195"/>
        <n v="21778"/>
        <n v="71611"/>
        <n v="79397"/>
        <n v="21143"/>
        <n v="71254"/>
        <n v="79291"/>
        <n v="20472"/>
        <n v="19584"/>
        <n v="23580"/>
        <n v="6457"/>
        <n v="19734"/>
        <n v="23165"/>
        <n v="6499"/>
        <n v="19120"/>
        <n v="23103"/>
        <n v="6151"/>
        <n v="18547"/>
        <n v="22625"/>
        <n v="6307"/>
        <n v="18531"/>
        <n v="22391"/>
        <n v="6281"/>
        <n v="19702"/>
        <n v="23380"/>
        <n v="6574"/>
        <n v="20336"/>
        <n v="24149"/>
        <n v="6653"/>
        <n v="20337"/>
        <n v="24448"/>
        <n v="6741"/>
        <n v="20110"/>
        <n v="23905"/>
        <n v="6557"/>
        <n v="19204"/>
        <n v="22672"/>
        <n v="6214"/>
        <n v="14349"/>
        <n v="15990"/>
        <n v="4260"/>
        <n v="13397"/>
        <n v="13892"/>
        <n v="3377"/>
        <n v="12031"/>
        <n v="12788"/>
        <n v="3093"/>
        <n v="13640"/>
        <n v="14019"/>
        <n v="3584"/>
        <n v="13439"/>
        <n v="13528"/>
        <n v="3318"/>
        <n v="14119"/>
        <n v="14283"/>
        <n v="3261"/>
        <n v="33405"/>
        <n v="39852"/>
        <n v="10952"/>
        <n v="31785"/>
        <n v="37728"/>
        <n v="10333"/>
        <n v="29711"/>
        <n v="35965"/>
        <n v="10101"/>
        <n v="29782"/>
        <n v="36115"/>
        <n v="9739"/>
        <n v="29305"/>
        <n v="35831"/>
        <n v="9738"/>
        <n v="30024"/>
        <n v="35868"/>
        <n v="9931"/>
        <n v="30954"/>
        <n v="37222"/>
        <n v="10292"/>
        <n v="33223"/>
        <n v="39387"/>
        <n v="10682"/>
        <n v="32396"/>
        <n v="38820"/>
        <n v="10691"/>
        <n v="33742"/>
        <n v="38984"/>
        <n v="10696"/>
        <n v="24730"/>
        <n v="27632"/>
        <n v="7269"/>
        <n v="23150"/>
        <n v="23576"/>
        <n v="5762"/>
        <n v="21871"/>
        <n v="21854"/>
        <n v="5199"/>
        <n v="23896"/>
        <n v="23703"/>
        <n v="5689"/>
        <n v="24946"/>
        <n v="24991"/>
        <n v="5931"/>
        <n v="24897"/>
        <n v="23187"/>
        <n v="5347"/>
        <n v="212794"/>
        <n v="251204"/>
        <n v="70782"/>
        <n v="215118"/>
        <n v="261528"/>
        <n v="72577"/>
        <n v="222071"/>
        <n v="265185"/>
        <n v="74045"/>
        <n v="228079"/>
        <n v="269742"/>
        <n v="76027"/>
        <n v="196520"/>
        <n v="242144"/>
        <n v="65134"/>
        <n v="157366"/>
        <n v="188613"/>
        <n v="51885"/>
        <n v="145905"/>
        <n v="174495"/>
        <n v="48343"/>
        <n v="133859"/>
        <n v="160173"/>
        <n v="45642"/>
        <n v="150943"/>
        <n v="185026"/>
        <n v="50861"/>
        <n v="165461"/>
        <n v="199367"/>
        <n v="54584"/>
        <n v="124830"/>
        <n v="147787"/>
        <n v="42188"/>
        <n v="129105"/>
        <n v="153662"/>
        <n v="42277"/>
        <n v="126356"/>
        <n v="149243"/>
        <n v="41538"/>
        <n v="137609"/>
        <n v="163470"/>
        <n v="44924"/>
        <n v="148073"/>
        <n v="173536"/>
        <n v="46790"/>
        <n v="149198"/>
        <n v="176949"/>
        <n v="47008"/>
        <n v="94004"/>
        <n v="111138"/>
        <n v="31228"/>
        <n v="99007"/>
        <n v="119873"/>
        <n v="32221"/>
        <n v="101424"/>
        <n v="121751"/>
        <n v="34770"/>
        <n v="104954"/>
        <n v="127689"/>
        <n v="35883"/>
        <n v="110700"/>
        <n v="131916"/>
        <n v="36218"/>
        <n v="114252"/>
        <n v="136370"/>
        <n v="38051"/>
        <n v="115997"/>
        <n v="141283"/>
        <n v="39491"/>
        <n v="121337"/>
        <n v="140658"/>
        <n v="39540"/>
        <n v="116512"/>
        <n v="137667"/>
        <n v="38020"/>
        <n v="114904"/>
        <n v="137472"/>
        <n v="37511"/>
        <n v="92901"/>
        <n v="108542"/>
        <n v="29804"/>
        <n v="98356"/>
        <n v="112434"/>
        <n v="30820"/>
        <n v="88661"/>
        <n v="101094"/>
        <n v="27229"/>
        <n v="98845"/>
        <n v="108298"/>
        <n v="28388"/>
        <n v="98814"/>
        <n v="108621"/>
        <n v="28214"/>
        <n v="101038"/>
        <n v="107579"/>
        <n v="27471"/>
        <n v="1114476"/>
        <n v="1317673"/>
        <n v="360861"/>
        <n v="1162934"/>
        <n v="1367393"/>
        <n v="388883"/>
        <n v="1230416"/>
        <n v="1498644"/>
        <n v="413528"/>
        <n v="1295251"/>
        <n v="1543938"/>
        <n v="435593"/>
        <n v="1357300"/>
        <n v="1629330"/>
        <n v="455267"/>
        <n v="1484862"/>
        <n v="1785916"/>
        <n v="494294"/>
        <n v="1572920"/>
        <n v="1902604"/>
        <n v="516562"/>
        <n v="1735346"/>
        <n v="2014595"/>
        <n v="556139"/>
        <n v="1587051"/>
        <n v="1869382"/>
        <n v="510129"/>
        <n v="1506304"/>
        <n v="1770066"/>
        <n v="485545"/>
        <n v="1454598"/>
        <n v="1705958"/>
        <n v="455011"/>
        <n v="1482198"/>
        <n v="1609282"/>
        <n v="418480"/>
        <n v="1467742"/>
        <n v="1461078"/>
        <n v="355238"/>
        <n v="1626640"/>
        <n v="1600240"/>
        <n v="374719"/>
        <n v="1642709"/>
        <n v="1494356"/>
        <n v="325999"/>
        <n v="1617743"/>
        <n v="1341591"/>
        <n v="253662"/>
        <n v="139010"/>
        <n v="163976"/>
        <n v="45634"/>
        <n v="128682"/>
        <n v="152617"/>
        <n v="42226"/>
        <n v="117394"/>
        <n v="143838"/>
        <n v="39644"/>
        <n v="107865"/>
        <n v="129088"/>
        <n v="35244"/>
        <n v="111350"/>
        <n v="132030"/>
        <n v="36757"/>
        <n v="113192"/>
        <n v="135845"/>
        <n v="36906"/>
        <n v="119718"/>
        <n v="144794"/>
        <n v="40059"/>
        <n v="122967"/>
        <n v="148919"/>
        <n v="40665"/>
        <n v="129523"/>
        <n v="153313"/>
        <n v="42614"/>
        <n v="136418"/>
        <n v="161973"/>
        <n v="43541"/>
        <n v="93094"/>
        <n v="103010"/>
        <n v="26178"/>
        <n v="91278"/>
        <n v="95829"/>
        <n v="24064"/>
        <n v="86606"/>
        <n v="88606"/>
        <n v="21706"/>
        <n v="98506"/>
        <n v="98499"/>
        <n v="23794"/>
        <n v="101257"/>
        <n v="100164"/>
        <n v="23223"/>
        <n v="103776"/>
        <n v="103344"/>
        <n v="24170"/>
        <n v="176060"/>
        <n v="207042"/>
        <n v="58088"/>
        <n v="172088"/>
        <n v="209124"/>
        <n v="57477"/>
        <n v="174290"/>
        <n v="209356"/>
        <n v="58411"/>
        <n v="175743"/>
        <n v="210159"/>
        <n v="57881"/>
        <n v="182166"/>
        <n v="215842"/>
        <n v="60335"/>
        <n v="187683"/>
        <n v="228333"/>
        <n v="63451"/>
        <n v="199394"/>
        <n v="241992"/>
        <n v="67182"/>
        <n v="212096"/>
        <n v="250353"/>
        <n v="71041"/>
        <n v="215671"/>
        <n v="252783"/>
        <n v="69177"/>
        <n v="208830"/>
        <n v="244779"/>
        <n v="67569"/>
        <n v="168080"/>
        <n v="182527"/>
        <n v="46828"/>
        <n v="142522"/>
        <n v="137264"/>
        <n v="32866"/>
        <n v="139863"/>
        <n v="132207"/>
        <n v="29280"/>
        <n v="159110"/>
        <n v="156676"/>
        <n v="35259"/>
        <n v="147971"/>
        <n v="137982"/>
        <n v="30554"/>
        <n v="153893"/>
        <n v="140341"/>
        <n v="31077"/>
        <n v="181951"/>
        <n v="214738"/>
        <n v="59848"/>
        <n v="189593"/>
        <n v="223593"/>
        <n v="62782"/>
        <n v="188235"/>
        <n v="225806"/>
        <n v="61969"/>
        <n v="197894"/>
        <n v="233059"/>
        <n v="64852"/>
        <n v="195639"/>
        <n v="236513"/>
        <n v="66709"/>
        <n v="208119"/>
        <n v="246521"/>
        <n v="68850"/>
        <n v="222826"/>
        <n v="267769"/>
        <n v="75392"/>
        <n v="243602"/>
        <n v="284727"/>
        <n v="80382"/>
        <n v="230155"/>
        <n v="274329"/>
        <n v="77216"/>
        <n v="230184"/>
        <n v="274695"/>
        <n v="76779"/>
        <n v="178457"/>
        <n v="215357"/>
        <n v="59828"/>
        <n v="223214"/>
        <n v="267145"/>
        <n v="74692"/>
        <n v="286335"/>
        <n v="349562"/>
        <n v="95514"/>
        <n v="299901"/>
        <n v="358299"/>
        <n v="97187"/>
        <n v="325142"/>
        <n v="377030"/>
        <n v="104085"/>
        <n v="324642"/>
        <n v="389170"/>
        <n v="107619"/>
        <n v="46290"/>
        <n v="55343"/>
        <n v="15030"/>
        <n v="57267"/>
        <n v="66916"/>
        <n v="18783"/>
        <n v="64868"/>
        <n v="78703"/>
        <n v="21708"/>
        <n v="74244"/>
        <n v="88754"/>
        <n v="24884"/>
        <n v="66384"/>
        <n v="80331"/>
        <n v="22470"/>
        <n v="62826"/>
        <n v="74368"/>
        <n v="20768"/>
        <n v="62027"/>
        <n v="72751"/>
        <n v="20572"/>
        <n v="64004"/>
        <n v="79222"/>
        <n v="21432"/>
        <n v="63689"/>
        <n v="77598"/>
        <n v="21374"/>
        <n v="59235"/>
        <n v="70154"/>
        <n v="20184"/>
        <n v="31737"/>
        <n v="38253"/>
        <n v="10596"/>
        <n v="53726"/>
        <n v="63819"/>
        <n v="17958"/>
        <n v="61304"/>
        <n v="72827"/>
        <n v="20046"/>
        <n v="60858"/>
        <n v="71912"/>
        <n v="19275"/>
        <n v="61539"/>
        <n v="73399"/>
        <n v="20007"/>
        <n v="62605"/>
        <n v="74210"/>
        <n v="19962"/>
        <n v="115650"/>
        <n v="143250"/>
        <n v="39037"/>
        <n v="103634"/>
        <n v="124072"/>
        <n v="33624"/>
        <n v="90868"/>
        <n v="108556"/>
        <n v="30496"/>
        <n v="76437"/>
        <n v="90609"/>
        <n v="26096"/>
        <n v="86554"/>
        <n v="103922"/>
        <n v="28918"/>
        <n v="95296"/>
        <n v="114254"/>
        <n v="31883"/>
        <n v="111057"/>
        <n v="131314"/>
        <n v="36321"/>
        <n v="117601"/>
        <n v="145388"/>
        <n v="40391"/>
        <n v="116227"/>
        <n v="139579"/>
        <n v="38280"/>
        <n v="115798"/>
        <n v="138807"/>
        <n v="38094"/>
        <n v="80343"/>
        <n v="91944"/>
        <n v="25132"/>
        <n v="85413"/>
        <n v="96687"/>
        <n v="25283"/>
        <n v="77220"/>
        <n v="86878"/>
        <n v="22960"/>
        <n v="89585"/>
        <n v="102419"/>
        <n v="27274"/>
        <n v="93347"/>
        <n v="103610"/>
        <n v="27998"/>
        <n v="90941"/>
        <n v="102639"/>
        <n v="26276"/>
        <n v="306203"/>
        <n v="363200"/>
        <n v="98979"/>
        <n v="309482"/>
        <n v="377282"/>
        <n v="103125"/>
        <n v="321854"/>
        <n v="382336"/>
        <n v="105513"/>
        <n v="329682"/>
        <n v="395045"/>
        <n v="108905"/>
        <n v="322402"/>
        <n v="376108"/>
        <n v="104598"/>
        <n v="296422"/>
        <n v="352508"/>
        <n v="97864"/>
        <n v="307970"/>
        <n v="369153"/>
        <n v="103324"/>
        <n v="306216"/>
        <n v="357818"/>
        <n v="101823"/>
        <n v="310782"/>
        <n v="370512"/>
        <n v="103169"/>
        <n v="305802"/>
        <n v="360236"/>
        <n v="100354"/>
        <n v="273678"/>
        <n v="327120"/>
        <n v="91432"/>
        <n v="266157"/>
        <n v="317107"/>
        <n v="88111"/>
        <n v="257814"/>
        <n v="300470"/>
        <n v="81028"/>
        <n v="280809"/>
        <n v="328260"/>
        <n v="88905"/>
        <n v="284315"/>
        <n v="332449"/>
        <n v="92729"/>
        <n v="282289"/>
        <n v="317771"/>
        <n v="86397"/>
        <n v="48289"/>
        <n v="59331"/>
        <n v="16302"/>
        <n v="53892"/>
        <n v="66337"/>
        <n v="18362"/>
        <n v="59032"/>
        <n v="70222"/>
        <n v="19539"/>
        <n v="63576"/>
        <n v="74806"/>
        <n v="21139"/>
        <n v="72736"/>
        <n v="87813"/>
        <n v="24331"/>
        <n v="78689"/>
        <n v="92654"/>
        <n v="26282"/>
        <n v="101829"/>
        <n v="28338"/>
        <n v="92439"/>
        <n v="111613"/>
        <n v="30796"/>
        <n v="85770"/>
        <n v="102821"/>
        <n v="28728"/>
        <n v="79227"/>
        <n v="95166"/>
        <n v="26563"/>
        <n v="57251"/>
        <n v="68290"/>
        <n v="19086"/>
        <n v="60215"/>
        <n v="73258"/>
        <n v="20474"/>
        <n v="64400"/>
        <n v="76502"/>
        <n v="20957"/>
        <n v="76368"/>
        <n v="92186"/>
        <n v="25621"/>
        <n v="75684"/>
        <n v="91014"/>
        <n v="25003"/>
        <n v="83962"/>
        <n v="99188"/>
        <n v="26837"/>
        <n v="28600"/>
        <n v="33964"/>
        <n v="9502"/>
        <n v="26502"/>
        <n v="31427"/>
        <n v="8880"/>
        <n v="25776"/>
        <n v="30783"/>
        <n v="8353"/>
        <n v="25580"/>
        <n v="29628"/>
        <n v="8121"/>
        <n v="25126"/>
        <n v="29448"/>
        <n v="8036"/>
        <n v="26408"/>
        <n v="31281"/>
        <n v="8522"/>
        <n v="25319"/>
        <n v="29220"/>
        <n v="7822"/>
        <n v="27747"/>
        <n v="7718"/>
        <n v="24945"/>
        <n v="28553"/>
        <n v="7759"/>
        <n v="25248"/>
        <n v="27924"/>
        <n v="6982"/>
        <n v="20244"/>
        <n v="20515"/>
        <n v="5124"/>
        <n v="20225"/>
        <n v="21121"/>
        <n v="5293"/>
        <n v="17411"/>
        <n v="17065"/>
        <n v="4068"/>
        <n v="20320"/>
        <n v="19225"/>
        <n v="4192"/>
        <n v="20934"/>
        <n v="18996"/>
        <n v="4058"/>
        <n v="21434"/>
        <n v="18806"/>
        <n v="3877"/>
        <n v="7854"/>
        <n v="9499"/>
        <n v="2663"/>
        <n v="8283"/>
        <n v="9675"/>
        <n v="2679"/>
        <n v="8421"/>
        <n v="9849"/>
        <n v="2662"/>
        <n v="8106"/>
        <n v="9384"/>
        <n v="2444"/>
        <n v="8392"/>
        <n v="9330"/>
        <n v="2384"/>
        <n v="8728"/>
        <n v="9456"/>
        <n v="2416"/>
        <n v="8630"/>
        <n v="9206"/>
        <n v="2370"/>
        <n v="8462"/>
        <n v="8330"/>
        <n v="2020"/>
        <n v="8249"/>
        <n v="7601"/>
        <n v="1698"/>
        <n v="7285"/>
        <n v="5849"/>
        <n v="1127"/>
        <n v="6778"/>
        <n v="4602"/>
        <n v="577"/>
        <n v="8143"/>
        <n v="4238"/>
        <n v="179"/>
        <n v="6308"/>
        <n v="1121"/>
        <n v="152"/>
        <n v="6804"/>
        <n v="3131"/>
        <n v="150"/>
        <n v="6713"/>
        <n v="2007"/>
        <n v="155"/>
        <n v="6563"/>
        <n v="1563"/>
        <n v="157"/>
        <n v="20309"/>
        <n v="24520"/>
        <n v="6735"/>
        <n v="20461"/>
        <n v="24465"/>
        <n v="6654"/>
        <n v="19562"/>
        <n v="23293"/>
        <n v="6572"/>
        <n v="19388"/>
        <n v="23555"/>
        <n v="6556"/>
        <n v="22710"/>
        <n v="26385"/>
        <n v="7391"/>
        <n v="24318"/>
        <n v="29306"/>
        <n v="8025"/>
        <n v="26895"/>
        <n v="31598"/>
        <n v="9009"/>
        <n v="28889"/>
        <n v="35341"/>
        <n v="9824"/>
        <n v="31071"/>
        <n v="37041"/>
        <n v="10238"/>
        <n v="34074"/>
        <n v="40783"/>
        <n v="11167"/>
        <n v="24916"/>
        <n v="29928"/>
        <n v="8158"/>
        <n v="27351"/>
        <n v="31763"/>
        <n v="8678"/>
        <n v="24440"/>
        <n v="27985"/>
        <n v="7697"/>
        <n v="27968"/>
        <n v="31724"/>
        <n v="8724"/>
        <n v="30008"/>
        <n v="33893"/>
        <n v="9085"/>
        <n v="31485"/>
        <n v="34540"/>
        <n v="9215"/>
        <n v="13878"/>
        <n v="16703"/>
        <n v="4621"/>
        <n v="10988"/>
        <n v="13268"/>
        <n v="3713"/>
        <n v="9385"/>
        <n v="11153"/>
        <n v="3062"/>
        <n v="6988"/>
        <n v="8168"/>
        <n v="2306"/>
        <n v="10572"/>
        <n v="2974"/>
        <n v="10464"/>
        <n v="12802"/>
        <n v="3534"/>
        <n v="12240"/>
        <n v="14728"/>
        <n v="3990"/>
        <n v="13159"/>
        <n v="15797"/>
        <n v="4326"/>
        <n v="14604"/>
        <n v="17439"/>
        <n v="4746"/>
        <n v="15302"/>
        <n v="17625"/>
        <n v="4991"/>
        <n v="10368"/>
        <n v="11331"/>
        <n v="2982"/>
        <n v="11234"/>
        <n v="12113"/>
        <n v="9888"/>
        <n v="10301"/>
        <n v="2638"/>
        <n v="11519"/>
        <n v="11682"/>
        <n v="2922"/>
        <n v="12188"/>
        <n v="11846"/>
        <n v="2824"/>
        <n v="12198"/>
        <n v="11940"/>
        <n v="2809"/>
        <n v="88351"/>
        <n v="105846"/>
        <n v="29437"/>
        <n v="90033"/>
        <n v="108169"/>
        <n v="30249"/>
        <n v="94126"/>
        <n v="110290"/>
        <n v="31543"/>
        <n v="90270"/>
        <n v="105252"/>
        <n v="30721"/>
        <n v="100627"/>
        <n v="120627"/>
        <n v="34040"/>
        <n v="115128"/>
        <n v="140144"/>
        <n v="38060"/>
        <n v="108738"/>
        <n v="130119"/>
        <n v="35917"/>
        <n v="109298"/>
        <n v="128746"/>
        <n v="35668"/>
        <n v="107009"/>
        <n v="129890"/>
        <n v="35589"/>
        <n v="105403"/>
        <n v="123993"/>
        <n v="34559"/>
        <n v="112517"/>
        <n v="132800"/>
        <n v="36483"/>
        <n v="101053"/>
        <n v="116244"/>
        <n v="31224"/>
        <n v="99658"/>
        <n v="109194"/>
        <n v="29304"/>
        <n v="98630"/>
        <n v="110821"/>
        <n v="28613"/>
        <n v="96208"/>
        <n v="106348"/>
        <n v="27158"/>
        <n v="96962"/>
        <n v="105331"/>
        <n v="26801"/>
        <n v="58520"/>
        <n v="68598"/>
        <n v="19627"/>
        <n v="53059"/>
        <n v="65309"/>
        <n v="17914"/>
        <n v="47320"/>
        <n v="59041"/>
        <n v="15807"/>
        <n v="42162"/>
        <n v="51495"/>
        <n v="14148"/>
        <n v="53187"/>
        <n v="64114"/>
        <n v="17778"/>
        <n v="61358"/>
        <n v="73652"/>
        <n v="20291"/>
        <n v="69023"/>
        <n v="83463"/>
        <n v="22938"/>
        <n v="74345"/>
        <n v="91456"/>
        <n v="25201"/>
        <n v="74976"/>
        <n v="90380"/>
        <n v="24506"/>
        <n v="73488"/>
        <n v="87657"/>
        <n v="24447"/>
        <n v="50798"/>
        <n v="59225"/>
        <n v="15825"/>
        <n v="52001"/>
        <n v="58888"/>
        <n v="15726"/>
        <n v="47736"/>
        <n v="53604"/>
        <n v="14368"/>
        <n v="55632"/>
        <n v="63459"/>
        <n v="16777"/>
        <n v="55687"/>
        <n v="63775"/>
        <n v="16318"/>
        <n v="59558"/>
        <n v="65483"/>
        <n v="16885"/>
        <n v="18258"/>
        <n v="21505"/>
        <n v="5907"/>
        <n v="16786"/>
        <n v="20096"/>
        <n v="5595"/>
        <n v="16136"/>
        <n v="19319"/>
        <n v="5367"/>
        <n v="15820"/>
        <n v="19553"/>
        <n v="5262"/>
        <n v="18445"/>
        <n v="22153"/>
        <n v="5916"/>
        <n v="20673"/>
        <n v="23882"/>
        <n v="6632"/>
        <n v="21393"/>
        <n v="25286"/>
        <n v="6883"/>
        <n v="21590"/>
        <n v="24820"/>
        <n v="6793"/>
        <n v="22222"/>
        <n v="24729"/>
        <n v="6745"/>
        <n v="20386"/>
        <n v="22936"/>
        <n v="6053"/>
        <n v="15672"/>
        <n v="15676"/>
        <n v="3694"/>
        <n v="15579"/>
        <n v="13179"/>
        <n v="2576"/>
        <n v="13796"/>
        <n v="10003"/>
        <n v="1555"/>
        <n v="14503"/>
        <n v="11253"/>
        <n v="1920"/>
        <n v="14411"/>
        <n v="10340"/>
        <n v="1574"/>
        <n v="14781"/>
        <n v="10449"/>
        <n v="1474"/>
        <n v="17250"/>
        <n v="20469"/>
        <n v="5734"/>
        <n v="16842"/>
        <n v="19830"/>
        <n v="5478"/>
        <n v="18162"/>
        <n v="20789"/>
        <n v="5921"/>
        <n v="17763"/>
        <n v="21494"/>
        <n v="18947"/>
        <n v="22490"/>
        <n v="6261"/>
        <n v="19098"/>
        <n v="23138"/>
        <n v="6318"/>
        <n v="19371"/>
        <n v="22804"/>
        <n v="6348"/>
        <n v="18593"/>
        <n v="21956"/>
        <n v="6015"/>
        <n v="18304"/>
        <n v="21953"/>
        <n v="5983"/>
        <n v="18211"/>
        <n v="21224"/>
        <n v="13798"/>
        <n v="15401"/>
        <n v="4030"/>
        <n v="13114"/>
        <n v="13534"/>
        <n v="3427"/>
        <n v="12604"/>
        <n v="12618"/>
        <n v="3069"/>
        <n v="13456"/>
        <n v="13658"/>
        <n v="3215"/>
        <n v="13821"/>
        <n v="13541"/>
        <n v="3188"/>
        <n v="14154"/>
        <n v="13374"/>
        <n v="3072"/>
        <n v="49724"/>
        <n v="58239"/>
        <n v="16002"/>
        <n v="56890"/>
        <n v="69364"/>
        <n v="19085"/>
        <n v="66882"/>
        <n v="83014"/>
        <n v="22753"/>
        <n v="80518"/>
        <n v="96817"/>
        <n v="26391"/>
        <n v="63811"/>
        <n v="77768"/>
        <n v="21503"/>
        <n v="49408"/>
        <n v="59745"/>
        <n v="16616"/>
        <n v="52281"/>
        <n v="61124"/>
        <n v="17098"/>
        <n v="51042"/>
        <n v="60369"/>
        <n v="17291"/>
        <n v="57149"/>
        <n v="68028"/>
        <n v="18585"/>
        <n v="59034"/>
        <n v="70856"/>
        <n v="20192"/>
        <n v="47701"/>
        <n v="56437"/>
        <n v="15816"/>
        <n v="44523"/>
        <n v="53151"/>
        <n v="14899"/>
        <n v="50734"/>
        <n v="59685"/>
        <n v="16273"/>
        <n v="49722"/>
        <n v="55939"/>
        <n v="15184"/>
        <n v="52055"/>
        <n v="57245"/>
        <n v="15016"/>
        <n v="54636"/>
        <n v="57744"/>
        <n v="14718"/>
        <n v="46059"/>
        <n v="54827"/>
        <n v="15471"/>
        <n v="48774"/>
        <n v="59246"/>
        <n v="16005"/>
        <n v="50092"/>
        <n v="59967"/>
        <n v="16867"/>
        <n v="50152"/>
        <n v="61338"/>
        <n v="16795"/>
        <n v="52038"/>
        <n v="61896"/>
        <n v="17898"/>
        <n v="58742"/>
        <n v="69722"/>
        <n v="19480"/>
        <n v="56998"/>
        <n v="67798"/>
        <n v="18910"/>
        <n v="58730"/>
        <n v="71068"/>
        <n v="19521"/>
        <n v="41626"/>
        <n v="51178"/>
        <n v="14072"/>
        <n v="28767"/>
        <n v="34056"/>
        <n v="9464"/>
        <n v="45620"/>
        <n v="53745"/>
        <n v="14954"/>
        <n v="45674"/>
        <n v="57000"/>
        <n v="15473"/>
        <n v="47196"/>
        <n v="56070"/>
        <n v="15638"/>
        <n v="69873"/>
        <n v="79920"/>
        <n v="21727"/>
        <n v="64600"/>
        <n v="72698"/>
        <n v="19445"/>
        <n v="62044"/>
        <n v="69743"/>
        <n v="18452"/>
        <n v="122020"/>
        <n v="145503"/>
        <n v="40094"/>
        <n v="123497"/>
        <n v="149404"/>
        <n v="40948"/>
        <n v="130920"/>
        <n v="157034"/>
        <n v="44518"/>
        <n v="132259"/>
        <n v="162680"/>
        <n v="44065"/>
        <n v="152708"/>
        <n v="180310"/>
        <n v="49071"/>
        <n v="158406"/>
        <n v="185573"/>
        <n v="52028"/>
        <n v="155604"/>
        <n v="186027"/>
        <n v="51227"/>
        <n v="152862"/>
        <n v="180125"/>
        <n v="49458"/>
        <n v="147004"/>
        <n v="171104"/>
        <n v="47525"/>
        <n v="134589"/>
        <n v="160680"/>
        <n v="42820"/>
        <n v="93573"/>
        <n v="102191"/>
        <n v="27310"/>
        <n v="94356"/>
        <n v="97118"/>
        <n v="23744"/>
        <n v="87562"/>
        <n v="89516"/>
        <n v="21386"/>
        <n v="101690"/>
        <n v="103621"/>
        <n v="25548"/>
        <n v="102388"/>
        <n v="104554"/>
        <n v="25688"/>
        <n v="104074"/>
        <n v="103870"/>
        <n v="24380"/>
        <n v="676540"/>
        <n v="831403"/>
        <n v="229466"/>
        <n v="765928"/>
        <n v="938413"/>
        <n v="260140"/>
        <n v="858629"/>
        <n v="1029652"/>
        <n v="281380"/>
        <n v="935249"/>
        <n v="1134236"/>
        <n v="310147"/>
        <n v="985432"/>
        <n v="1163042"/>
        <n v="323977"/>
        <n v="1026770"/>
        <n v="1218919"/>
        <n v="345120"/>
        <n v="1058057"/>
        <n v="1241889"/>
        <n v="337770"/>
        <n v="1013843"/>
        <n v="1194497"/>
        <n v="330558"/>
        <n v="1007847"/>
        <n v="1203152"/>
        <n v="335704"/>
        <n v="1033595"/>
        <n v="1208788"/>
        <n v="339015"/>
        <n v="839784"/>
        <n v="1011569"/>
        <n v="272652"/>
        <n v="895424"/>
        <n v="1056958"/>
        <n v="281817"/>
        <n v="813614"/>
        <n v="941712"/>
        <n v="251632"/>
        <n v="881439"/>
        <n v="1025533"/>
        <n v="269225"/>
        <n v="919594"/>
        <n v="1043096"/>
        <n v="265156"/>
        <n v="928899"/>
        <n v="1049727"/>
        <n v="267636"/>
        <m/>
      </sharedItems>
    </cacheField>
    <cacheField name="total_vehicle_sales" numFmtId="0">
      <sharedItems containsString="0" containsBlank="1" containsNumber="1" containsInteger="1" minValue="17480" maxValue="18849977"/>
    </cacheField>
    <cacheField name="ev_market_share" numFmtId="0">
      <sharedItems containsString="0" containsBlank="1" containsNumber="1" minValue="0" maxValue="95"/>
    </cacheField>
    <cacheField name="charging_stations" numFmtId="0">
      <sharedItems containsString="0" containsBlank="1" containsNumber="1" containsInteger="1" minValue="0" maxValue="4338106" count="381">
        <n v="0"/>
        <n v="105"/>
        <n v="191"/>
        <n v="306"/>
        <n v="408"/>
        <n v="562"/>
        <n v="1017"/>
        <n v="1540"/>
        <n v="2046"/>
        <n v="2610"/>
        <n v="3031"/>
        <n v="4245"/>
        <n v="4928"/>
        <n v="6741"/>
        <n v="10083"/>
        <n v="13357"/>
        <n v="106"/>
        <n v="245"/>
        <n v="399"/>
        <n v="515"/>
        <n v="1521"/>
        <n v="2292"/>
        <n v="3438"/>
        <n v="4874"/>
        <n v="6365"/>
        <n v="8257"/>
        <n v="10082"/>
        <n v="13094"/>
        <n v="16353"/>
        <n v="20878"/>
        <n v="26311"/>
        <n v="28762"/>
        <n v="101"/>
        <n v="221"/>
        <n v="380"/>
        <n v="512"/>
        <n v="1241"/>
        <n v="2036"/>
        <n v="3544"/>
        <n v="4987"/>
        <n v="6279"/>
        <n v="7817"/>
        <n v="12649"/>
        <n v="17869"/>
        <n v="21777"/>
        <n v="29142"/>
        <n v="36474"/>
        <n v="41981"/>
        <n v="21"/>
        <n v="39"/>
        <n v="58"/>
        <n v="82"/>
        <n v="103"/>
        <n v="158"/>
        <n v="234"/>
        <n v="309"/>
        <n v="615"/>
        <n v="991"/>
        <n v="2165"/>
        <n v="2851"/>
        <n v="6245"/>
        <n v="10131"/>
        <n v="16549"/>
        <n v="102"/>
        <n v="410"/>
        <n v="732"/>
        <n v="1030"/>
        <n v="2044"/>
        <n v="3012"/>
        <n v="4351"/>
        <n v="6308"/>
        <n v="9677"/>
        <n v="12901"/>
        <n v="16296"/>
        <n v="19547"/>
        <n v="22584"/>
        <n v="27273"/>
        <n v="39111"/>
        <n v="48202"/>
        <n v="530"/>
        <n v="1862"/>
        <n v="3516"/>
        <n v="5042"/>
        <n v="28663"/>
        <n v="50663"/>
        <n v="128594"/>
        <n v="212120"/>
        <n v="379142"/>
        <n v="508926"/>
        <n v="886513"/>
        <n v="1173925"/>
        <n v="1869115"/>
        <n v="2593024"/>
        <n v="3761208"/>
        <n v="4338106"/>
        <n v="97"/>
        <n v="719"/>
        <n v="1431"/>
        <n v="2015"/>
        <n v="5561"/>
        <n v="8799"/>
        <n v="12854"/>
        <n v="15971"/>
        <n v="23412"/>
        <n v="30154"/>
        <n v="45766"/>
        <n v="52476"/>
        <n v="79878"/>
        <n v="126194"/>
        <n v="152618"/>
        <n v="171174"/>
        <n v="207"/>
        <n v="797"/>
        <n v="1454"/>
        <n v="1939"/>
        <n v="3925"/>
        <n v="5744"/>
        <n v="9544"/>
        <n v="13550"/>
        <n v="22949"/>
        <n v="32917"/>
        <n v="44062"/>
        <n v="52606"/>
        <n v="85692"/>
        <n v="125189"/>
        <n v="147077"/>
        <n v="185439"/>
        <n v="38"/>
        <n v="72"/>
        <n v="118"/>
        <n v="147"/>
        <n v="206"/>
        <n v="413"/>
        <n v="609"/>
        <n v="821"/>
        <n v="1426"/>
        <n v="1987"/>
        <n v="2820"/>
        <n v="6618"/>
        <n v="12051"/>
        <n v="21023"/>
        <n v="34475"/>
        <n v="6"/>
        <n v="12"/>
        <n v="18"/>
        <n v="25"/>
        <n v="33"/>
        <n v="44"/>
        <n v="49"/>
        <n v="131"/>
        <n v="195"/>
        <n v="488"/>
        <n v="1453"/>
        <n v="2818"/>
        <n v="6436"/>
        <n v="9977"/>
        <n v="47"/>
        <n v="209"/>
        <n v="343"/>
        <n v="517"/>
        <n v="1246"/>
        <n v="1768"/>
        <n v="3104"/>
        <n v="3817"/>
        <n v="6437"/>
        <n v="9006"/>
        <n v="12642"/>
        <n v="22496"/>
        <n v="34576"/>
        <n v="48063"/>
        <n v="65326"/>
        <n v="77783"/>
        <n v="2318"/>
        <n v="3571"/>
        <n v="4680"/>
        <n v="13099"/>
        <n v="20717"/>
        <n v="25175"/>
        <n v="29590"/>
        <n v="29251"/>
        <n v="30023"/>
        <n v="29846"/>
        <n v="32130"/>
        <n v="30952"/>
        <n v="36092"/>
        <n v="41956"/>
        <n v="49260"/>
        <n v="36"/>
        <n v="76"/>
        <n v="112"/>
        <n v="150"/>
        <n v="216"/>
        <n v="250"/>
        <n v="288"/>
        <n v="630"/>
        <n v="939"/>
        <n v="1443"/>
        <n v="2059"/>
        <n v="3540"/>
        <n v="4744"/>
        <n v="7945"/>
        <n v="304"/>
        <n v="2175"/>
        <n v="3835"/>
        <n v="5912"/>
        <n v="12010"/>
        <n v="17818"/>
        <n v="25616"/>
        <n v="31883"/>
        <n v="42365"/>
        <n v="51265"/>
        <n v="70476"/>
        <n v="88840"/>
        <n v="114826"/>
        <n v="145934"/>
        <n v="174072"/>
        <n v="196516"/>
        <n v="205"/>
        <n v="1367"/>
        <n v="1841"/>
        <n v="4086"/>
        <n v="5738"/>
        <n v="8227"/>
        <n v="9998"/>
        <n v="11916"/>
        <n v="14779"/>
        <n v="17949"/>
        <n v="19829"/>
        <n v="24419"/>
        <n v="29628"/>
        <n v="33158"/>
        <n v="35915"/>
        <n v="69"/>
        <n v="108"/>
        <n v="153"/>
        <n v="193"/>
        <n v="493"/>
        <n v="839"/>
        <n v="1260"/>
        <n v="1992"/>
        <n v="2871"/>
        <n v="3706"/>
        <n v="6012"/>
        <n v="7734"/>
        <n v="10596"/>
        <n v="429"/>
        <n v="875"/>
        <n v="1243"/>
        <n v="1363"/>
        <n v="1501"/>
        <n v="1739"/>
        <n v="1932"/>
        <n v="2257"/>
        <n v="3013"/>
        <n v="3578"/>
        <n v="5374"/>
        <n v="6903"/>
        <n v="10197"/>
        <n v="13503"/>
        <n v="17905"/>
        <n v="94"/>
        <n v="226"/>
        <n v="362"/>
        <n v="522"/>
        <n v="1746"/>
        <n v="2993"/>
        <n v="5735"/>
        <n v="9749"/>
        <n v="22623"/>
        <n v="31425"/>
        <n v="56558"/>
        <n v="91122"/>
        <n v="127353"/>
        <n v="172705"/>
        <n v="211626"/>
        <n v="249268"/>
        <n v="51"/>
        <n v="194"/>
        <n v="513"/>
        <n v="1289"/>
        <n v="2016"/>
        <n v="2922"/>
        <n v="3895"/>
        <n v="5672"/>
        <n v="8112"/>
        <n v="10324"/>
        <n v="15373"/>
        <n v="23376"/>
        <n v="32345"/>
        <n v="42696"/>
        <n v="50087"/>
        <n v="109"/>
        <n v="432"/>
        <n v="720"/>
        <n v="974"/>
        <n v="1843"/>
        <n v="2970"/>
        <n v="4094"/>
        <n v="5258"/>
        <n v="7633"/>
        <n v="10289"/>
        <n v="14330"/>
        <n v="15476"/>
        <n v="21283"/>
        <n v="29553"/>
        <n v="35576"/>
        <n v="45844"/>
        <n v="98"/>
        <n v="230"/>
        <n v="361"/>
        <n v="468"/>
        <n v="1271"/>
        <n v="2022"/>
        <n v="2937"/>
        <n v="3886"/>
        <n v="5609"/>
        <n v="6779"/>
        <n v="9057"/>
        <n v="12084"/>
        <n v="15350"/>
        <n v="18901"/>
        <n v="23201"/>
        <n v="28251"/>
        <n v="13"/>
        <n v="24"/>
        <n v="48"/>
        <n v="62"/>
        <n v="77"/>
        <n v="92"/>
        <n v="107"/>
        <n v="293"/>
        <n v="504"/>
        <n v="975"/>
        <n v="2746"/>
        <n v="8246"/>
        <n v="15198"/>
        <n v="25686"/>
        <n v="26"/>
        <n v="65"/>
        <n v="75"/>
        <n v="85"/>
        <n v="298"/>
        <n v="477"/>
        <n v="952"/>
        <n v="3026"/>
        <n v="9970"/>
        <n v="18314"/>
        <n v="27835"/>
        <n v="104"/>
        <n v="605"/>
        <n v="1046"/>
        <n v="1441"/>
        <n v="3169"/>
        <n v="5211"/>
        <n v="8891"/>
        <n v="11246"/>
        <n v="18600"/>
        <n v="24654"/>
        <n v="36758"/>
        <n v="43790"/>
        <n v="46365"/>
        <n v="56485"/>
        <n v="68445"/>
        <n v="82665"/>
        <n v="500"/>
        <n v="2327"/>
        <n v="4176"/>
        <n v="6925"/>
        <n v="10926"/>
        <n v="14121"/>
        <n v="17343"/>
        <n v="20826"/>
        <n v="31182"/>
        <n v="43795"/>
        <n v="41745"/>
        <n v="50615"/>
        <n v="57225"/>
        <n v="67646"/>
        <n v="94953"/>
        <n v="131267"/>
        <m/>
      </sharedItems>
    </cacheField>
    <cacheField name="fast_chargers_share" numFmtId="0">
      <sharedItems containsString="0" containsBlank="1" containsNumber="1" minValue="0" maxValue="49.3"/>
    </cacheField>
    <cacheField name="avg_ev_range_km" numFmtId="0">
      <sharedItems containsString="0" containsBlank="1" containsNumber="1" containsInteger="1" minValue="106" maxValue="507"/>
    </cacheField>
    <cacheField name="fuel_price_usd_per_liter" numFmtId="0">
      <sharedItems containsString="0" containsBlank="1" containsNumber="1" minValue="0.4829" maxValue="2.153"/>
    </cacheField>
    <cacheField name="electricity_price_usd_per_kwh" numFmtId="0">
      <sharedItems containsString="0" containsBlank="1" containsNumber="1" minValue="6.6989999999999994E-2" maxValue="0.37903999999999999"/>
    </cacheField>
    <cacheField name="gdp_per_capita" numFmtId="0">
      <sharedItems containsString="0" containsBlank="1" containsNumber="1" containsInteger="1" minValue="1359" maxValue="103437"/>
    </cacheField>
    <cacheField name="urban_population_percent" numFmtId="0">
      <sharedItems containsString="0" containsBlank="1" containsNumber="1" minValue="30.9" maxValue="98.5"/>
    </cacheField>
    <cacheField name="co2_emissions_transport_mt" numFmtId="0">
      <sharedItems containsString="0" containsBlank="1" containsNumber="1" minValue="5.4" maxValue="1900.8"/>
    </cacheField>
    <cacheField name="ev_subsidy_usd" numFmtId="0">
      <sharedItems containsString="0" containsBlank="1" containsNumber="1" containsInteger="1" minValue="0" maxValue="8952" count="295">
        <n v="0"/>
        <n v="1002"/>
        <n v="1999"/>
        <n v="1998"/>
        <n v="2027"/>
        <n v="2011"/>
        <n v="570"/>
        <n v="1145"/>
        <n v="1707"/>
        <n v="2323"/>
        <n v="2801"/>
        <n v="3445"/>
        <n v="3997"/>
        <n v="4486"/>
        <n v="5026"/>
        <n v="5141"/>
        <n v="5048"/>
        <n v="5053"/>
        <n v="5032"/>
        <n v="5071"/>
        <n v="5068"/>
        <n v="705"/>
        <n v="1388"/>
        <n v="2108"/>
        <n v="2822"/>
        <n v="3577"/>
        <n v="3536"/>
        <n v="3486"/>
        <n v="3543"/>
        <n v="3471"/>
        <n v="3535"/>
        <n v="3520"/>
        <n v="3484"/>
        <n v="1753"/>
        <n v="2986"/>
        <n v="3428"/>
        <n v="3779"/>
        <n v="4233"/>
        <n v="4631"/>
        <n v="5012"/>
        <n v="4937"/>
        <n v="4949"/>
        <n v="4920"/>
        <n v="4987"/>
        <n v="4968"/>
        <n v="5000"/>
        <n v="4982"/>
        <n v="5040"/>
        <n v="5099"/>
        <n v="4999"/>
        <n v="7963"/>
        <n v="8082"/>
        <n v="8199"/>
        <n v="8275"/>
        <n v="8487"/>
        <n v="8615"/>
        <n v="8174"/>
        <n v="7859"/>
        <n v="7500"/>
        <n v="6445"/>
        <n v="5443"/>
        <n v="4503"/>
        <n v="3542"/>
        <n v="5318"/>
        <n v="5540"/>
        <n v="5793"/>
        <n v="6048"/>
        <n v="6161"/>
        <n v="6340"/>
        <n v="6219"/>
        <n v="6034"/>
        <n v="5855"/>
        <n v="6985"/>
        <n v="6537"/>
        <n v="6079"/>
        <n v="5468"/>
        <n v="5020"/>
        <n v="3998"/>
        <n v="662"/>
        <n v="1322"/>
        <n v="2010"/>
        <n v="2667"/>
        <n v="3376"/>
        <n v="4026"/>
        <n v="4670"/>
        <n v="5353"/>
        <n v="5938"/>
        <n v="8952"/>
        <n v="7584"/>
        <n v="6000"/>
        <n v="4586"/>
        <n v="363"/>
        <n v="719"/>
        <n v="1089"/>
        <n v="1437"/>
        <n v="1803"/>
        <n v="1841"/>
        <n v="1885"/>
        <n v="1964"/>
        <n v="2001"/>
        <n v="2139"/>
        <n v="2376"/>
        <n v="2486"/>
        <n v="2741"/>
        <n v="3015"/>
        <n v="3018"/>
        <n v="115"/>
        <n v="234"/>
        <n v="344"/>
        <n v="455"/>
        <n v="579"/>
        <n v="686"/>
        <n v="797"/>
        <n v="909"/>
        <n v="1043"/>
        <n v="1143"/>
        <n v="1284"/>
        <n v="1389"/>
        <n v="1526"/>
        <n v="1470"/>
        <n v="1506"/>
        <n v="664"/>
        <n v="1327"/>
        <n v="2021"/>
        <n v="2613"/>
        <n v="3313"/>
        <n v="4042"/>
        <n v="4682"/>
        <n v="5407"/>
        <n v="5962"/>
        <n v="5901"/>
        <n v="5459"/>
        <n v="5047"/>
        <n v="4499"/>
        <n v="3973"/>
        <n v="2975"/>
        <n v="4452"/>
        <n v="4308"/>
        <n v="4154"/>
        <n v="3902"/>
        <n v="3697"/>
        <n v="3494"/>
        <n v="3570"/>
        <n v="3740"/>
        <n v="3892"/>
        <n v="3954"/>
        <n v="4560"/>
        <n v="5215"/>
        <n v="5776"/>
        <n v="6209"/>
        <n v="6500"/>
        <n v="6576"/>
        <n v="669"/>
        <n v="1334"/>
        <n v="1953"/>
        <n v="2641"/>
        <n v="3343"/>
        <n v="4051"/>
        <n v="4083"/>
        <n v="4104"/>
        <n v="4053"/>
        <n v="3985"/>
        <n v="3444"/>
        <n v="2910"/>
        <n v="2962"/>
        <n v="2947"/>
        <n v="2934"/>
        <n v="461"/>
        <n v="908"/>
        <n v="1382"/>
        <n v="1820"/>
        <n v="2277"/>
        <n v="2813"/>
        <n v="3230"/>
        <n v="3696"/>
        <n v="4064"/>
        <n v="4593"/>
        <n v="4576"/>
        <n v="4565"/>
        <n v="4615"/>
        <n v="4544"/>
        <n v="4658"/>
        <n v="376"/>
        <n v="749"/>
        <n v="1095"/>
        <n v="1508"/>
        <n v="1870"/>
        <n v="2291"/>
        <n v="2498"/>
        <n v="2757"/>
        <n v="2984"/>
        <n v="3333"/>
        <n v="3685"/>
        <n v="4001"/>
        <n v="4041"/>
        <n v="4012"/>
        <n v="3961"/>
        <n v="1253"/>
        <n v="2566"/>
        <n v="3736"/>
        <n v="4893"/>
        <n v="5367"/>
        <n v="5706"/>
        <n v="6151"/>
        <n v="6456"/>
        <n v="6351"/>
        <n v="6386"/>
        <n v="5930"/>
        <n v="5455"/>
        <n v="5356"/>
        <n v="5171"/>
        <n v="5060"/>
        <n v="684"/>
        <n v="1392"/>
        <n v="2102"/>
        <n v="2788"/>
        <n v="3514"/>
        <n v="3964"/>
        <n v="4460"/>
        <n v="5013"/>
        <n v="6020"/>
        <n v="6568"/>
        <n v="7044"/>
        <n v="7094"/>
        <n v="7109"/>
        <n v="6986"/>
        <n v="2235"/>
        <n v="4548"/>
        <n v="4539"/>
        <n v="4442"/>
        <n v="4903"/>
        <n v="5281"/>
        <n v="5618"/>
        <n v="5894"/>
        <n v="5725"/>
        <n v="5412"/>
        <n v="5061"/>
        <n v="2456"/>
        <n v="251"/>
        <n v="500"/>
        <n v="751"/>
        <n v="1242"/>
        <n v="1499"/>
        <n v="1745"/>
        <n v="2004"/>
        <n v="2238"/>
        <n v="2479"/>
        <n v="2732"/>
        <n v="2988"/>
        <n v="3009"/>
        <n v="2487"/>
        <n v="2519"/>
        <n v="270"/>
        <n v="541"/>
        <n v="819"/>
        <n v="1067"/>
        <n v="1374"/>
        <n v="1620"/>
        <n v="1911"/>
        <n v="2189"/>
        <n v="2425"/>
        <n v="2697"/>
        <n v="2977"/>
        <n v="3235"/>
        <n v="3517"/>
        <n v="3515"/>
        <n v="5030"/>
        <n v="5006"/>
        <n v="5017"/>
        <n v="5083"/>
        <n v="4930"/>
        <n v="4971"/>
        <n v="4599"/>
        <n v="4266"/>
        <n v="3826"/>
        <n v="3485"/>
        <n v="2955"/>
        <n v="2539"/>
        <n v="1485"/>
        <n v="7536"/>
        <n v="7513"/>
        <n v="7430"/>
        <n v="7442"/>
        <n v="7419"/>
        <n v="7450"/>
        <n v="7530"/>
        <n v="7392"/>
        <n v="7619"/>
        <n v="7564"/>
        <n v="7498"/>
        <n v="7502"/>
        <n v="7587"/>
        <n v="7476"/>
        <n v="7446"/>
        <m/>
      </sharedItems>
    </cacheField>
    <cacheField name="emission_regulation_score" numFmtId="0">
      <sharedItems containsString="0" containsBlank="1" containsNumber="1" minValue="19.484000000000002" maxValue="95.602000000000004"/>
    </cacheField>
    <cacheField name="ev_growth_rate_yoy" numFmtId="0">
      <sharedItems containsString="0" containsBlank="1" containsNumber="1" minValue="-40.96" maxValue="300" count="1009">
        <n v="0"/>
        <n v="120"/>
        <n v="126.32"/>
        <n v="116.22"/>
        <n v="84.39"/>
        <n v="51.16"/>
        <n v="77.819999999999993"/>
        <n v="93.1"/>
        <n v="105.13"/>
        <n v="106.84"/>
        <n v="68.900000000000006"/>
        <n v="53.75"/>
        <n v="51.65"/>
        <n v="65.459999999999994"/>
        <n v="45.37"/>
        <n v="47.68"/>
        <n v="42.88"/>
        <n v="34.340000000000003"/>
        <n v="32.1"/>
        <n v="88.57"/>
        <n v="84.85"/>
        <n v="86.73"/>
        <n v="29.8"/>
        <n v="32.43"/>
        <n v="35.380000000000003"/>
        <n v="82.1"/>
        <n v="75.64"/>
        <n v="-25.43"/>
        <n v="-23.32"/>
        <n v="-24.03"/>
        <n v="213.47"/>
        <n v="206.44"/>
        <n v="208.12"/>
        <n v="300"/>
        <n v="11.72"/>
        <n v="12.93"/>
        <n v="11.04"/>
        <n v="21.9"/>
        <n v="20.73"/>
        <n v="20.99"/>
        <n v="27.28"/>
        <n v="30.23"/>
        <n v="28.21"/>
        <n v="97.44"/>
        <n v="104.35"/>
        <n v="30.93"/>
        <n v="86.05"/>
        <n v="84.15"/>
        <n v="31.73"/>
        <n v="40"/>
        <n v="70.5"/>
        <n v="88.65"/>
        <n v="187.3"/>
        <n v="191.23"/>
        <n v="85.02"/>
        <n v="58.56"/>
        <n v="59.04"/>
        <n v="116.34"/>
        <n v="114.63"/>
        <n v="110.61"/>
        <n v="62.35"/>
        <n v="64.5"/>
        <n v="65.02"/>
        <n v="47.15"/>
        <n v="46.05"/>
        <n v="45.78"/>
        <n v="33.33"/>
        <n v="33.42"/>
        <n v="33.909999999999997"/>
        <n v="175"/>
        <n v="174.32"/>
        <n v="178.14"/>
        <n v="72.09"/>
        <n v="71.680000000000007"/>
        <n v="66.06"/>
        <n v="-11.79"/>
        <n v="-9.8800000000000008"/>
        <n v="-10.57"/>
        <n v="8.17"/>
        <n v="3.87"/>
        <n v="9.1199999999999992"/>
        <n v="28.33"/>
        <n v="31.51"/>
        <n v="31.5"/>
        <n v="14.25"/>
        <n v="16.82"/>
        <n v="10.61"/>
        <n v="83.33"/>
        <n v="90.91"/>
        <n v="87.5"/>
        <n v="73.209999999999994"/>
        <n v="66.67"/>
        <n v="78.89"/>
        <n v="63.03"/>
        <n v="43.33"/>
        <n v="38.28"/>
        <n v="102.99"/>
        <n v="258.47000000000003"/>
        <n v="261.02"/>
        <n v="107.58"/>
        <n v="70.06"/>
        <n v="73.400000000000006"/>
        <n v="90.68"/>
        <n v="93.19"/>
        <n v="93.41"/>
        <n v="49.51"/>
        <n v="47.67"/>
        <n v="45.17"/>
        <n v="64.489999999999995"/>
        <n v="67.56"/>
        <n v="70.97"/>
        <n v="38.15"/>
        <n v="33.93"/>
        <n v="33.99"/>
        <n v="121.67"/>
        <n v="125.07"/>
        <n v="123.84"/>
        <n v="98.49"/>
        <n v="97.39"/>
        <n v="97.54"/>
        <n v="0.68"/>
        <n v="-0.09"/>
        <n v="-1.72"/>
        <n v="12.94"/>
        <n v="12.83"/>
        <n v="14.52"/>
        <n v="10.5"/>
        <n v="12.88"/>
        <n v="12.86"/>
        <n v="19.29"/>
        <n v="15.57"/>
        <n v="17.100000000000001"/>
        <n v="13.33"/>
        <n v="10"/>
        <n v="67.33"/>
        <n v="44.91"/>
        <n v="11.87"/>
        <n v="80.36"/>
        <n v="68.69"/>
        <n v="50.37"/>
        <n v="128.19"/>
        <n v="120.54"/>
        <n v="77.58"/>
        <n v="55.45"/>
        <n v="59.32"/>
        <n v="75.75"/>
        <n v="38.85"/>
        <n v="39.89"/>
        <n v="40.35"/>
        <n v="22.48"/>
        <n v="25.86"/>
        <n v="41.3"/>
        <n v="73.41"/>
        <n v="67.37"/>
        <n v="45.06"/>
        <n v="43.63"/>
        <n v="42.96"/>
        <n v="-6.03"/>
        <n v="-7.29"/>
        <n v="-3.28"/>
        <n v="148.62"/>
        <n v="149.88"/>
        <n v="140.86000000000001"/>
        <n v="280.81"/>
        <n v="278.94"/>
        <n v="284.66000000000003"/>
        <n v="137.4"/>
        <n v="140.56"/>
        <n v="138.75"/>
        <n v="49.55"/>
        <n v="48.33"/>
        <n v="46.08"/>
        <n v="45.28"/>
        <n v="48.26"/>
        <n v="46.95"/>
        <n v="96.15"/>
        <n v="94.92"/>
        <n v="107.12"/>
        <n v="39.71"/>
        <n v="41.47"/>
        <n v="39.270000000000003"/>
        <n v="29.47"/>
        <n v="26.72"/>
        <n v="23.85"/>
        <n v="33.06"/>
        <n v="33.46"/>
        <n v="35.729999999999997"/>
        <n v="32.590000000000003"/>
        <n v="35.53"/>
        <n v="35.840000000000003"/>
        <n v="124.58"/>
        <n v="114.68"/>
        <n v="116.63"/>
        <n v="51.09"/>
        <n v="54.82"/>
        <n v="52.67"/>
        <n v="27.8"/>
        <n v="29.96"/>
        <n v="28.78"/>
        <n v="2.9"/>
        <n v="1.04"/>
        <n v="2.04"/>
        <n v="64.92"/>
        <n v="63.49"/>
        <n v="64.81"/>
        <n v="40.83"/>
        <n v="43.51"/>
        <n v="43.29"/>
        <n v="48.04"/>
        <n v="45.1"/>
        <n v="43.42"/>
        <n v="21.43"/>
        <n v="23.98"/>
        <n v="24.6"/>
        <n v="24.62"/>
        <n v="23.42"/>
        <n v="23.6"/>
        <n v="58.72"/>
        <n v="64.430000000000007"/>
        <n v="59.55"/>
        <n v="268.73"/>
        <n v="261.11"/>
        <n v="269.47000000000003"/>
        <n v="59.74"/>
        <n v="60.98"/>
        <n v="59.52"/>
        <n v="173.93"/>
        <n v="175.35"/>
        <n v="173.34"/>
        <n v="72.45"/>
        <n v="73.989999999999995"/>
        <n v="71.069999999999993"/>
        <n v="110.48"/>
        <n v="103.6"/>
        <n v="108.16"/>
        <n v="50.8"/>
        <n v="54.65"/>
        <n v="54.06"/>
        <n v="-7.47"/>
        <n v="-7.75"/>
        <n v="-7.31"/>
        <n v="24.44"/>
        <n v="25.17"/>
        <n v="22.39"/>
        <n v="177.77"/>
        <n v="173.54"/>
        <n v="179.78"/>
        <n v="73.05"/>
        <n v="71.569999999999993"/>
        <n v="71.87"/>
        <n v="34.67"/>
        <n v="38.770000000000003"/>
        <n v="39.29"/>
        <n v="29.7"/>
        <n v="28.76"/>
        <n v="21.77"/>
        <n v="20.47"/>
        <n v="16.29"/>
        <n v="77.22"/>
        <n v="82.88"/>
        <n v="82.4"/>
        <n v="74.92"/>
        <n v="71.290000000000006"/>
        <n v="69.84"/>
        <n v="47.13"/>
        <n v="45.99"/>
        <n v="49.04"/>
        <n v="39.340000000000003"/>
        <n v="41.31"/>
        <n v="38.090000000000003"/>
        <n v="20.54"/>
        <n v="21.61"/>
        <n v="23.94"/>
        <n v="31.83"/>
        <n v="32.4"/>
        <n v="30.9"/>
        <n v="35.04"/>
        <n v="32.380000000000003"/>
        <n v="35.049999999999997"/>
        <n v="36.01"/>
        <n v="36.979999999999997"/>
        <n v="32.880000000000003"/>
        <n v="215.69"/>
        <n v="215.41"/>
        <n v="214.34"/>
        <n v="48.75"/>
        <n v="48.17"/>
        <n v="52.55"/>
        <n v="13.67"/>
        <n v="14.07"/>
        <n v="14.29"/>
        <n v="15.72"/>
        <n v="13.46"/>
        <n v="12.22"/>
        <n v="16.399999999999999"/>
        <n v="18.03"/>
        <n v="16.010000000000002"/>
        <n v="6.72"/>
        <n v="8.39"/>
        <n v="10.31"/>
        <n v="219.37"/>
        <n v="66.92"/>
        <n v="69.33"/>
        <n v="161.44"/>
        <n v="161.44999999999999"/>
        <n v="158.30000000000001"/>
        <n v="79.5"/>
        <n v="78.12"/>
        <n v="80.900000000000006"/>
        <n v="32.869999999999997"/>
        <n v="36.51"/>
        <n v="35.82"/>
        <n v="33.86"/>
        <n v="33.590000000000003"/>
        <n v="33.549999999999997"/>
        <n v="88.33"/>
        <n v="83.86"/>
        <n v="88.41"/>
        <n v="42.91"/>
        <n v="42.42"/>
        <n v="37.69"/>
        <n v="62.26"/>
        <n v="63.58"/>
        <n v="65.959999999999994"/>
        <n v="263.8"/>
        <n v="262.88"/>
        <n v="256.88"/>
        <n v="75.959999999999994"/>
        <n v="74.540000000000006"/>
        <n v="80.319999999999993"/>
        <n v="16.920000000000002"/>
        <n v="20.010000000000002"/>
        <n v="16.38"/>
        <n v="-2.37"/>
        <n v="6.66"/>
        <n v="5.58"/>
        <n v="10.4"/>
        <n v="0.22"/>
        <n v="1.84"/>
        <n v="7.78"/>
        <n v="6.54"/>
        <n v="7.83"/>
        <n v="183.33"/>
        <n v="135.44"/>
        <n v="123.53"/>
        <n v="63.3"/>
        <n v="1.08"/>
        <n v="-1.75"/>
        <n v="41.5"/>
        <n v="3.19"/>
        <n v="5.36"/>
        <n v="58.74"/>
        <n v="78.5"/>
        <n v="30.29"/>
        <n v="28.93"/>
        <n v="109.36"/>
        <n v="73.83"/>
        <n v="75.319999999999993"/>
        <n v="36.54"/>
        <n v="32.9"/>
        <n v="33.36"/>
        <n v="13.62"/>
        <n v="15.66"/>
        <n v="15.28"/>
        <n v="33.53"/>
        <n v="32.700000000000003"/>
        <n v="-22.36"/>
        <n v="-21.59"/>
        <n v="-22.09"/>
        <n v="205.2"/>
        <n v="203.06"/>
        <n v="205.35"/>
        <n v="232.77"/>
        <n v="241.01"/>
        <n v="234.18"/>
        <n v="65.260000000000005"/>
        <n v="62.31"/>
        <n v="61.56"/>
        <n v="46.19"/>
        <n v="45.33"/>
        <n v="49.4"/>
        <n v="55.53"/>
        <n v="56.59"/>
        <n v="25.99"/>
        <n v="19.350000000000001"/>
        <n v="6.27"/>
        <n v="64.69"/>
        <n v="60.05"/>
        <n v="60.48"/>
        <n v="56.05"/>
        <n v="30.06"/>
        <n v="59.18"/>
        <n v="64.010000000000005"/>
        <n v="9.09"/>
        <n v="23.91"/>
        <n v="46.97"/>
        <n v="55.05"/>
        <n v="141.24"/>
        <n v="152.59"/>
        <n v="31.48"/>
        <n v="-38.68"/>
        <n v="-40.96"/>
        <n v="85.21"/>
        <n v="77.099999999999994"/>
        <n v="76.98"/>
        <n v="72.91"/>
        <n v="67.62"/>
        <n v="70.400000000000006"/>
        <n v="74.22"/>
        <n v="42.78"/>
        <n v="41.84"/>
        <n v="157.13999999999999"/>
        <n v="102.94"/>
        <n v="125.93"/>
        <n v="85.16"/>
        <n v="30.92"/>
        <n v="36.07"/>
        <n v="97.59"/>
        <n v="123.25"/>
        <n v="128.31"/>
        <n v="61.63"/>
        <n v="43.31"/>
        <n v="38.520000000000003"/>
        <n v="65.099999999999994"/>
        <n v="43.43"/>
        <n v="25.93"/>
        <n v="23.81"/>
        <n v="22.71"/>
        <n v="134.56"/>
        <n v="145.63"/>
        <n v="146.75"/>
        <n v="63.01"/>
        <n v="58.25"/>
        <n v="56.36"/>
        <n v="74.040000000000006"/>
        <n v="74.19"/>
        <n v="74.61"/>
        <n v="267.18"/>
        <n v="259.74"/>
        <n v="264.87"/>
        <n v="131.38999999999999"/>
        <n v="137.72999999999999"/>
        <n v="134.05000000000001"/>
        <n v="-24.61"/>
        <n v="-25.94"/>
        <n v="-20.79"/>
        <n v="16.59"/>
        <n v="18.510000000000002"/>
        <n v="11.83"/>
        <n v="20.95"/>
        <n v="18.559999999999999"/>
        <n v="21.19"/>
        <n v="23.3"/>
        <n v="27.74"/>
        <n v="22.82"/>
        <n v="61.19"/>
        <n v="57.18"/>
        <n v="58.8"/>
        <n v="15.29"/>
        <n v="16.309999999999999"/>
        <n v="16.22"/>
        <n v="-0.38"/>
        <n v="-3.02"/>
        <n v="-2.16"/>
        <n v="-4.76"/>
        <n v="-2.85"/>
        <n v="-3.01"/>
        <n v="-12.49"/>
        <n v="-11.89"/>
        <n v="-11.21"/>
        <n v="49.23"/>
        <n v="45.75"/>
        <n v="48.34"/>
        <n v="34.020000000000003"/>
        <n v="36.94"/>
        <n v="34.14"/>
        <n v="-15.12"/>
        <n v="-16.190000000000001"/>
        <n v="-29.09"/>
        <n v="-28.14"/>
        <n v="-27.96"/>
        <n v="51.35"/>
        <n v="51.17"/>
        <n v="50.54"/>
        <n v="100.21"/>
        <n v="97.27"/>
        <n v="92.41"/>
        <n v="66.62"/>
        <n v="68.37"/>
        <n v="69.989999999999995"/>
        <n v="34.64"/>
        <n v="35.630000000000003"/>
        <n v="40.39"/>
        <n v="34.49"/>
        <n v="32.17"/>
        <n v="129.16999999999999"/>
        <n v="153.85"/>
        <n v="56.79"/>
        <n v="64.08"/>
        <n v="73.34"/>
        <n v="80.930000000000007"/>
        <n v="37.51"/>
        <n v="16.8"/>
        <n v="38.67"/>
        <n v="40.950000000000003"/>
        <n v="5.48"/>
        <n v="39.49"/>
        <n v="27.87"/>
        <n v="65.58"/>
        <n v="45.45"/>
        <n v="82.35"/>
        <n v="81.17"/>
        <n v="55.85"/>
        <n v="29.03"/>
        <n v="30.82"/>
        <n v="48.95"/>
        <n v="45.5"/>
        <n v="45.21"/>
        <n v="40.1"/>
        <n v="43.76"/>
        <n v="43.96"/>
        <n v="135.44999999999999"/>
        <n v="139.52000000000001"/>
        <n v="139.97"/>
        <n v="179.92"/>
        <n v="174.98"/>
        <n v="170.56"/>
        <n v="68.42"/>
        <n v="71.28"/>
        <n v="47.95"/>
        <n v="48.3"/>
        <n v="47.19"/>
        <n v="39.36"/>
        <n v="37.479999999999997"/>
        <n v="35.85"/>
        <n v="88.03"/>
        <n v="90.6"/>
        <n v="83.45"/>
        <n v="105.62"/>
        <n v="100.75"/>
        <n v="103.96"/>
        <n v="34"/>
        <n v="36.380000000000003"/>
        <n v="36.82"/>
        <n v="17.23"/>
        <n v="14.93"/>
        <n v="13.49"/>
        <n v="7.19"/>
        <n v="3.9"/>
        <n v="8.23"/>
        <n v="-1.86"/>
        <n v="0.72"/>
        <n v="-1.64"/>
        <n v="167.58"/>
        <n v="177.14"/>
        <n v="169.37"/>
        <n v="3.63"/>
        <n v="-1.73"/>
        <n v="1.1299999999999999"/>
        <n v="-9.5"/>
        <n v="-8.09"/>
        <n v="-5.5"/>
        <n v="20.79"/>
        <n v="20.03"/>
        <n v="15.99"/>
        <n v="56.66"/>
        <n v="62.69"/>
        <n v="60.6"/>
        <n v="11.91"/>
        <n v="10.130000000000001"/>
        <n v="11.2"/>
        <n v="12.37"/>
        <n v="12.29"/>
        <n v="12.85"/>
        <n v="81.739999999999995"/>
        <n v="83.38"/>
        <n v="80.13"/>
        <n v="179.43"/>
        <n v="186.94"/>
        <n v="183.95"/>
        <n v="65.069999999999993"/>
        <n v="63.87"/>
        <n v="65.13"/>
        <n v="18.36"/>
        <n v="16.88"/>
        <n v="18.079999999999998"/>
        <n v="10.08"/>
        <n v="9.7200000000000006"/>
        <n v="11.73"/>
        <n v="48.57"/>
        <n v="46.22"/>
        <n v="45.94"/>
        <n v="29.21"/>
        <n v="29.19"/>
        <n v="27.31"/>
        <n v="29.9"/>
        <n v="30.14"/>
        <n v="34.32"/>
        <n v="28.58"/>
        <n v="32.49"/>
        <n v="28.41"/>
        <n v="55.28"/>
        <n v="51.45"/>
        <n v="15.61"/>
        <n v="14.06"/>
        <n v="-14.94"/>
        <n v="-6.21"/>
        <n v="-2.88"/>
        <n v="-1.26"/>
        <n v="0.18"/>
        <n v="2.74"/>
        <n v="3.45"/>
        <n v="4.2699999999999996"/>
        <n v="-1.44"/>
        <n v="0.96"/>
        <n v="20"/>
        <n v="41.42"/>
        <n v="61.25"/>
        <n v="54.92"/>
        <n v="16.96"/>
        <n v="33.89"/>
        <n v="48.88"/>
        <n v="49.38"/>
        <n v="14.47"/>
        <n v="63.67"/>
        <n v="61.98"/>
        <n v="51.83"/>
        <n v="84.8"/>
        <n v="92.16"/>
        <n v="118.98"/>
        <n v="133.54"/>
        <n v="128.06"/>
        <n v="91.9"/>
        <n v="63.82"/>
        <n v="62.86"/>
        <n v="40.57"/>
        <n v="41.27"/>
        <n v="39.97"/>
        <n v="228.86"/>
        <n v="233.02"/>
        <n v="234.35"/>
        <n v="124.9"/>
        <n v="120.8"/>
        <n v="123.83"/>
        <n v="15.7"/>
        <n v="15.17"/>
        <n v="16.72"/>
        <n v="36.71"/>
        <n v="36.520000000000003"/>
        <n v="37.299999999999997"/>
        <n v="16.350000000000001"/>
        <n v="13.72"/>
        <n v="27.12"/>
        <n v="24.86"/>
        <n v="25.35"/>
        <n v="-25"/>
        <n v="135.71"/>
        <n v="135.29"/>
        <n v="-6.46"/>
        <n v="71.5"/>
        <n v="7.72"/>
        <n v="60.61"/>
        <n v="61.04"/>
        <n v="94.28"/>
        <n v="97.89"/>
        <n v="121.43"/>
        <n v="76.83"/>
        <n v="73.55"/>
        <n v="126.37"/>
        <n v="50.06"/>
        <n v="47.58"/>
        <n v="35.340000000000003"/>
        <n v="35.450000000000003"/>
        <n v="37.03"/>
        <n v="151.59"/>
        <n v="152.72999999999999"/>
        <n v="153.12"/>
        <n v="52.15"/>
        <n v="48.07"/>
        <n v="55.12"/>
        <n v="58.57"/>
        <n v="56.7"/>
        <n v="50.26"/>
        <n v="62.67"/>
        <n v="62.32"/>
        <n v="9.6199999999999992"/>
        <n v="8.91"/>
        <n v="11.86"/>
        <n v="33.700000000000003"/>
        <n v="33.21"/>
        <n v="25.07"/>
        <n v="23.65"/>
        <n v="21.34"/>
        <n v="9.23"/>
        <n v="12.09"/>
        <n v="12.73"/>
        <n v="100"/>
        <n v="104.55"/>
        <n v="107.55"/>
        <n v="76.78"/>
        <n v="53.33"/>
        <n v="128.15"/>
        <n v="281.88"/>
        <n v="288.95"/>
        <n v="114.99"/>
        <n v="72.010000000000005"/>
        <n v="66.37"/>
        <n v="140.88"/>
        <n v="145.72999999999999"/>
        <n v="136.84"/>
        <n v="56.92"/>
        <n v="54.32"/>
        <n v="57.02"/>
        <n v="83.69"/>
        <n v="81.56"/>
        <n v="82.68"/>
        <n v="53.62"/>
        <n v="58.96"/>
        <n v="57.68"/>
        <n v="32.19"/>
        <n v="28.61"/>
        <n v="31.2"/>
        <n v="4.95"/>
        <n v="5.28"/>
        <n v="3.75"/>
        <n v="111.13"/>
        <n v="110.27"/>
        <n v="108.83"/>
        <n v="86.61"/>
        <n v="83.97"/>
        <n v="88.68"/>
        <n v="7.7"/>
        <n v="11.18"/>
        <n v="7.52"/>
        <n v="19.649999999999999"/>
        <n v="19.91"/>
        <n v="20.39"/>
        <n v="16.55"/>
        <n v="16.39"/>
        <n v="17.52"/>
        <n v="80"/>
        <n v="91.23"/>
        <n v="80.56"/>
        <n v="80.73"/>
        <n v="78.73"/>
        <n v="112.53"/>
        <n v="183.76"/>
        <n v="190.43"/>
        <n v="110.55"/>
        <n v="72.27"/>
        <n v="74.25"/>
        <n v="85.36"/>
        <n v="84.02"/>
        <n v="47.44"/>
        <n v="48.63"/>
        <n v="48.37"/>
        <n v="110"/>
        <n v="114.17"/>
        <n v="115.04"/>
        <n v="47.2"/>
        <n v="44.72"/>
        <n v="42.61"/>
        <n v="34.6"/>
        <n v="33.44"/>
        <n v="37.53"/>
        <n v="94.67"/>
        <n v="93.77"/>
        <n v="88.02"/>
        <n v="82.98"/>
        <n v="81.75"/>
        <n v="84.68"/>
        <n v="3.84"/>
        <n v="3.66"/>
        <n v="4.58"/>
        <n v="18.73"/>
        <n v="20.74"/>
        <n v="19.18"/>
        <n v="22.25"/>
        <n v="24.39"/>
        <n v="21.64"/>
        <n v="25.73"/>
        <n v="22.27"/>
        <n v="24.49"/>
        <n v="228.63"/>
        <n v="82.74"/>
        <n v="83.25"/>
        <n v="197.01"/>
        <n v="151.79"/>
        <n v="144.35"/>
        <n v="58.78"/>
        <n v="54.85"/>
        <n v="53.8"/>
        <n v="116.83"/>
        <n v="110.53"/>
        <n v="120.24"/>
        <n v="47.01"/>
        <n v="64.86"/>
        <n v="62.66"/>
        <n v="65.37"/>
        <n v="37.24"/>
        <n v="35.44"/>
        <n v="41.33"/>
        <n v="47.12"/>
        <n v="45.58"/>
        <n v="69.58"/>
        <n v="67.67"/>
        <n v="64.400000000000006"/>
        <n v="76.22"/>
        <n v="77.17"/>
        <n v="15.12"/>
        <n v="13.4"/>
        <n v="14.37"/>
        <n v="-4.33"/>
        <n v="1.51"/>
        <n v="1"/>
        <n v="11.02"/>
        <n v="4.6900000000000004"/>
        <n v="5.44"/>
        <n v="6.62"/>
        <n v="7.86"/>
        <n v="6.02"/>
        <n v="140"/>
        <n v="158.82"/>
        <n v="158.06"/>
        <n v="104.94"/>
        <n v="71.209999999999994"/>
        <n v="112.51"/>
        <n v="71"/>
        <n v="26.99"/>
        <n v="22.86"/>
        <n v="116.04"/>
        <n v="66.12"/>
        <n v="69.959999999999994"/>
        <n v="67.14"/>
        <n v="32.340000000000003"/>
        <n v="28.57"/>
        <n v="31.24"/>
        <n v="18.05"/>
        <n v="18.96"/>
        <n v="17.27"/>
        <n v="50"/>
        <n v="53.07"/>
        <n v="53.04"/>
        <n v="43.95"/>
        <n v="41.07"/>
        <n v="41.4"/>
        <n v="92.33"/>
        <n v="92.8"/>
        <n v="92.23"/>
        <n v="67.87"/>
        <n v="64.650000000000006"/>
        <n v="67.400000000000006"/>
        <n v="26.04"/>
        <n v="25.88"/>
        <n v="12.66"/>
        <n v="15.43"/>
        <n v="8.86"/>
        <n v="6.42"/>
        <n v="7.75"/>
        <n v="15.86"/>
        <n v="15.03"/>
        <n v="15.63"/>
        <n v="60"/>
        <n v="9.5399999999999991"/>
        <n v="114.48"/>
        <n v="102.48"/>
        <n v="75.44"/>
        <n v="29.4"/>
        <n v="34.58"/>
        <n v="13.17"/>
        <n v="13.53"/>
        <n v="53"/>
        <n v="24.67"/>
        <n v="54.2"/>
        <n v="64.709999999999994"/>
        <n v="59.08"/>
        <n v="12.7"/>
        <n v="7.64"/>
        <n v="77.28"/>
        <n v="212.32"/>
        <n v="225.44"/>
        <n v="67.83"/>
        <n v="32.92"/>
        <n v="30.73"/>
        <n v="155.77000000000001"/>
        <n v="157.25"/>
        <n v="158"/>
        <n v="204.05"/>
        <n v="203.3"/>
        <n v="211.51"/>
        <n v="44.11"/>
        <n v="44.32"/>
        <n v="42.14"/>
        <n v="27.13"/>
        <n v="24.52"/>
        <n v="22.89"/>
        <n v="23.83"/>
        <n v="14.02"/>
        <n v="44.22"/>
        <n v="47.36"/>
        <n v="36.11"/>
        <n v="39.119999999999997"/>
        <n v="3.57"/>
        <n v="30.37"/>
        <n v="32"/>
        <n v="61.34"/>
        <n v="109.73"/>
        <n v="64.33"/>
        <n v="73.25"/>
        <n v="26.16"/>
        <n v="26.06"/>
        <n v="71.239999999999995"/>
        <n v="73.180000000000007"/>
        <n v="72.61"/>
        <n v="136.91"/>
        <n v="137.1"/>
        <n v="140.74"/>
        <n v="156.22"/>
        <n v="150.34"/>
        <n v="73.849999999999994"/>
        <n v="65.67"/>
        <n v="70.599999999999994"/>
        <n v="36.880000000000003"/>
        <n v="37.67"/>
        <n v="37.74"/>
        <n v="9.66"/>
        <n v="10.62"/>
        <n v="10.27"/>
        <n v="117.14"/>
        <n v="110.63"/>
        <n v="130.09"/>
        <n v="89.74"/>
        <n v="65.25"/>
        <n v="70.959999999999994"/>
        <n v="230.95"/>
        <n v="239.9"/>
        <n v="225.08"/>
        <n v="70.260000000000005"/>
        <n v="63.45"/>
        <n v="64.36"/>
        <n v="80.14"/>
        <n v="79.349999999999994"/>
        <n v="85.12"/>
        <n v="60.52"/>
        <n v="64.41"/>
        <n v="61.91"/>
        <n v="26.6"/>
        <n v="25.13"/>
        <n v="25.02"/>
        <n v="24.32"/>
        <n v="23.26"/>
        <n v="20.58"/>
        <n v="19.73"/>
        <n v="138.37"/>
        <n v="130.38999999999999"/>
        <n v="140.79"/>
        <n v="80.33"/>
        <n v="81.33"/>
        <n v="75.16"/>
        <n v="13.41"/>
        <n v="16.57"/>
        <n v="17.57"/>
        <n v="5.97"/>
        <n v="3.88"/>
        <n v="9.64"/>
        <n v="5.89"/>
        <n v="7.07"/>
        <n v="19.510000000000002"/>
        <n v="17.63"/>
        <n v="123.49"/>
        <n v="116.45"/>
        <n v="109.8"/>
        <n v="88.38"/>
        <n v="85.82"/>
        <n v="69.569999999999993"/>
        <n v="71.7"/>
        <n v="71.97"/>
        <n v="33.65"/>
        <n v="30.2"/>
        <n v="32.729999999999997"/>
        <n v="21.87"/>
        <n v="22.67"/>
        <n v="24.75"/>
        <n v="10.51"/>
        <n v="9.32"/>
        <n v="5.04"/>
        <n v="70.53"/>
        <n v="71.95"/>
        <n v="75.52"/>
        <n v="19.68"/>
        <n v="21.52"/>
        <n v="2.0099999999999998"/>
        <n v="-7.0000000000000007E-2"/>
        <n v="0.44"/>
        <n v="3.79"/>
        <n v="7.28"/>
        <n v="3.35"/>
        <n v="81.58"/>
        <n v="79.97"/>
        <n v="79.489999999999995"/>
        <n v="54.07"/>
        <n v="54.03"/>
        <n v="43.38"/>
        <n v="25.84"/>
        <n v="23.19"/>
        <n v="16.71"/>
        <n v="17.71"/>
        <n v="19.22"/>
        <m/>
      </sharedItems>
    </cacheField>
    <cacheField name="is_ev_dominant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x v="0"/>
    <n v="1"/>
    <x v="0"/>
    <x v="0"/>
    <n v="1"/>
    <x v="0"/>
    <x v="0"/>
    <n v="1"/>
    <n v="5"/>
    <x v="0"/>
    <x v="0"/>
    <n v="154803"/>
    <n v="0"/>
    <x v="0"/>
    <n v="0"/>
    <n v="124"/>
    <n v="1.0900000000000001"/>
    <n v="0.14899999999999999"/>
    <n v="51977"/>
    <n v="88.8"/>
    <n v="88.7"/>
    <x v="0"/>
    <n v="30.4"/>
    <x v="0"/>
    <n v="0"/>
  </r>
  <r>
    <x v="0"/>
    <n v="1"/>
    <x v="0"/>
    <x v="0"/>
    <n v="1"/>
    <x v="1"/>
    <x v="0"/>
    <n v="2"/>
    <n v="57"/>
    <x v="1"/>
    <x v="1"/>
    <n v="609079"/>
    <n v="0.01"/>
    <x v="0"/>
    <n v="0"/>
    <n v="124"/>
    <n v="1.0900000000000001"/>
    <n v="0.14899999999999999"/>
    <n v="51977"/>
    <n v="88.8"/>
    <n v="88.7"/>
    <x v="0"/>
    <n v="30.4"/>
    <x v="0"/>
    <n v="0"/>
  </r>
  <r>
    <x v="0"/>
    <n v="1"/>
    <x v="0"/>
    <x v="0"/>
    <n v="1"/>
    <x v="2"/>
    <x v="0"/>
    <n v="3"/>
    <n v="37"/>
    <x v="2"/>
    <x v="2"/>
    <n v="255781"/>
    <n v="0.01"/>
    <x v="0"/>
    <n v="0"/>
    <n v="124"/>
    <n v="1.0900000000000001"/>
    <n v="0.14899999999999999"/>
    <n v="51977"/>
    <n v="88.8"/>
    <n v="88.7"/>
    <x v="0"/>
    <n v="30.4"/>
    <x v="0"/>
    <n v="0"/>
  </r>
  <r>
    <x v="0"/>
    <n v="1"/>
    <x v="0"/>
    <x v="1"/>
    <n v="2"/>
    <x v="0"/>
    <x v="0"/>
    <n v="1"/>
    <n v="11"/>
    <x v="3"/>
    <x v="3"/>
    <n v="163498"/>
    <n v="0.01"/>
    <x v="1"/>
    <n v="1.5"/>
    <n v="133"/>
    <n v="1.0900000000000001"/>
    <n v="0.16300000000000001"/>
    <n v="52807"/>
    <n v="88.9"/>
    <n v="88.3"/>
    <x v="0"/>
    <n v="30.8"/>
    <x v="1"/>
    <n v="0"/>
  </r>
  <r>
    <x v="0"/>
    <n v="1"/>
    <x v="0"/>
    <x v="1"/>
    <n v="2"/>
    <x v="1"/>
    <x v="0"/>
    <n v="2"/>
    <n v="129"/>
    <x v="4"/>
    <x v="4"/>
    <n v="647492"/>
    <n v="0.02"/>
    <x v="1"/>
    <n v="1.5"/>
    <n v="133"/>
    <n v="1.0900000000000001"/>
    <n v="0.16300000000000001"/>
    <n v="52807"/>
    <n v="88.9"/>
    <n v="88.3"/>
    <x v="0"/>
    <n v="30.8"/>
    <x v="2"/>
    <n v="0"/>
  </r>
  <r>
    <x v="0"/>
    <n v="1"/>
    <x v="0"/>
    <x v="1"/>
    <n v="2"/>
    <x v="2"/>
    <x v="0"/>
    <n v="3"/>
    <n v="80"/>
    <x v="5"/>
    <x v="5"/>
    <n v="274692"/>
    <n v="0.03"/>
    <x v="1"/>
    <n v="1.5"/>
    <n v="133"/>
    <n v="1.0900000000000001"/>
    <n v="0.16300000000000001"/>
    <n v="52807"/>
    <n v="88.9"/>
    <n v="88.3"/>
    <x v="0"/>
    <n v="30.8"/>
    <x v="3"/>
    <n v="0"/>
  </r>
  <r>
    <x v="0"/>
    <n v="1"/>
    <x v="0"/>
    <x v="2"/>
    <n v="3"/>
    <x v="0"/>
    <x v="0"/>
    <n v="1"/>
    <n v="17"/>
    <x v="6"/>
    <x v="6"/>
    <n v="160793"/>
    <n v="0.01"/>
    <x v="2"/>
    <n v="3.3"/>
    <n v="135"/>
    <n v="1.0669999999999999"/>
    <n v="0.17699999999999999"/>
    <n v="54075"/>
    <n v="88.5"/>
    <n v="89.5"/>
    <x v="0"/>
    <n v="31.6"/>
    <x v="4"/>
    <n v="0"/>
  </r>
  <r>
    <x v="0"/>
    <n v="1"/>
    <x v="0"/>
    <x v="2"/>
    <n v="3"/>
    <x v="1"/>
    <x v="0"/>
    <n v="2"/>
    <n v="195"/>
    <x v="7"/>
    <x v="7"/>
    <n v="649689"/>
    <n v="0.03"/>
    <x v="2"/>
    <n v="3.3"/>
    <n v="135"/>
    <n v="1.0669999999999999"/>
    <n v="0.17699999999999999"/>
    <n v="54075"/>
    <n v="88.5"/>
    <n v="89.5"/>
    <x v="0"/>
    <n v="31.6"/>
    <x v="5"/>
    <n v="0"/>
  </r>
  <r>
    <x v="0"/>
    <n v="1"/>
    <x v="0"/>
    <x v="2"/>
    <n v="3"/>
    <x v="2"/>
    <x v="0"/>
    <n v="3"/>
    <n v="117"/>
    <x v="8"/>
    <x v="8"/>
    <n v="267995"/>
    <n v="0.04"/>
    <x v="2"/>
    <n v="3.3"/>
    <n v="135"/>
    <n v="1.0669999999999999"/>
    <n v="0.17699999999999999"/>
    <n v="54075"/>
    <n v="88.5"/>
    <n v="89.5"/>
    <x v="0"/>
    <n v="31.6"/>
    <x v="6"/>
    <n v="0"/>
  </r>
  <r>
    <x v="0"/>
    <n v="1"/>
    <x v="0"/>
    <x v="3"/>
    <n v="4"/>
    <x v="0"/>
    <x v="0"/>
    <n v="1"/>
    <n v="36"/>
    <x v="9"/>
    <x v="9"/>
    <n v="169137"/>
    <n v="0.02"/>
    <x v="3"/>
    <n v="5"/>
    <n v="143"/>
    <n v="1.0329999999999999"/>
    <n v="0.192"/>
    <n v="55582"/>
    <n v="89.6"/>
    <n v="90"/>
    <x v="0"/>
    <n v="33.200000000000003"/>
    <x v="7"/>
    <n v="0"/>
  </r>
  <r>
    <x v="0"/>
    <n v="1"/>
    <x v="0"/>
    <x v="3"/>
    <n v="4"/>
    <x v="1"/>
    <x v="0"/>
    <n v="2"/>
    <n v="400"/>
    <x v="10"/>
    <x v="10"/>
    <n v="667355"/>
    <n v="0.06"/>
    <x v="3"/>
    <n v="5"/>
    <n v="143"/>
    <n v="1.0329999999999999"/>
    <n v="0.192"/>
    <n v="55582"/>
    <n v="89.6"/>
    <n v="90"/>
    <x v="0"/>
    <n v="33.200000000000003"/>
    <x v="8"/>
    <n v="0"/>
  </r>
  <r>
    <x v="0"/>
    <n v="1"/>
    <x v="0"/>
    <x v="3"/>
    <n v="4"/>
    <x v="2"/>
    <x v="0"/>
    <n v="3"/>
    <n v="242"/>
    <x v="11"/>
    <x v="11"/>
    <n v="278599"/>
    <n v="0.09"/>
    <x v="3"/>
    <n v="5"/>
    <n v="143"/>
    <n v="1.0329999999999999"/>
    <n v="0.192"/>
    <n v="55582"/>
    <n v="89.6"/>
    <n v="90"/>
    <x v="0"/>
    <n v="33.200000000000003"/>
    <x v="9"/>
    <n v="0"/>
  </r>
  <r>
    <x v="0"/>
    <n v="1"/>
    <x v="0"/>
    <x v="4"/>
    <n v="5"/>
    <x v="0"/>
    <x v="0"/>
    <n v="1"/>
    <n v="53"/>
    <x v="12"/>
    <x v="12"/>
    <n v="167986"/>
    <n v="0.03"/>
    <x v="4"/>
    <n v="6.5"/>
    <n v="151"/>
    <n v="0.99299999999999999"/>
    <n v="0.20699999999999999"/>
    <n v="54940"/>
    <n v="89.5"/>
    <n v="92.3"/>
    <x v="0"/>
    <n v="33.200000000000003"/>
    <x v="10"/>
    <n v="0"/>
  </r>
  <r>
    <x v="0"/>
    <n v="1"/>
    <x v="0"/>
    <x v="4"/>
    <n v="5"/>
    <x v="1"/>
    <x v="0"/>
    <n v="2"/>
    <n v="615"/>
    <x v="13"/>
    <x v="13"/>
    <n v="683713"/>
    <n v="0.09"/>
    <x v="4"/>
    <n v="6.5"/>
    <n v="151"/>
    <n v="0.99299999999999999"/>
    <n v="0.20699999999999999"/>
    <n v="54940"/>
    <n v="89.5"/>
    <n v="92.3"/>
    <x v="0"/>
    <n v="33.200000000000003"/>
    <x v="11"/>
    <n v="0"/>
  </r>
  <r>
    <x v="0"/>
    <n v="1"/>
    <x v="0"/>
    <x v="4"/>
    <n v="5"/>
    <x v="2"/>
    <x v="0"/>
    <n v="3"/>
    <n v="367"/>
    <x v="14"/>
    <x v="14"/>
    <n v="281409"/>
    <n v="0.13"/>
    <x v="4"/>
    <n v="6.5"/>
    <n v="151"/>
    <n v="0.99299999999999999"/>
    <n v="0.20699999999999999"/>
    <n v="54940"/>
    <n v="89.5"/>
    <n v="92.3"/>
    <x v="0"/>
    <n v="33.200000000000003"/>
    <x v="12"/>
    <n v="0"/>
  </r>
  <r>
    <x v="0"/>
    <n v="1"/>
    <x v="0"/>
    <x v="5"/>
    <n v="6"/>
    <x v="0"/>
    <x v="0"/>
    <n v="1"/>
    <n v="77"/>
    <x v="15"/>
    <x v="15"/>
    <n v="169798"/>
    <n v="0.05"/>
    <x v="5"/>
    <n v="8.1999999999999993"/>
    <n v="180"/>
    <n v="0.98299999999999998"/>
    <n v="0.216"/>
    <n v="57259"/>
    <n v="89.3"/>
    <n v="93.3"/>
    <x v="0"/>
    <n v="36.200000000000003"/>
    <x v="13"/>
    <n v="0"/>
  </r>
  <r>
    <x v="0"/>
    <n v="1"/>
    <x v="0"/>
    <x v="5"/>
    <n v="6"/>
    <x v="1"/>
    <x v="0"/>
    <n v="2"/>
    <n v="894"/>
    <x v="16"/>
    <x v="16"/>
    <n v="687453"/>
    <n v="0.13"/>
    <x v="5"/>
    <n v="8.1999999999999993"/>
    <n v="180"/>
    <n v="0.98299999999999998"/>
    <n v="0.216"/>
    <n v="57259"/>
    <n v="89.3"/>
    <n v="93.3"/>
    <x v="0"/>
    <n v="36.200000000000003"/>
    <x v="14"/>
    <n v="0"/>
  </r>
  <r>
    <x v="0"/>
    <n v="1"/>
    <x v="0"/>
    <x v="5"/>
    <n v="6"/>
    <x v="2"/>
    <x v="0"/>
    <n v="3"/>
    <n v="542"/>
    <x v="17"/>
    <x v="17"/>
    <n v="287281"/>
    <n v="0.19"/>
    <x v="5"/>
    <n v="8.1999999999999993"/>
    <n v="180"/>
    <n v="0.98299999999999998"/>
    <n v="0.216"/>
    <n v="57259"/>
    <n v="89.3"/>
    <n v="93.3"/>
    <x v="0"/>
    <n v="36.200000000000003"/>
    <x v="15"/>
    <n v="0"/>
  </r>
  <r>
    <x v="0"/>
    <n v="1"/>
    <x v="0"/>
    <x v="6"/>
    <n v="7"/>
    <x v="0"/>
    <x v="0"/>
    <n v="1"/>
    <n v="105"/>
    <x v="18"/>
    <x v="18"/>
    <n v="177070"/>
    <n v="0.06"/>
    <x v="6"/>
    <n v="10.199999999999999"/>
    <n v="193"/>
    <n v="1.0029999999999999"/>
    <n v="0.218"/>
    <n v="55712"/>
    <n v="88.9"/>
    <n v="95.3"/>
    <x v="0"/>
    <n v="36.6"/>
    <x v="16"/>
    <n v="0"/>
  </r>
  <r>
    <x v="0"/>
    <n v="1"/>
    <x v="0"/>
    <x v="6"/>
    <n v="7"/>
    <x v="1"/>
    <x v="0"/>
    <n v="2"/>
    <n v="1201"/>
    <x v="19"/>
    <x v="19"/>
    <n v="706410"/>
    <n v="0.17"/>
    <x v="6"/>
    <n v="10.199999999999999"/>
    <n v="193"/>
    <n v="1.0029999999999999"/>
    <n v="0.218"/>
    <n v="55712"/>
    <n v="88.9"/>
    <n v="95.3"/>
    <x v="0"/>
    <n v="36.6"/>
    <x v="17"/>
    <n v="0"/>
  </r>
  <r>
    <x v="0"/>
    <n v="1"/>
    <x v="0"/>
    <x v="6"/>
    <n v="7"/>
    <x v="2"/>
    <x v="0"/>
    <n v="3"/>
    <n v="716"/>
    <x v="20"/>
    <x v="20"/>
    <n v="290627"/>
    <n v="0.25"/>
    <x v="6"/>
    <n v="10.199999999999999"/>
    <n v="193"/>
    <n v="1.0029999999999999"/>
    <n v="0.218"/>
    <n v="55712"/>
    <n v="88.9"/>
    <n v="95.3"/>
    <x v="0"/>
    <n v="36.6"/>
    <x v="18"/>
    <n v="0"/>
  </r>
  <r>
    <x v="0"/>
    <n v="1"/>
    <x v="0"/>
    <x v="7"/>
    <n v="8"/>
    <x v="0"/>
    <x v="0"/>
    <n v="1"/>
    <n v="198"/>
    <x v="21"/>
    <x v="21"/>
    <n v="182901"/>
    <n v="0.11"/>
    <x v="7"/>
    <n v="10.9"/>
    <n v="220"/>
    <n v="1.05"/>
    <n v="0.218"/>
    <n v="56382"/>
    <n v="88"/>
    <n v="96.2"/>
    <x v="0"/>
    <n v="38.5"/>
    <x v="19"/>
    <n v="0"/>
  </r>
  <r>
    <x v="0"/>
    <n v="1"/>
    <x v="0"/>
    <x v="7"/>
    <n v="8"/>
    <x v="1"/>
    <x v="0"/>
    <n v="2"/>
    <n v="2220"/>
    <x v="22"/>
    <x v="22"/>
    <n v="716203"/>
    <n v="0.31"/>
    <x v="7"/>
    <n v="10.9"/>
    <n v="220"/>
    <n v="1.05"/>
    <n v="0.218"/>
    <n v="56382"/>
    <n v="88"/>
    <n v="96.2"/>
    <x v="0"/>
    <n v="38.5"/>
    <x v="20"/>
    <n v="0"/>
  </r>
  <r>
    <x v="0"/>
    <n v="1"/>
    <x v="0"/>
    <x v="7"/>
    <n v="8"/>
    <x v="2"/>
    <x v="0"/>
    <n v="3"/>
    <n v="1337"/>
    <x v="23"/>
    <x v="23"/>
    <n v="297490"/>
    <n v="0.45"/>
    <x v="7"/>
    <n v="10.9"/>
    <n v="220"/>
    <n v="1.05"/>
    <n v="0.218"/>
    <n v="56382"/>
    <n v="88"/>
    <n v="96.2"/>
    <x v="0"/>
    <n v="38.5"/>
    <x v="21"/>
    <n v="0"/>
  </r>
  <r>
    <x v="0"/>
    <n v="1"/>
    <x v="0"/>
    <x v="8"/>
    <n v="9"/>
    <x v="0"/>
    <x v="0"/>
    <n v="1"/>
    <n v="257"/>
    <x v="24"/>
    <x v="24"/>
    <n v="163039"/>
    <n v="0.16"/>
    <x v="8"/>
    <n v="13.6"/>
    <n v="264"/>
    <n v="1.1100000000000001"/>
    <n v="0.218"/>
    <n v="55117"/>
    <n v="87.7"/>
    <n v="97.9"/>
    <x v="0"/>
    <n v="41"/>
    <x v="22"/>
    <n v="0"/>
  </r>
  <r>
    <x v="0"/>
    <n v="1"/>
    <x v="0"/>
    <x v="8"/>
    <n v="9"/>
    <x v="1"/>
    <x v="0"/>
    <n v="2"/>
    <n v="2940"/>
    <x v="25"/>
    <x v="25"/>
    <n v="653235"/>
    <n v="0.45"/>
    <x v="8"/>
    <n v="13.6"/>
    <n v="264"/>
    <n v="1.1100000000000001"/>
    <n v="0.218"/>
    <n v="55117"/>
    <n v="87.7"/>
    <n v="97.9"/>
    <x v="0"/>
    <n v="41"/>
    <x v="23"/>
    <n v="0"/>
  </r>
  <r>
    <x v="0"/>
    <n v="1"/>
    <x v="0"/>
    <x v="8"/>
    <n v="9"/>
    <x v="2"/>
    <x v="0"/>
    <n v="3"/>
    <n v="1810"/>
    <x v="26"/>
    <x v="26"/>
    <n v="277353"/>
    <n v="0.65"/>
    <x v="8"/>
    <n v="13.6"/>
    <n v="264"/>
    <n v="1.1100000000000001"/>
    <n v="0.218"/>
    <n v="55117"/>
    <n v="87.7"/>
    <n v="97.9"/>
    <x v="0"/>
    <n v="41"/>
    <x v="24"/>
    <n v="0"/>
  </r>
  <r>
    <x v="0"/>
    <n v="1"/>
    <x v="0"/>
    <x v="9"/>
    <n v="10"/>
    <x v="0"/>
    <x v="0"/>
    <n v="1"/>
    <n v="468"/>
    <x v="27"/>
    <x v="27"/>
    <n v="160943"/>
    <n v="0.28999999999999998"/>
    <x v="9"/>
    <n v="14.6"/>
    <n v="289"/>
    <n v="1.17"/>
    <n v="0.219"/>
    <n v="54844"/>
    <n v="87.1"/>
    <n v="93.3"/>
    <x v="0"/>
    <n v="43.2"/>
    <x v="25"/>
    <n v="0"/>
  </r>
  <r>
    <x v="0"/>
    <n v="1"/>
    <x v="0"/>
    <x v="9"/>
    <n v="10"/>
    <x v="1"/>
    <x v="0"/>
    <n v="2"/>
    <n v="5228"/>
    <x v="28"/>
    <x v="28"/>
    <n v="629916"/>
    <n v="0.83"/>
    <x v="9"/>
    <n v="14.6"/>
    <n v="289"/>
    <n v="1.17"/>
    <n v="0.219"/>
    <n v="54844"/>
    <n v="87.1"/>
    <n v="93.3"/>
    <x v="0"/>
    <n v="43.2"/>
    <x v="6"/>
    <n v="0"/>
  </r>
  <r>
    <x v="0"/>
    <n v="1"/>
    <x v="0"/>
    <x v="9"/>
    <n v="10"/>
    <x v="2"/>
    <x v="0"/>
    <n v="3"/>
    <n v="3179"/>
    <x v="29"/>
    <x v="29"/>
    <n v="264156"/>
    <n v="1.2"/>
    <x v="9"/>
    <n v="14.6"/>
    <n v="289"/>
    <n v="1.17"/>
    <n v="0.219"/>
    <n v="54844"/>
    <n v="87.1"/>
    <n v="93.3"/>
    <x v="0"/>
    <n v="43.2"/>
    <x v="26"/>
    <n v="0"/>
  </r>
  <r>
    <x v="0"/>
    <n v="1"/>
    <x v="0"/>
    <x v="10"/>
    <n v="11"/>
    <x v="0"/>
    <x v="0"/>
    <n v="1"/>
    <n v="349"/>
    <x v="30"/>
    <x v="30"/>
    <n v="138542"/>
    <n v="0.25"/>
    <x v="10"/>
    <n v="17"/>
    <n v="346"/>
    <n v="1.2669999999999999"/>
    <n v="0.218"/>
    <n v="58442"/>
    <n v="85.9"/>
    <n v="89.6"/>
    <x v="0"/>
    <n v="45.6"/>
    <x v="27"/>
    <n v="0"/>
  </r>
  <r>
    <x v="0"/>
    <n v="1"/>
    <x v="0"/>
    <x v="10"/>
    <n v="11"/>
    <x v="1"/>
    <x v="0"/>
    <n v="2"/>
    <n v="4009"/>
    <x v="31"/>
    <x v="31"/>
    <n v="556794"/>
    <n v="0.72"/>
    <x v="10"/>
    <n v="17"/>
    <n v="346"/>
    <n v="1.2669999999999999"/>
    <n v="0.218"/>
    <n v="58442"/>
    <n v="85.9"/>
    <n v="89.6"/>
    <x v="0"/>
    <n v="45.6"/>
    <x v="28"/>
    <n v="0"/>
  </r>
  <r>
    <x v="0"/>
    <n v="1"/>
    <x v="0"/>
    <x v="10"/>
    <n v="11"/>
    <x v="2"/>
    <x v="0"/>
    <n v="3"/>
    <n v="2415"/>
    <x v="32"/>
    <x v="32"/>
    <n v="231333"/>
    <n v="1.04"/>
    <x v="10"/>
    <n v="17"/>
    <n v="346"/>
    <n v="1.2669999999999999"/>
    <n v="0.218"/>
    <n v="58442"/>
    <n v="85.9"/>
    <n v="89.6"/>
    <x v="0"/>
    <n v="45.6"/>
    <x v="29"/>
    <n v="0"/>
  </r>
  <r>
    <x v="0"/>
    <n v="1"/>
    <x v="0"/>
    <x v="11"/>
    <n v="12"/>
    <x v="0"/>
    <x v="0"/>
    <n v="1"/>
    <n v="1094"/>
    <x v="33"/>
    <x v="33"/>
    <n v="155530"/>
    <n v="0.7"/>
    <x v="11"/>
    <n v="19.100000000000001"/>
    <n v="367"/>
    <n v="1.397"/>
    <n v="0.223"/>
    <n v="62105"/>
    <n v="86.3"/>
    <n v="87.1"/>
    <x v="1"/>
    <n v="47.2"/>
    <x v="30"/>
    <n v="0"/>
  </r>
  <r>
    <x v="0"/>
    <n v="1"/>
    <x v="0"/>
    <x v="11"/>
    <n v="12"/>
    <x v="1"/>
    <x v="0"/>
    <n v="2"/>
    <n v="12285"/>
    <x v="34"/>
    <x v="34"/>
    <n v="611182"/>
    <n v="2.0099999999999998"/>
    <x v="11"/>
    <n v="19.100000000000001"/>
    <n v="367"/>
    <n v="1.397"/>
    <n v="0.223"/>
    <n v="62105"/>
    <n v="86.3"/>
    <n v="87.1"/>
    <x v="1"/>
    <n v="47.2"/>
    <x v="31"/>
    <n v="0"/>
  </r>
  <r>
    <x v="0"/>
    <n v="1"/>
    <x v="0"/>
    <x v="11"/>
    <n v="12"/>
    <x v="2"/>
    <x v="0"/>
    <n v="3"/>
    <n v="7441"/>
    <x v="35"/>
    <x v="35"/>
    <n v="255324"/>
    <n v="2.91"/>
    <x v="11"/>
    <n v="19.100000000000001"/>
    <n v="367"/>
    <n v="1.397"/>
    <n v="0.223"/>
    <n v="62105"/>
    <n v="86.3"/>
    <n v="87.1"/>
    <x v="1"/>
    <n v="47.2"/>
    <x v="32"/>
    <n v="0"/>
  </r>
  <r>
    <x v="0"/>
    <n v="1"/>
    <x v="0"/>
    <x v="12"/>
    <n v="13"/>
    <x v="0"/>
    <x v="0"/>
    <n v="1"/>
    <n v="4541"/>
    <x v="36"/>
    <x v="36"/>
    <n v="161989"/>
    <n v="2.8"/>
    <x v="12"/>
    <n v="20.5"/>
    <n v="407"/>
    <n v="1.46"/>
    <n v="0.23"/>
    <n v="63869"/>
    <n v="86.2"/>
    <n v="89.5"/>
    <x v="2"/>
    <n v="52.1"/>
    <x v="33"/>
    <n v="0"/>
  </r>
  <r>
    <x v="0"/>
    <n v="1"/>
    <x v="0"/>
    <x v="12"/>
    <n v="13"/>
    <x v="1"/>
    <x v="0"/>
    <n v="2"/>
    <n v="51183"/>
    <x v="37"/>
    <x v="37"/>
    <n v="638992"/>
    <n v="8.01"/>
    <x v="12"/>
    <n v="20.5"/>
    <n v="407"/>
    <n v="1.46"/>
    <n v="0.23"/>
    <n v="63869"/>
    <n v="86.2"/>
    <n v="89.5"/>
    <x v="2"/>
    <n v="52.1"/>
    <x v="33"/>
    <n v="0"/>
  </r>
  <r>
    <x v="0"/>
    <n v="1"/>
    <x v="0"/>
    <x v="12"/>
    <n v="13"/>
    <x v="2"/>
    <x v="0"/>
    <n v="3"/>
    <n v="31580"/>
    <x v="38"/>
    <x v="38"/>
    <n v="271903"/>
    <n v="11.61"/>
    <x v="12"/>
    <n v="20.5"/>
    <n v="407"/>
    <n v="1.46"/>
    <n v="0.23"/>
    <n v="63869"/>
    <n v="86.2"/>
    <n v="89.5"/>
    <x v="2"/>
    <n v="52.1"/>
    <x v="33"/>
    <n v="0"/>
  </r>
  <r>
    <x v="0"/>
    <n v="1"/>
    <x v="0"/>
    <x v="13"/>
    <n v="14"/>
    <x v="0"/>
    <x v="0"/>
    <n v="1"/>
    <n v="5073"/>
    <x v="39"/>
    <x v="39"/>
    <n v="184189"/>
    <n v="2.75"/>
    <x v="13"/>
    <n v="25.8"/>
    <n v="429"/>
    <n v="1.47"/>
    <n v="0.23799999999999999"/>
    <n v="62658"/>
    <n v="86.2"/>
    <n v="90.8"/>
    <x v="3"/>
    <n v="54.7"/>
    <x v="34"/>
    <n v="0"/>
  </r>
  <r>
    <x v="0"/>
    <n v="1"/>
    <x v="0"/>
    <x v="13"/>
    <n v="14"/>
    <x v="1"/>
    <x v="0"/>
    <n v="2"/>
    <n v="57799"/>
    <x v="40"/>
    <x v="40"/>
    <n v="734424"/>
    <n v="7.87"/>
    <x v="13"/>
    <n v="25.8"/>
    <n v="429"/>
    <n v="1.47"/>
    <n v="0.23799999999999999"/>
    <n v="62658"/>
    <n v="86.2"/>
    <n v="90.8"/>
    <x v="3"/>
    <n v="54.7"/>
    <x v="35"/>
    <n v="0"/>
  </r>
  <r>
    <x v="0"/>
    <n v="1"/>
    <x v="0"/>
    <x v="13"/>
    <n v="14"/>
    <x v="2"/>
    <x v="0"/>
    <n v="3"/>
    <n v="35066"/>
    <x v="41"/>
    <x v="41"/>
    <n v="307285"/>
    <n v="11.41"/>
    <x v="13"/>
    <n v="25.8"/>
    <n v="429"/>
    <n v="1.47"/>
    <n v="0.23799999999999999"/>
    <n v="62658"/>
    <n v="86.2"/>
    <n v="90.8"/>
    <x v="3"/>
    <n v="54.7"/>
    <x v="36"/>
    <n v="0"/>
  </r>
  <r>
    <x v="0"/>
    <n v="1"/>
    <x v="0"/>
    <x v="14"/>
    <n v="15"/>
    <x v="0"/>
    <x v="0"/>
    <n v="1"/>
    <n v="6184"/>
    <x v="42"/>
    <x v="42"/>
    <n v="185212"/>
    <n v="3.34"/>
    <x v="14"/>
    <n v="27.4"/>
    <n v="450"/>
    <n v="1.39"/>
    <n v="0.247"/>
    <n v="61661"/>
    <n v="86.6"/>
    <n v="88.1"/>
    <x v="4"/>
    <n v="57.9"/>
    <x v="37"/>
    <n v="0"/>
  </r>
  <r>
    <x v="0"/>
    <n v="1"/>
    <x v="0"/>
    <x v="14"/>
    <n v="15"/>
    <x v="1"/>
    <x v="0"/>
    <n v="2"/>
    <n v="69778"/>
    <x v="43"/>
    <x v="43"/>
    <n v="731423"/>
    <n v="9.5399999999999991"/>
    <x v="14"/>
    <n v="27.4"/>
    <n v="450"/>
    <n v="1.39"/>
    <n v="0.247"/>
    <n v="61661"/>
    <n v="86.6"/>
    <n v="88.1"/>
    <x v="4"/>
    <n v="57.9"/>
    <x v="38"/>
    <n v="0"/>
  </r>
  <r>
    <x v="0"/>
    <n v="1"/>
    <x v="0"/>
    <x v="14"/>
    <n v="15"/>
    <x v="2"/>
    <x v="0"/>
    <n v="3"/>
    <n v="42428"/>
    <x v="44"/>
    <x v="44"/>
    <n v="306717"/>
    <n v="13.83"/>
    <x v="14"/>
    <n v="27.4"/>
    <n v="450"/>
    <n v="1.39"/>
    <n v="0.247"/>
    <n v="61661"/>
    <n v="86.6"/>
    <n v="88.1"/>
    <x v="4"/>
    <n v="57.9"/>
    <x v="39"/>
    <n v="0"/>
  </r>
  <r>
    <x v="0"/>
    <n v="1"/>
    <x v="0"/>
    <x v="15"/>
    <n v="16"/>
    <x v="0"/>
    <x v="0"/>
    <n v="1"/>
    <n v="7871"/>
    <x v="45"/>
    <x v="45"/>
    <n v="186005"/>
    <n v="4.2300000000000004"/>
    <x v="15"/>
    <n v="31.2"/>
    <n v="479"/>
    <n v="1.32"/>
    <n v="0.25800000000000001"/>
    <n v="62917"/>
    <n v="87.1"/>
    <n v="84.5"/>
    <x v="5"/>
    <n v="61.6"/>
    <x v="40"/>
    <n v="0"/>
  </r>
  <r>
    <x v="0"/>
    <n v="1"/>
    <x v="0"/>
    <x v="15"/>
    <n v="16"/>
    <x v="1"/>
    <x v="0"/>
    <n v="2"/>
    <n v="90872"/>
    <x v="46"/>
    <x v="46"/>
    <n v="751631"/>
    <n v="12.09"/>
    <x v="15"/>
    <n v="31.2"/>
    <n v="479"/>
    <n v="1.32"/>
    <n v="0.25800000000000001"/>
    <n v="62917"/>
    <n v="87.1"/>
    <n v="84.5"/>
    <x v="5"/>
    <n v="61.6"/>
    <x v="41"/>
    <n v="0"/>
  </r>
  <r>
    <x v="0"/>
    <n v="1"/>
    <x v="0"/>
    <x v="15"/>
    <n v="16"/>
    <x v="2"/>
    <x v="0"/>
    <n v="3"/>
    <n v="54396"/>
    <x v="47"/>
    <x v="47"/>
    <n v="310291"/>
    <n v="17.53"/>
    <x v="15"/>
    <n v="31.2"/>
    <n v="479"/>
    <n v="1.32"/>
    <n v="0.25800000000000001"/>
    <n v="62917"/>
    <n v="87.1"/>
    <n v="84.5"/>
    <x v="5"/>
    <n v="61.6"/>
    <x v="42"/>
    <n v="0"/>
  </r>
  <r>
    <x v="1"/>
    <n v="2"/>
    <x v="1"/>
    <x v="0"/>
    <n v="1"/>
    <x v="0"/>
    <x v="0"/>
    <n v="1"/>
    <n v="7"/>
    <x v="48"/>
    <x v="48"/>
    <n v="48963"/>
    <n v="0.01"/>
    <x v="16"/>
    <n v="3.1"/>
    <n v="123"/>
    <n v="1.25"/>
    <n v="0.183"/>
    <n v="47040"/>
    <n v="57.6"/>
    <n v="21.9"/>
    <x v="0"/>
    <n v="55.7"/>
    <x v="0"/>
    <n v="0"/>
  </r>
  <r>
    <x v="1"/>
    <n v="2"/>
    <x v="1"/>
    <x v="0"/>
    <n v="1"/>
    <x v="1"/>
    <x v="0"/>
    <n v="2"/>
    <n v="39"/>
    <x v="49"/>
    <x v="49"/>
    <n v="196538"/>
    <n v="0.02"/>
    <x v="16"/>
    <n v="3.1"/>
    <n v="123"/>
    <n v="1.25"/>
    <n v="0.183"/>
    <n v="47040"/>
    <n v="57.6"/>
    <n v="21.9"/>
    <x v="0"/>
    <n v="55.7"/>
    <x v="0"/>
    <n v="0"/>
  </r>
  <r>
    <x v="1"/>
    <n v="2"/>
    <x v="1"/>
    <x v="0"/>
    <n v="1"/>
    <x v="2"/>
    <x v="0"/>
    <n v="3"/>
    <n v="23"/>
    <x v="50"/>
    <x v="50"/>
    <n v="80737"/>
    <n v="0.03"/>
    <x v="16"/>
    <n v="3.1"/>
    <n v="123"/>
    <n v="1.25"/>
    <n v="0.183"/>
    <n v="47040"/>
    <n v="57.6"/>
    <n v="21.9"/>
    <x v="0"/>
    <n v="55.7"/>
    <x v="0"/>
    <n v="0"/>
  </r>
  <r>
    <x v="1"/>
    <n v="2"/>
    <x v="1"/>
    <x v="1"/>
    <n v="2"/>
    <x v="0"/>
    <x v="0"/>
    <n v="1"/>
    <n v="7"/>
    <x v="51"/>
    <x v="51"/>
    <n v="49341"/>
    <n v="0.01"/>
    <x v="17"/>
    <n v="4.3"/>
    <n v="132"/>
    <n v="1.2230000000000001"/>
    <n v="0.18099999999999999"/>
    <n v="46642"/>
    <n v="57.6"/>
    <n v="22.6"/>
    <x v="6"/>
    <n v="57.3"/>
    <x v="0"/>
    <n v="0"/>
  </r>
  <r>
    <x v="1"/>
    <n v="2"/>
    <x v="1"/>
    <x v="1"/>
    <n v="2"/>
    <x v="1"/>
    <x v="0"/>
    <n v="2"/>
    <n v="77"/>
    <x v="52"/>
    <x v="52"/>
    <n v="193122"/>
    <n v="0.04"/>
    <x v="17"/>
    <n v="4.3"/>
    <n v="132"/>
    <n v="1.2230000000000001"/>
    <n v="0.18099999999999999"/>
    <n v="46642"/>
    <n v="57.6"/>
    <n v="22.6"/>
    <x v="6"/>
    <n v="57.3"/>
    <x v="43"/>
    <n v="0"/>
  </r>
  <r>
    <x v="1"/>
    <n v="2"/>
    <x v="1"/>
    <x v="1"/>
    <n v="2"/>
    <x v="2"/>
    <x v="0"/>
    <n v="3"/>
    <n v="47"/>
    <x v="53"/>
    <x v="53"/>
    <n v="81283"/>
    <n v="0.06"/>
    <x v="17"/>
    <n v="4.3"/>
    <n v="132"/>
    <n v="1.2230000000000001"/>
    <n v="0.18099999999999999"/>
    <n v="46642"/>
    <n v="57.6"/>
    <n v="22.6"/>
    <x v="6"/>
    <n v="57.3"/>
    <x v="44"/>
    <n v="0"/>
  </r>
  <r>
    <x v="1"/>
    <n v="2"/>
    <x v="1"/>
    <x v="2"/>
    <n v="3"/>
    <x v="0"/>
    <x v="0"/>
    <n v="1"/>
    <n v="12"/>
    <x v="54"/>
    <x v="54"/>
    <n v="47812"/>
    <n v="0.03"/>
    <x v="18"/>
    <n v="6"/>
    <n v="136"/>
    <n v="1.2070000000000001"/>
    <n v="0.185"/>
    <n v="45538"/>
    <n v="57.6"/>
    <n v="23.1"/>
    <x v="7"/>
    <n v="59"/>
    <x v="45"/>
    <n v="0"/>
  </r>
  <r>
    <x v="1"/>
    <n v="2"/>
    <x v="1"/>
    <x v="2"/>
    <n v="3"/>
    <x v="1"/>
    <x v="0"/>
    <n v="2"/>
    <n v="135"/>
    <x v="55"/>
    <x v="55"/>
    <n v="192657"/>
    <n v="7.0000000000000007E-2"/>
    <x v="18"/>
    <n v="6"/>
    <n v="136"/>
    <n v="1.2070000000000001"/>
    <n v="0.185"/>
    <n v="45538"/>
    <n v="57.6"/>
    <n v="23.1"/>
    <x v="7"/>
    <n v="59"/>
    <x v="46"/>
    <n v="0"/>
  </r>
  <r>
    <x v="1"/>
    <n v="2"/>
    <x v="1"/>
    <x v="2"/>
    <n v="3"/>
    <x v="2"/>
    <x v="0"/>
    <n v="3"/>
    <n v="78"/>
    <x v="56"/>
    <x v="56"/>
    <n v="76967"/>
    <n v="0.1"/>
    <x v="18"/>
    <n v="6"/>
    <n v="136"/>
    <n v="1.2070000000000001"/>
    <n v="0.185"/>
    <n v="45538"/>
    <n v="57.6"/>
    <n v="23.1"/>
    <x v="7"/>
    <n v="59"/>
    <x v="47"/>
    <n v="0"/>
  </r>
  <r>
    <x v="1"/>
    <n v="2"/>
    <x v="1"/>
    <x v="3"/>
    <n v="4"/>
    <x v="0"/>
    <x v="0"/>
    <n v="1"/>
    <n v="16"/>
    <x v="57"/>
    <x v="57"/>
    <n v="46384"/>
    <n v="0.03"/>
    <x v="19"/>
    <n v="7"/>
    <n v="145"/>
    <n v="1.2"/>
    <n v="0.192"/>
    <n v="44093"/>
    <n v="58"/>
    <n v="23.4"/>
    <x v="8"/>
    <n v="61.1"/>
    <x v="48"/>
    <n v="0"/>
  </r>
  <r>
    <x v="1"/>
    <n v="2"/>
    <x v="1"/>
    <x v="3"/>
    <n v="4"/>
    <x v="1"/>
    <x v="0"/>
    <n v="2"/>
    <n v="189"/>
    <x v="58"/>
    <x v="58"/>
    <n v="188733"/>
    <n v="0.1"/>
    <x v="19"/>
    <n v="7"/>
    <n v="145"/>
    <n v="1.2"/>
    <n v="0.192"/>
    <n v="44093"/>
    <n v="58"/>
    <n v="23.4"/>
    <x v="8"/>
    <n v="61.1"/>
    <x v="49"/>
    <n v="0"/>
  </r>
  <r>
    <x v="1"/>
    <n v="2"/>
    <x v="1"/>
    <x v="3"/>
    <n v="4"/>
    <x v="2"/>
    <x v="0"/>
    <n v="3"/>
    <n v="114"/>
    <x v="59"/>
    <x v="59"/>
    <n v="78947"/>
    <n v="0.14000000000000001"/>
    <x v="19"/>
    <n v="7"/>
    <n v="145"/>
    <n v="1.2"/>
    <n v="0.192"/>
    <n v="44093"/>
    <n v="58"/>
    <n v="23.4"/>
    <x v="8"/>
    <n v="61.1"/>
    <x v="50"/>
    <n v="0"/>
  </r>
  <r>
    <x v="1"/>
    <n v="2"/>
    <x v="1"/>
    <x v="4"/>
    <n v="5"/>
    <x v="0"/>
    <x v="0"/>
    <n v="1"/>
    <n v="47"/>
    <x v="60"/>
    <x v="60"/>
    <n v="46375"/>
    <n v="0.1"/>
    <x v="20"/>
    <n v="8.6999999999999993"/>
    <n v="155"/>
    <n v="1.1970000000000001"/>
    <n v="0.19600000000000001"/>
    <n v="44555"/>
    <n v="57.6"/>
    <n v="23.2"/>
    <x v="9"/>
    <n v="62.8"/>
    <x v="51"/>
    <n v="0"/>
  </r>
  <r>
    <x v="1"/>
    <n v="2"/>
    <x v="1"/>
    <x v="4"/>
    <n v="5"/>
    <x v="1"/>
    <x v="0"/>
    <n v="2"/>
    <n v="543"/>
    <x v="61"/>
    <x v="61"/>
    <n v="187131"/>
    <n v="0.28999999999999998"/>
    <x v="20"/>
    <n v="8.6999999999999993"/>
    <n v="155"/>
    <n v="1.1970000000000001"/>
    <n v="0.19600000000000001"/>
    <n v="44555"/>
    <n v="57.6"/>
    <n v="23.2"/>
    <x v="9"/>
    <n v="62.8"/>
    <x v="52"/>
    <n v="0"/>
  </r>
  <r>
    <x v="1"/>
    <n v="2"/>
    <x v="1"/>
    <x v="4"/>
    <n v="5"/>
    <x v="2"/>
    <x v="0"/>
    <n v="3"/>
    <n v="332"/>
    <x v="62"/>
    <x v="62"/>
    <n v="78842"/>
    <n v="0.42"/>
    <x v="20"/>
    <n v="8.6999999999999993"/>
    <n v="155"/>
    <n v="1.1970000000000001"/>
    <n v="0.19600000000000001"/>
    <n v="44555"/>
    <n v="57.6"/>
    <n v="23.2"/>
    <x v="9"/>
    <n v="62.8"/>
    <x v="53"/>
    <n v="0"/>
  </r>
  <r>
    <x v="1"/>
    <n v="2"/>
    <x v="1"/>
    <x v="5"/>
    <n v="6"/>
    <x v="0"/>
    <x v="0"/>
    <n v="1"/>
    <n v="76"/>
    <x v="63"/>
    <x v="63"/>
    <n v="49331"/>
    <n v="0.15"/>
    <x v="21"/>
    <n v="10.3"/>
    <n v="171"/>
    <n v="1.1930000000000001"/>
    <n v="0.20200000000000001"/>
    <n v="43327"/>
    <n v="57.6"/>
    <n v="23.2"/>
    <x v="10"/>
    <n v="64.400000000000006"/>
    <x v="54"/>
    <n v="0"/>
  </r>
  <r>
    <x v="1"/>
    <n v="2"/>
    <x v="1"/>
    <x v="5"/>
    <n v="6"/>
    <x v="1"/>
    <x v="0"/>
    <n v="2"/>
    <n v="861"/>
    <x v="64"/>
    <x v="64"/>
    <n v="195693"/>
    <n v="0.44"/>
    <x v="21"/>
    <n v="10.3"/>
    <n v="171"/>
    <n v="1.1930000000000001"/>
    <n v="0.20200000000000001"/>
    <n v="43327"/>
    <n v="57.6"/>
    <n v="23.2"/>
    <x v="10"/>
    <n v="64.400000000000006"/>
    <x v="55"/>
    <n v="0"/>
  </r>
  <r>
    <x v="1"/>
    <n v="2"/>
    <x v="1"/>
    <x v="5"/>
    <n v="6"/>
    <x v="2"/>
    <x v="0"/>
    <n v="3"/>
    <n v="528"/>
    <x v="65"/>
    <x v="65"/>
    <n v="82700"/>
    <n v="0.64"/>
    <x v="21"/>
    <n v="10.3"/>
    <n v="171"/>
    <n v="1.1930000000000001"/>
    <n v="0.20200000000000001"/>
    <n v="43327"/>
    <n v="57.6"/>
    <n v="23.2"/>
    <x v="10"/>
    <n v="64.400000000000006"/>
    <x v="56"/>
    <n v="0"/>
  </r>
  <r>
    <x v="1"/>
    <n v="2"/>
    <x v="1"/>
    <x v="6"/>
    <n v="7"/>
    <x v="0"/>
    <x v="0"/>
    <n v="1"/>
    <n v="162"/>
    <x v="66"/>
    <x v="66"/>
    <n v="51002"/>
    <n v="0.32"/>
    <x v="22"/>
    <n v="11.3"/>
    <n v="190"/>
    <n v="1.2"/>
    <n v="0.20699999999999999"/>
    <n v="44927"/>
    <n v="58.1"/>
    <n v="23.2"/>
    <x v="11"/>
    <n v="67.599999999999994"/>
    <x v="57"/>
    <n v="0"/>
  </r>
  <r>
    <x v="1"/>
    <n v="2"/>
    <x v="1"/>
    <x v="6"/>
    <n v="7"/>
    <x v="1"/>
    <x v="0"/>
    <n v="2"/>
    <n v="1848"/>
    <x v="67"/>
    <x v="67"/>
    <n v="203088"/>
    <n v="0.91"/>
    <x v="22"/>
    <n v="11.3"/>
    <n v="190"/>
    <n v="1.2"/>
    <n v="0.20699999999999999"/>
    <n v="44927"/>
    <n v="58.1"/>
    <n v="23.2"/>
    <x v="11"/>
    <n v="67.599999999999994"/>
    <x v="58"/>
    <n v="0"/>
  </r>
  <r>
    <x v="1"/>
    <n v="2"/>
    <x v="1"/>
    <x v="6"/>
    <n v="7"/>
    <x v="2"/>
    <x v="0"/>
    <n v="3"/>
    <n v="1112"/>
    <x v="68"/>
    <x v="68"/>
    <n v="84270"/>
    <n v="1.32"/>
    <x v="22"/>
    <n v="11.3"/>
    <n v="190"/>
    <n v="1.2"/>
    <n v="0.20699999999999999"/>
    <n v="44927"/>
    <n v="58.1"/>
    <n v="23.2"/>
    <x v="11"/>
    <n v="67.599999999999994"/>
    <x v="59"/>
    <n v="0"/>
  </r>
  <r>
    <x v="1"/>
    <n v="2"/>
    <x v="1"/>
    <x v="7"/>
    <n v="8"/>
    <x v="0"/>
    <x v="0"/>
    <n v="1"/>
    <n v="263"/>
    <x v="69"/>
    <x v="69"/>
    <n v="51105"/>
    <n v="0.51"/>
    <x v="23"/>
    <n v="12.7"/>
    <n v="206"/>
    <n v="1.2070000000000001"/>
    <n v="0.214"/>
    <n v="46311"/>
    <n v="58"/>
    <n v="23.4"/>
    <x v="12"/>
    <n v="70.400000000000006"/>
    <x v="60"/>
    <n v="0"/>
  </r>
  <r>
    <x v="1"/>
    <n v="2"/>
    <x v="1"/>
    <x v="7"/>
    <n v="8"/>
    <x v="1"/>
    <x v="0"/>
    <n v="2"/>
    <n v="3040"/>
    <x v="70"/>
    <x v="70"/>
    <n v="206777"/>
    <n v="1.47"/>
    <x v="23"/>
    <n v="12.7"/>
    <n v="206"/>
    <n v="1.2070000000000001"/>
    <n v="0.214"/>
    <n v="46311"/>
    <n v="58"/>
    <n v="23.4"/>
    <x v="12"/>
    <n v="70.400000000000006"/>
    <x v="61"/>
    <n v="0"/>
  </r>
  <r>
    <x v="1"/>
    <n v="2"/>
    <x v="1"/>
    <x v="7"/>
    <n v="8"/>
    <x v="2"/>
    <x v="0"/>
    <n v="3"/>
    <n v="1835"/>
    <x v="71"/>
    <x v="71"/>
    <n v="86102"/>
    <n v="2.13"/>
    <x v="23"/>
    <n v="12.7"/>
    <n v="206"/>
    <n v="1.2070000000000001"/>
    <n v="0.214"/>
    <n v="46311"/>
    <n v="58"/>
    <n v="23.4"/>
    <x v="12"/>
    <n v="70.400000000000006"/>
    <x v="62"/>
    <n v="0"/>
  </r>
  <r>
    <x v="1"/>
    <n v="2"/>
    <x v="1"/>
    <x v="8"/>
    <n v="9"/>
    <x v="0"/>
    <x v="0"/>
    <n v="1"/>
    <n v="387"/>
    <x v="72"/>
    <x v="72"/>
    <n v="50661"/>
    <n v="0.76"/>
    <x v="24"/>
    <n v="14.4"/>
    <n v="263"/>
    <n v="1.2270000000000001"/>
    <n v="0.214"/>
    <n v="47724"/>
    <n v="58.5"/>
    <n v="23.8"/>
    <x v="13"/>
    <n v="74.2"/>
    <x v="63"/>
    <n v="0"/>
  </r>
  <r>
    <x v="1"/>
    <n v="2"/>
    <x v="1"/>
    <x v="8"/>
    <n v="9"/>
    <x v="1"/>
    <x v="0"/>
    <n v="2"/>
    <n v="4440"/>
    <x v="73"/>
    <x v="73"/>
    <n v="203650"/>
    <n v="2.1800000000000002"/>
    <x v="24"/>
    <n v="14.4"/>
    <n v="263"/>
    <n v="1.2270000000000001"/>
    <n v="0.214"/>
    <n v="47724"/>
    <n v="58.5"/>
    <n v="23.8"/>
    <x v="13"/>
    <n v="74.2"/>
    <x v="64"/>
    <n v="0"/>
  </r>
  <r>
    <x v="1"/>
    <n v="2"/>
    <x v="1"/>
    <x v="8"/>
    <n v="9"/>
    <x v="2"/>
    <x v="0"/>
    <n v="3"/>
    <n v="2675"/>
    <x v="74"/>
    <x v="74"/>
    <n v="84638"/>
    <n v="3.16"/>
    <x v="24"/>
    <n v="14.4"/>
    <n v="263"/>
    <n v="1.2270000000000001"/>
    <n v="0.214"/>
    <n v="47724"/>
    <n v="58.5"/>
    <n v="23.8"/>
    <x v="13"/>
    <n v="74.2"/>
    <x v="65"/>
    <n v="0"/>
  </r>
  <r>
    <x v="1"/>
    <n v="2"/>
    <x v="1"/>
    <x v="9"/>
    <n v="10"/>
    <x v="0"/>
    <x v="0"/>
    <n v="1"/>
    <n v="516"/>
    <x v="75"/>
    <x v="75"/>
    <n v="48527"/>
    <n v="1.06"/>
    <x v="25"/>
    <n v="16.7"/>
    <n v="308"/>
    <n v="1.3129999999999999"/>
    <n v="0.215"/>
    <n v="48850"/>
    <n v="58.4"/>
    <n v="22.9"/>
    <x v="14"/>
    <n v="75.900000000000006"/>
    <x v="66"/>
    <n v="0"/>
  </r>
  <r>
    <x v="1"/>
    <n v="2"/>
    <x v="1"/>
    <x v="9"/>
    <n v="10"/>
    <x v="1"/>
    <x v="0"/>
    <n v="2"/>
    <n v="5924"/>
    <x v="76"/>
    <x v="76"/>
    <n v="194857"/>
    <n v="3.04"/>
    <x v="25"/>
    <n v="16.7"/>
    <n v="308"/>
    <n v="1.3129999999999999"/>
    <n v="0.215"/>
    <n v="48850"/>
    <n v="58.4"/>
    <n v="22.9"/>
    <x v="14"/>
    <n v="75.900000000000006"/>
    <x v="67"/>
    <n v="0"/>
  </r>
  <r>
    <x v="1"/>
    <n v="2"/>
    <x v="1"/>
    <x v="9"/>
    <n v="10"/>
    <x v="2"/>
    <x v="0"/>
    <n v="3"/>
    <n v="3582"/>
    <x v="77"/>
    <x v="77"/>
    <n v="81254"/>
    <n v="4.41"/>
    <x v="25"/>
    <n v="16.7"/>
    <n v="308"/>
    <n v="1.3129999999999999"/>
    <n v="0.215"/>
    <n v="48850"/>
    <n v="58.4"/>
    <n v="22.9"/>
    <x v="14"/>
    <n v="75.900000000000006"/>
    <x v="68"/>
    <n v="0"/>
  </r>
  <r>
    <x v="1"/>
    <n v="2"/>
    <x v="1"/>
    <x v="10"/>
    <n v="11"/>
    <x v="0"/>
    <x v="0"/>
    <n v="1"/>
    <n v="1419"/>
    <x v="78"/>
    <x v="78"/>
    <n v="37291"/>
    <n v="3.81"/>
    <x v="26"/>
    <n v="18.7"/>
    <n v="337"/>
    <n v="1.4530000000000001"/>
    <n v="0.23799999999999999"/>
    <n v="51354"/>
    <n v="58.6"/>
    <n v="22.2"/>
    <x v="15"/>
    <n v="79.900000000000006"/>
    <x v="69"/>
    <n v="0"/>
  </r>
  <r>
    <x v="1"/>
    <n v="2"/>
    <x v="1"/>
    <x v="10"/>
    <n v="11"/>
    <x v="1"/>
    <x v="0"/>
    <n v="2"/>
    <n v="16251"/>
    <x v="79"/>
    <x v="79"/>
    <n v="149505"/>
    <n v="10.87"/>
    <x v="26"/>
    <n v="18.7"/>
    <n v="337"/>
    <n v="1.4530000000000001"/>
    <n v="0.23799999999999999"/>
    <n v="51354"/>
    <n v="58.6"/>
    <n v="22.2"/>
    <x v="15"/>
    <n v="79.900000000000006"/>
    <x v="70"/>
    <n v="0"/>
  </r>
  <r>
    <x v="1"/>
    <n v="2"/>
    <x v="1"/>
    <x v="10"/>
    <n v="11"/>
    <x v="2"/>
    <x v="0"/>
    <n v="3"/>
    <n v="9963"/>
    <x v="80"/>
    <x v="80"/>
    <n v="63214"/>
    <n v="15.76"/>
    <x v="26"/>
    <n v="18.7"/>
    <n v="337"/>
    <n v="1.4530000000000001"/>
    <n v="0.23799999999999999"/>
    <n v="51354"/>
    <n v="58.6"/>
    <n v="22.2"/>
    <x v="15"/>
    <n v="79.900000000000006"/>
    <x v="71"/>
    <n v="0"/>
  </r>
  <r>
    <x v="1"/>
    <n v="2"/>
    <x v="1"/>
    <x v="11"/>
    <n v="12"/>
    <x v="0"/>
    <x v="0"/>
    <n v="1"/>
    <n v="2442"/>
    <x v="81"/>
    <x v="81"/>
    <n v="35934"/>
    <n v="6.8"/>
    <x v="27"/>
    <n v="20.5"/>
    <n v="366"/>
    <n v="1.647"/>
    <n v="0.28599999999999998"/>
    <n v="51589"/>
    <n v="59.1"/>
    <n v="21.2"/>
    <x v="16"/>
    <n v="82.6"/>
    <x v="72"/>
    <n v="0"/>
  </r>
  <r>
    <x v="1"/>
    <n v="2"/>
    <x v="1"/>
    <x v="11"/>
    <n v="12"/>
    <x v="1"/>
    <x v="0"/>
    <n v="2"/>
    <n v="27900"/>
    <x v="82"/>
    <x v="82"/>
    <n v="143667"/>
    <n v="19.420000000000002"/>
    <x v="27"/>
    <n v="20.5"/>
    <n v="366"/>
    <n v="1.647"/>
    <n v="0.28599999999999998"/>
    <n v="51589"/>
    <n v="59.1"/>
    <n v="21.2"/>
    <x v="16"/>
    <n v="82.6"/>
    <x v="73"/>
    <n v="0"/>
  </r>
  <r>
    <x v="1"/>
    <n v="2"/>
    <x v="1"/>
    <x v="11"/>
    <n v="12"/>
    <x v="2"/>
    <x v="0"/>
    <n v="3"/>
    <n v="16545"/>
    <x v="83"/>
    <x v="83"/>
    <n v="58757"/>
    <n v="28.16"/>
    <x v="27"/>
    <n v="20.5"/>
    <n v="366"/>
    <n v="1.647"/>
    <n v="0.28599999999999998"/>
    <n v="51589"/>
    <n v="59.1"/>
    <n v="21.2"/>
    <x v="16"/>
    <n v="82.6"/>
    <x v="74"/>
    <n v="0"/>
  </r>
  <r>
    <x v="1"/>
    <n v="2"/>
    <x v="1"/>
    <x v="12"/>
    <n v="13"/>
    <x v="0"/>
    <x v="0"/>
    <n v="1"/>
    <n v="2154"/>
    <x v="84"/>
    <x v="84"/>
    <n v="32232"/>
    <n v="6.68"/>
    <x v="28"/>
    <n v="22.4"/>
    <n v="401"/>
    <n v="1.7370000000000001"/>
    <n v="0.32600000000000001"/>
    <n v="52184"/>
    <n v="59.1"/>
    <n v="21.3"/>
    <x v="17"/>
    <n v="84.8"/>
    <x v="75"/>
    <n v="0"/>
  </r>
  <r>
    <x v="1"/>
    <n v="2"/>
    <x v="1"/>
    <x v="12"/>
    <n v="13"/>
    <x v="1"/>
    <x v="0"/>
    <n v="2"/>
    <n v="25143"/>
    <x v="85"/>
    <x v="85"/>
    <n v="131708"/>
    <n v="19.09"/>
    <x v="28"/>
    <n v="22.4"/>
    <n v="401"/>
    <n v="1.7370000000000001"/>
    <n v="0.32600000000000001"/>
    <n v="52184"/>
    <n v="59.1"/>
    <n v="21.3"/>
    <x v="17"/>
    <n v="84.8"/>
    <x v="76"/>
    <n v="0"/>
  </r>
  <r>
    <x v="1"/>
    <n v="2"/>
    <x v="1"/>
    <x v="12"/>
    <n v="13"/>
    <x v="2"/>
    <x v="0"/>
    <n v="3"/>
    <n v="14797"/>
    <x v="86"/>
    <x v="86"/>
    <n v="53456"/>
    <n v="27.68"/>
    <x v="28"/>
    <n v="22.4"/>
    <n v="401"/>
    <n v="1.7370000000000001"/>
    <n v="0.32600000000000001"/>
    <n v="52184"/>
    <n v="59.1"/>
    <n v="21.3"/>
    <x v="17"/>
    <n v="84.8"/>
    <x v="77"/>
    <n v="0"/>
  </r>
  <r>
    <x v="1"/>
    <n v="2"/>
    <x v="1"/>
    <x v="13"/>
    <n v="14"/>
    <x v="0"/>
    <x v="0"/>
    <n v="1"/>
    <n v="2330"/>
    <x v="87"/>
    <x v="87"/>
    <n v="36430"/>
    <n v="6.4"/>
    <x v="29"/>
    <n v="23.5"/>
    <n v="422"/>
    <n v="1.7569999999999999"/>
    <n v="0.33300000000000002"/>
    <n v="52958"/>
    <n v="59.1"/>
    <n v="20.9"/>
    <x v="18"/>
    <n v="87.2"/>
    <x v="78"/>
    <n v="0"/>
  </r>
  <r>
    <x v="1"/>
    <n v="2"/>
    <x v="1"/>
    <x v="13"/>
    <n v="14"/>
    <x v="1"/>
    <x v="0"/>
    <n v="2"/>
    <n v="26115"/>
    <x v="88"/>
    <x v="88"/>
    <n v="142940"/>
    <n v="18.27"/>
    <x v="29"/>
    <n v="23.5"/>
    <n v="422"/>
    <n v="1.7569999999999999"/>
    <n v="0.33300000000000002"/>
    <n v="52958"/>
    <n v="59.1"/>
    <n v="20.9"/>
    <x v="18"/>
    <n v="87.2"/>
    <x v="79"/>
    <n v="0"/>
  </r>
  <r>
    <x v="1"/>
    <n v="2"/>
    <x v="1"/>
    <x v="13"/>
    <n v="14"/>
    <x v="2"/>
    <x v="0"/>
    <n v="3"/>
    <n v="16147"/>
    <x v="89"/>
    <x v="89"/>
    <n v="60951"/>
    <n v="26.49"/>
    <x v="29"/>
    <n v="23.5"/>
    <n v="422"/>
    <n v="1.7569999999999999"/>
    <n v="0.33300000000000002"/>
    <n v="52958"/>
    <n v="59.1"/>
    <n v="20.9"/>
    <x v="18"/>
    <n v="87.2"/>
    <x v="80"/>
    <n v="0"/>
  </r>
  <r>
    <x v="1"/>
    <n v="2"/>
    <x v="1"/>
    <x v="14"/>
    <n v="15"/>
    <x v="0"/>
    <x v="0"/>
    <n v="1"/>
    <n v="2990"/>
    <x v="90"/>
    <x v="90"/>
    <n v="36587"/>
    <n v="8.17"/>
    <x v="30"/>
    <n v="25.7"/>
    <n v="445"/>
    <n v="1.68"/>
    <n v="0.308"/>
    <n v="56638"/>
    <n v="59.3"/>
    <n v="20.100000000000001"/>
    <x v="19"/>
    <n v="90.2"/>
    <x v="81"/>
    <n v="0"/>
  </r>
  <r>
    <x v="1"/>
    <n v="2"/>
    <x v="1"/>
    <x v="14"/>
    <n v="15"/>
    <x v="1"/>
    <x v="0"/>
    <n v="2"/>
    <n v="34343"/>
    <x v="91"/>
    <x v="91"/>
    <n v="147079"/>
    <n v="23.35"/>
    <x v="30"/>
    <n v="25.7"/>
    <n v="445"/>
    <n v="1.68"/>
    <n v="0.308"/>
    <n v="56638"/>
    <n v="59.3"/>
    <n v="20.100000000000001"/>
    <x v="19"/>
    <n v="90.2"/>
    <x v="82"/>
    <n v="0"/>
  </r>
  <r>
    <x v="1"/>
    <n v="2"/>
    <x v="1"/>
    <x v="14"/>
    <n v="15"/>
    <x v="2"/>
    <x v="0"/>
    <n v="3"/>
    <n v="21233"/>
    <x v="92"/>
    <x v="92"/>
    <n v="62713"/>
    <n v="33.86"/>
    <x v="30"/>
    <n v="25.7"/>
    <n v="445"/>
    <n v="1.68"/>
    <n v="0.308"/>
    <n v="56638"/>
    <n v="59.3"/>
    <n v="20.100000000000001"/>
    <x v="19"/>
    <n v="90.2"/>
    <x v="83"/>
    <n v="0"/>
  </r>
  <r>
    <x v="1"/>
    <n v="2"/>
    <x v="1"/>
    <x v="15"/>
    <n v="16"/>
    <x v="0"/>
    <x v="0"/>
    <n v="1"/>
    <n v="3416"/>
    <x v="93"/>
    <x v="93"/>
    <n v="38713"/>
    <n v="8.82"/>
    <x v="31"/>
    <n v="28.8"/>
    <n v="481"/>
    <n v="1.6"/>
    <n v="0.27700000000000002"/>
    <n v="57542"/>
    <n v="59.2"/>
    <n v="19.2"/>
    <x v="20"/>
    <n v="92.5"/>
    <x v="84"/>
    <n v="0"/>
  </r>
  <r>
    <x v="1"/>
    <n v="2"/>
    <x v="1"/>
    <x v="15"/>
    <n v="16"/>
    <x v="1"/>
    <x v="0"/>
    <n v="2"/>
    <n v="40120"/>
    <x v="94"/>
    <x v="94"/>
    <n v="159145"/>
    <n v="25.21"/>
    <x v="31"/>
    <n v="28.8"/>
    <n v="481"/>
    <n v="1.6"/>
    <n v="0.27700000000000002"/>
    <n v="57542"/>
    <n v="59.2"/>
    <n v="19.2"/>
    <x v="20"/>
    <n v="92.5"/>
    <x v="85"/>
    <n v="0"/>
  </r>
  <r>
    <x v="1"/>
    <n v="2"/>
    <x v="1"/>
    <x v="15"/>
    <n v="16"/>
    <x v="2"/>
    <x v="0"/>
    <n v="3"/>
    <n v="23485"/>
    <x v="95"/>
    <x v="95"/>
    <n v="64246"/>
    <n v="36.549999999999997"/>
    <x v="31"/>
    <n v="28.8"/>
    <n v="481"/>
    <n v="1.6"/>
    <n v="0.27700000000000002"/>
    <n v="57542"/>
    <n v="59.2"/>
    <n v="19.2"/>
    <x v="20"/>
    <n v="92.5"/>
    <x v="86"/>
    <n v="0"/>
  </r>
  <r>
    <x v="2"/>
    <n v="3"/>
    <x v="1"/>
    <x v="0"/>
    <n v="1"/>
    <x v="0"/>
    <x v="0"/>
    <n v="1"/>
    <n v="6"/>
    <x v="96"/>
    <x v="96"/>
    <n v="83518"/>
    <n v="0.01"/>
    <x v="32"/>
    <n v="2"/>
    <n v="125"/>
    <n v="1.53"/>
    <n v="0.216"/>
    <n v="45291"/>
    <n v="97.5"/>
    <n v="26.4"/>
    <x v="0"/>
    <n v="55.1"/>
    <x v="0"/>
    <n v="0"/>
  </r>
  <r>
    <x v="2"/>
    <n v="3"/>
    <x v="1"/>
    <x v="0"/>
    <n v="1"/>
    <x v="1"/>
    <x v="0"/>
    <n v="2"/>
    <n v="66"/>
    <x v="97"/>
    <x v="97"/>
    <n v="332163"/>
    <n v="0.02"/>
    <x v="32"/>
    <n v="2"/>
    <n v="125"/>
    <n v="1.53"/>
    <n v="0.216"/>
    <n v="45291"/>
    <n v="97.5"/>
    <n v="26.4"/>
    <x v="0"/>
    <n v="55.1"/>
    <x v="0"/>
    <n v="0"/>
  </r>
  <r>
    <x v="2"/>
    <n v="3"/>
    <x v="1"/>
    <x v="0"/>
    <n v="1"/>
    <x v="2"/>
    <x v="0"/>
    <n v="3"/>
    <n v="40"/>
    <x v="98"/>
    <x v="98"/>
    <n v="136945"/>
    <n v="0.03"/>
    <x v="32"/>
    <n v="2"/>
    <n v="125"/>
    <n v="1.53"/>
    <n v="0.216"/>
    <n v="45291"/>
    <n v="97.5"/>
    <n v="26.4"/>
    <x v="0"/>
    <n v="55.1"/>
    <x v="0"/>
    <n v="0"/>
  </r>
  <r>
    <x v="2"/>
    <n v="3"/>
    <x v="1"/>
    <x v="1"/>
    <n v="2"/>
    <x v="0"/>
    <x v="0"/>
    <n v="1"/>
    <n v="11"/>
    <x v="99"/>
    <x v="99"/>
    <n v="79473"/>
    <n v="0.01"/>
    <x v="33"/>
    <n v="2.7"/>
    <n v="135"/>
    <n v="1.4930000000000001"/>
    <n v="0.223"/>
    <n v="43513"/>
    <n v="97.7"/>
    <n v="25.9"/>
    <x v="21"/>
    <n v="56"/>
    <x v="87"/>
    <n v="0"/>
  </r>
  <r>
    <x v="2"/>
    <n v="3"/>
    <x v="1"/>
    <x v="1"/>
    <n v="2"/>
    <x v="1"/>
    <x v="0"/>
    <n v="2"/>
    <n v="126"/>
    <x v="100"/>
    <x v="100"/>
    <n v="314524"/>
    <n v="0.04"/>
    <x v="33"/>
    <n v="2.7"/>
    <n v="135"/>
    <n v="1.4930000000000001"/>
    <n v="0.223"/>
    <n v="43513"/>
    <n v="97.7"/>
    <n v="25.9"/>
    <x v="21"/>
    <n v="56"/>
    <x v="88"/>
    <n v="0"/>
  </r>
  <r>
    <x v="2"/>
    <n v="3"/>
    <x v="1"/>
    <x v="1"/>
    <n v="2"/>
    <x v="2"/>
    <x v="0"/>
    <n v="3"/>
    <n v="75"/>
    <x v="101"/>
    <x v="101"/>
    <n v="129235"/>
    <n v="0.06"/>
    <x v="33"/>
    <n v="2.7"/>
    <n v="135"/>
    <n v="1.4930000000000001"/>
    <n v="0.223"/>
    <n v="43513"/>
    <n v="97.7"/>
    <n v="25.9"/>
    <x v="21"/>
    <n v="56"/>
    <x v="89"/>
    <n v="0"/>
  </r>
  <r>
    <x v="2"/>
    <n v="3"/>
    <x v="1"/>
    <x v="2"/>
    <n v="3"/>
    <x v="0"/>
    <x v="0"/>
    <n v="1"/>
    <n v="18"/>
    <x v="102"/>
    <x v="102"/>
    <n v="74295"/>
    <n v="0.02"/>
    <x v="34"/>
    <n v="3.4"/>
    <n v="146"/>
    <n v="1.4770000000000001"/>
    <n v="0.22800000000000001"/>
    <n v="42820"/>
    <n v="98.2"/>
    <n v="25.5"/>
    <x v="22"/>
    <n v="58"/>
    <x v="90"/>
    <n v="0"/>
  </r>
  <r>
    <x v="2"/>
    <n v="3"/>
    <x v="1"/>
    <x v="2"/>
    <n v="3"/>
    <x v="1"/>
    <x v="0"/>
    <n v="2"/>
    <n v="210"/>
    <x v="103"/>
    <x v="103"/>
    <n v="299915"/>
    <n v="7.0000000000000007E-2"/>
    <x v="34"/>
    <n v="3.4"/>
    <n v="146"/>
    <n v="1.4770000000000001"/>
    <n v="0.22800000000000001"/>
    <n v="42820"/>
    <n v="98.2"/>
    <n v="25.5"/>
    <x v="22"/>
    <n v="58"/>
    <x v="91"/>
    <n v="0"/>
  </r>
  <r>
    <x v="2"/>
    <n v="3"/>
    <x v="1"/>
    <x v="2"/>
    <n v="3"/>
    <x v="2"/>
    <x v="0"/>
    <n v="3"/>
    <n v="128"/>
    <x v="104"/>
    <x v="104"/>
    <n v="126388"/>
    <n v="0.1"/>
    <x v="34"/>
    <n v="3.4"/>
    <n v="146"/>
    <n v="1.4770000000000001"/>
    <n v="0.22800000000000001"/>
    <n v="42820"/>
    <n v="98.2"/>
    <n v="25.5"/>
    <x v="22"/>
    <n v="58"/>
    <x v="92"/>
    <n v="0"/>
  </r>
  <r>
    <x v="2"/>
    <n v="3"/>
    <x v="1"/>
    <x v="3"/>
    <n v="4"/>
    <x v="0"/>
    <x v="0"/>
    <n v="1"/>
    <n v="26"/>
    <x v="105"/>
    <x v="105"/>
    <n v="74480"/>
    <n v="0.03"/>
    <x v="35"/>
    <n v="4.3"/>
    <n v="142"/>
    <n v="1.44"/>
    <n v="0.23200000000000001"/>
    <n v="42187"/>
    <n v="97.8"/>
    <n v="25.2"/>
    <x v="23"/>
    <n v="60.6"/>
    <x v="93"/>
    <n v="0"/>
  </r>
  <r>
    <x v="2"/>
    <n v="3"/>
    <x v="1"/>
    <x v="3"/>
    <n v="4"/>
    <x v="1"/>
    <x v="0"/>
    <n v="2"/>
    <n v="301"/>
    <x v="106"/>
    <x v="106"/>
    <n v="301257"/>
    <n v="0.1"/>
    <x v="35"/>
    <n v="4.3"/>
    <n v="142"/>
    <n v="1.44"/>
    <n v="0.23200000000000001"/>
    <n v="42187"/>
    <n v="97.8"/>
    <n v="25.2"/>
    <x v="23"/>
    <n v="60.6"/>
    <x v="94"/>
    <n v="0"/>
  </r>
  <r>
    <x v="2"/>
    <n v="3"/>
    <x v="1"/>
    <x v="3"/>
    <n v="4"/>
    <x v="2"/>
    <x v="0"/>
    <n v="3"/>
    <n v="177"/>
    <x v="107"/>
    <x v="107"/>
    <n v="121912"/>
    <n v="0.15"/>
    <x v="35"/>
    <n v="4.3"/>
    <n v="142"/>
    <n v="1.44"/>
    <n v="0.23200000000000001"/>
    <n v="42187"/>
    <n v="97.8"/>
    <n v="25.2"/>
    <x v="23"/>
    <n v="60.6"/>
    <x v="95"/>
    <n v="0"/>
  </r>
  <r>
    <x v="2"/>
    <n v="3"/>
    <x v="1"/>
    <x v="4"/>
    <n v="5"/>
    <x v="0"/>
    <x v="0"/>
    <n v="1"/>
    <n v="92"/>
    <x v="108"/>
    <x v="108"/>
    <n v="73355"/>
    <n v="0.13"/>
    <x v="36"/>
    <n v="4.9000000000000004"/>
    <n v="153"/>
    <n v="1.4330000000000001"/>
    <n v="0.23599999999999999"/>
    <n v="40760"/>
    <n v="97.8"/>
    <n v="25.2"/>
    <x v="24"/>
    <n v="62.4"/>
    <x v="96"/>
    <n v="0"/>
  </r>
  <r>
    <x v="2"/>
    <n v="3"/>
    <x v="1"/>
    <x v="4"/>
    <n v="5"/>
    <x v="1"/>
    <x v="0"/>
    <n v="2"/>
    <n v="1079"/>
    <x v="109"/>
    <x v="109"/>
    <n v="299672"/>
    <n v="0.36"/>
    <x v="36"/>
    <n v="4.9000000000000004"/>
    <n v="153"/>
    <n v="1.4330000000000001"/>
    <n v="0.23599999999999999"/>
    <n v="40760"/>
    <n v="97.8"/>
    <n v="25.2"/>
    <x v="24"/>
    <n v="62.4"/>
    <x v="97"/>
    <n v="0"/>
  </r>
  <r>
    <x v="2"/>
    <n v="3"/>
    <x v="1"/>
    <x v="4"/>
    <n v="5"/>
    <x v="2"/>
    <x v="0"/>
    <n v="3"/>
    <n v="639"/>
    <x v="110"/>
    <x v="110"/>
    <n v="122362"/>
    <n v="0.52"/>
    <x v="36"/>
    <n v="4.9000000000000004"/>
    <n v="153"/>
    <n v="1.4330000000000001"/>
    <n v="0.23599999999999999"/>
    <n v="40760"/>
    <n v="97.8"/>
    <n v="25.2"/>
    <x v="24"/>
    <n v="62.4"/>
    <x v="98"/>
    <n v="0"/>
  </r>
  <r>
    <x v="2"/>
    <n v="3"/>
    <x v="1"/>
    <x v="5"/>
    <n v="6"/>
    <x v="0"/>
    <x v="0"/>
    <n v="1"/>
    <n v="161"/>
    <x v="111"/>
    <x v="111"/>
    <n v="75222"/>
    <n v="0.21"/>
    <x v="37"/>
    <n v="5.8"/>
    <n v="173"/>
    <n v="1.427"/>
    <n v="0.24"/>
    <n v="40432"/>
    <n v="97.2"/>
    <n v="25.1"/>
    <x v="25"/>
    <n v="64.400000000000006"/>
    <x v="99"/>
    <n v="0"/>
  </r>
  <r>
    <x v="2"/>
    <n v="3"/>
    <x v="1"/>
    <x v="5"/>
    <n v="6"/>
    <x v="1"/>
    <x v="0"/>
    <n v="2"/>
    <n v="1835"/>
    <x v="112"/>
    <x v="112"/>
    <n v="300739"/>
    <n v="0.61"/>
    <x v="37"/>
    <n v="5.8"/>
    <n v="173"/>
    <n v="1.427"/>
    <n v="0.24"/>
    <n v="40432"/>
    <n v="97.2"/>
    <n v="25.1"/>
    <x v="25"/>
    <n v="64.400000000000006"/>
    <x v="100"/>
    <n v="0"/>
  </r>
  <r>
    <x v="2"/>
    <n v="3"/>
    <x v="1"/>
    <x v="5"/>
    <n v="6"/>
    <x v="2"/>
    <x v="0"/>
    <n v="3"/>
    <n v="1108"/>
    <x v="113"/>
    <x v="113"/>
    <n v="125250"/>
    <n v="0.88"/>
    <x v="37"/>
    <n v="5.8"/>
    <n v="173"/>
    <n v="1.427"/>
    <n v="0.24"/>
    <n v="40432"/>
    <n v="97.2"/>
    <n v="25.1"/>
    <x v="25"/>
    <n v="64.400000000000006"/>
    <x v="101"/>
    <n v="0"/>
  </r>
  <r>
    <x v="2"/>
    <n v="3"/>
    <x v="1"/>
    <x v="6"/>
    <n v="7"/>
    <x v="0"/>
    <x v="0"/>
    <n v="1"/>
    <n v="307"/>
    <x v="114"/>
    <x v="114"/>
    <n v="77691"/>
    <n v="0.4"/>
    <x v="38"/>
    <n v="7.4"/>
    <n v="192"/>
    <n v="1.4470000000000001"/>
    <n v="0.246"/>
    <n v="42098"/>
    <n v="97.8"/>
    <n v="24.7"/>
    <x v="26"/>
    <n v="66.3"/>
    <x v="102"/>
    <n v="0"/>
  </r>
  <r>
    <x v="2"/>
    <n v="3"/>
    <x v="1"/>
    <x v="6"/>
    <n v="7"/>
    <x v="1"/>
    <x v="0"/>
    <n v="2"/>
    <n v="3545"/>
    <x v="115"/>
    <x v="115"/>
    <n v="313727"/>
    <n v="1.1299999999999999"/>
    <x v="38"/>
    <n v="7.4"/>
    <n v="192"/>
    <n v="1.4470000000000001"/>
    <n v="0.246"/>
    <n v="42098"/>
    <n v="97.8"/>
    <n v="24.7"/>
    <x v="26"/>
    <n v="66.3"/>
    <x v="103"/>
    <n v="0"/>
  </r>
  <r>
    <x v="2"/>
    <n v="3"/>
    <x v="1"/>
    <x v="6"/>
    <n v="7"/>
    <x v="2"/>
    <x v="0"/>
    <n v="3"/>
    <n v="2143"/>
    <x v="116"/>
    <x v="116"/>
    <n v="130799"/>
    <n v="1.64"/>
    <x v="38"/>
    <n v="7.4"/>
    <n v="192"/>
    <n v="1.4470000000000001"/>
    <n v="0.246"/>
    <n v="42098"/>
    <n v="97.8"/>
    <n v="24.7"/>
    <x v="26"/>
    <n v="66.3"/>
    <x v="104"/>
    <n v="0"/>
  </r>
  <r>
    <x v="2"/>
    <n v="3"/>
    <x v="1"/>
    <x v="7"/>
    <n v="8"/>
    <x v="0"/>
    <x v="0"/>
    <n v="1"/>
    <n v="459"/>
    <x v="117"/>
    <x v="117"/>
    <n v="83516"/>
    <n v="0.55000000000000004"/>
    <x v="39"/>
    <n v="8"/>
    <n v="224"/>
    <n v="1.4930000000000001"/>
    <n v="0.254"/>
    <n v="43789"/>
    <n v="97.9"/>
    <n v="24.5"/>
    <x v="27"/>
    <n v="71.099999999999994"/>
    <x v="105"/>
    <n v="0"/>
  </r>
  <r>
    <x v="2"/>
    <n v="3"/>
    <x v="1"/>
    <x v="7"/>
    <n v="8"/>
    <x v="1"/>
    <x v="0"/>
    <n v="2"/>
    <n v="5235"/>
    <x v="118"/>
    <x v="118"/>
    <n v="333459"/>
    <n v="1.57"/>
    <x v="39"/>
    <n v="8"/>
    <n v="224"/>
    <n v="1.4930000000000001"/>
    <n v="0.254"/>
    <n v="43789"/>
    <n v="97.9"/>
    <n v="24.5"/>
    <x v="27"/>
    <n v="71.099999999999994"/>
    <x v="106"/>
    <n v="0"/>
  </r>
  <r>
    <x v="2"/>
    <n v="3"/>
    <x v="1"/>
    <x v="7"/>
    <n v="8"/>
    <x v="2"/>
    <x v="0"/>
    <n v="3"/>
    <n v="3111"/>
    <x v="119"/>
    <x v="119"/>
    <n v="136639"/>
    <n v="2.2799999999999998"/>
    <x v="39"/>
    <n v="8"/>
    <n v="224"/>
    <n v="1.4930000000000001"/>
    <n v="0.254"/>
    <n v="43789"/>
    <n v="97.9"/>
    <n v="24.5"/>
    <x v="27"/>
    <n v="71.099999999999994"/>
    <x v="107"/>
    <n v="0"/>
  </r>
  <r>
    <x v="2"/>
    <n v="3"/>
    <x v="1"/>
    <x v="8"/>
    <n v="9"/>
    <x v="0"/>
    <x v="0"/>
    <n v="1"/>
    <n v="755"/>
    <x v="120"/>
    <x v="120"/>
    <n v="81744"/>
    <n v="0.92"/>
    <x v="40"/>
    <n v="10.1"/>
    <n v="263"/>
    <n v="1.52"/>
    <n v="0.26600000000000001"/>
    <n v="44627"/>
    <n v="98.1"/>
    <n v="24.1"/>
    <x v="28"/>
    <n v="71.599999999999994"/>
    <x v="108"/>
    <n v="0"/>
  </r>
  <r>
    <x v="2"/>
    <n v="3"/>
    <x v="1"/>
    <x v="8"/>
    <n v="9"/>
    <x v="1"/>
    <x v="0"/>
    <n v="2"/>
    <n v="8772"/>
    <x v="121"/>
    <x v="121"/>
    <n v="332276"/>
    <n v="2.64"/>
    <x v="40"/>
    <n v="10.1"/>
    <n v="263"/>
    <n v="1.52"/>
    <n v="0.26600000000000001"/>
    <n v="44627"/>
    <n v="98.1"/>
    <n v="24.1"/>
    <x v="28"/>
    <n v="71.599999999999994"/>
    <x v="109"/>
    <n v="0"/>
  </r>
  <r>
    <x v="2"/>
    <n v="3"/>
    <x v="1"/>
    <x v="8"/>
    <n v="9"/>
    <x v="2"/>
    <x v="0"/>
    <n v="3"/>
    <n v="5319"/>
    <x v="122"/>
    <x v="122"/>
    <n v="138959"/>
    <n v="3.83"/>
    <x v="40"/>
    <n v="10.1"/>
    <n v="263"/>
    <n v="1.52"/>
    <n v="0.26600000000000001"/>
    <n v="44627"/>
    <n v="98.1"/>
    <n v="24.1"/>
    <x v="28"/>
    <n v="71.599999999999994"/>
    <x v="110"/>
    <n v="0"/>
  </r>
  <r>
    <x v="2"/>
    <n v="3"/>
    <x v="1"/>
    <x v="9"/>
    <n v="10"/>
    <x v="0"/>
    <x v="0"/>
    <n v="1"/>
    <n v="1043"/>
    <x v="123"/>
    <x v="123"/>
    <n v="85398"/>
    <n v="1.22"/>
    <x v="41"/>
    <n v="10.199999999999999"/>
    <n v="298"/>
    <n v="1.59"/>
    <n v="0.27400000000000002"/>
    <n v="46608"/>
    <n v="98.5"/>
    <n v="22.5"/>
    <x v="29"/>
    <n v="76"/>
    <x v="111"/>
    <n v="0"/>
  </r>
  <r>
    <x v="2"/>
    <n v="3"/>
    <x v="1"/>
    <x v="9"/>
    <n v="10"/>
    <x v="1"/>
    <x v="0"/>
    <n v="2"/>
    <n v="11748"/>
    <x v="124"/>
    <x v="124"/>
    <n v="336618"/>
    <n v="3.49"/>
    <x v="41"/>
    <n v="10.199999999999999"/>
    <n v="298"/>
    <n v="1.59"/>
    <n v="0.27400000000000002"/>
    <n v="46608"/>
    <n v="98.5"/>
    <n v="22.5"/>
    <x v="29"/>
    <n v="76"/>
    <x v="112"/>
    <n v="0"/>
  </r>
  <r>
    <x v="2"/>
    <n v="3"/>
    <x v="1"/>
    <x v="9"/>
    <n v="10"/>
    <x v="2"/>
    <x v="0"/>
    <n v="3"/>
    <n v="7127"/>
    <x v="125"/>
    <x v="125"/>
    <n v="140829"/>
    <n v="5.0599999999999996"/>
    <x v="41"/>
    <n v="10.199999999999999"/>
    <n v="298"/>
    <n v="1.59"/>
    <n v="0.27400000000000002"/>
    <n v="46608"/>
    <n v="98.5"/>
    <n v="22.5"/>
    <x v="29"/>
    <n v="76"/>
    <x v="113"/>
    <n v="0"/>
  </r>
  <r>
    <x v="2"/>
    <n v="3"/>
    <x v="1"/>
    <x v="10"/>
    <n v="11"/>
    <x v="0"/>
    <x v="0"/>
    <n v="1"/>
    <n v="2312"/>
    <x v="126"/>
    <x v="126"/>
    <n v="64136"/>
    <n v="3.6"/>
    <x v="42"/>
    <n v="11.9"/>
    <n v="337"/>
    <n v="1.7330000000000001"/>
    <n v="0.29799999999999999"/>
    <n v="46763"/>
    <n v="98.2"/>
    <n v="21.1"/>
    <x v="30"/>
    <n v="77.8"/>
    <x v="114"/>
    <n v="0"/>
  </r>
  <r>
    <x v="2"/>
    <n v="3"/>
    <x v="1"/>
    <x v="10"/>
    <n v="11"/>
    <x v="1"/>
    <x v="0"/>
    <n v="2"/>
    <n v="26441"/>
    <x v="127"/>
    <x v="127"/>
    <n v="256704"/>
    <n v="10.3"/>
    <x v="42"/>
    <n v="11.9"/>
    <n v="337"/>
    <n v="1.7330000000000001"/>
    <n v="0.29799999999999999"/>
    <n v="46763"/>
    <n v="98.2"/>
    <n v="21.1"/>
    <x v="30"/>
    <n v="77.8"/>
    <x v="115"/>
    <n v="0"/>
  </r>
  <r>
    <x v="2"/>
    <n v="3"/>
    <x v="1"/>
    <x v="10"/>
    <n v="11"/>
    <x v="2"/>
    <x v="0"/>
    <n v="3"/>
    <n v="15953"/>
    <x v="128"/>
    <x v="128"/>
    <n v="106814"/>
    <n v="14.94"/>
    <x v="42"/>
    <n v="11.9"/>
    <n v="337"/>
    <n v="1.7330000000000001"/>
    <n v="0.29799999999999999"/>
    <n v="46763"/>
    <n v="98.2"/>
    <n v="21.1"/>
    <x v="30"/>
    <n v="77.8"/>
    <x v="116"/>
    <n v="0"/>
  </r>
  <r>
    <x v="2"/>
    <n v="3"/>
    <x v="1"/>
    <x v="11"/>
    <n v="12"/>
    <x v="0"/>
    <x v="0"/>
    <n v="1"/>
    <n v="4589"/>
    <x v="129"/>
    <x v="129"/>
    <n v="62465"/>
    <n v="7.35"/>
    <x v="43"/>
    <n v="13.3"/>
    <n v="382"/>
    <n v="1.893"/>
    <n v="0.33"/>
    <n v="47860"/>
    <n v="97.6"/>
    <n v="20.6"/>
    <x v="31"/>
    <n v="80.3"/>
    <x v="117"/>
    <n v="0"/>
  </r>
  <r>
    <x v="2"/>
    <n v="3"/>
    <x v="1"/>
    <x v="11"/>
    <n v="12"/>
    <x v="1"/>
    <x v="0"/>
    <n v="2"/>
    <n v="52193"/>
    <x v="130"/>
    <x v="130"/>
    <n v="248656"/>
    <n v="20.99"/>
    <x v="43"/>
    <n v="13.3"/>
    <n v="382"/>
    <n v="1.893"/>
    <n v="0.33"/>
    <n v="47860"/>
    <n v="97.6"/>
    <n v="20.6"/>
    <x v="31"/>
    <n v="80.3"/>
    <x v="118"/>
    <n v="0"/>
  </r>
  <r>
    <x v="2"/>
    <n v="3"/>
    <x v="1"/>
    <x v="11"/>
    <n v="12"/>
    <x v="2"/>
    <x v="0"/>
    <n v="3"/>
    <n v="31513"/>
    <x v="131"/>
    <x v="131"/>
    <n v="103540"/>
    <n v="30.44"/>
    <x v="43"/>
    <n v="13.3"/>
    <n v="382"/>
    <n v="1.893"/>
    <n v="0.33"/>
    <n v="47860"/>
    <n v="97.6"/>
    <n v="20.6"/>
    <x v="31"/>
    <n v="80.3"/>
    <x v="119"/>
    <n v="0"/>
  </r>
  <r>
    <x v="2"/>
    <n v="3"/>
    <x v="1"/>
    <x v="12"/>
    <n v="13"/>
    <x v="0"/>
    <x v="0"/>
    <n v="1"/>
    <n v="4620"/>
    <x v="132"/>
    <x v="132"/>
    <n v="59297"/>
    <n v="7.79"/>
    <x v="44"/>
    <n v="15.6"/>
    <n v="394"/>
    <n v="2.0070000000000001"/>
    <n v="0.35599999999999998"/>
    <n v="49999"/>
    <n v="98.4"/>
    <n v="20.9"/>
    <x v="32"/>
    <n v="82.8"/>
    <x v="120"/>
    <n v="0"/>
  </r>
  <r>
    <x v="2"/>
    <n v="3"/>
    <x v="1"/>
    <x v="12"/>
    <n v="13"/>
    <x v="1"/>
    <x v="0"/>
    <n v="2"/>
    <n v="52147"/>
    <x v="133"/>
    <x v="133"/>
    <n v="234265"/>
    <n v="22.26"/>
    <x v="44"/>
    <n v="15.6"/>
    <n v="394"/>
    <n v="2.0070000000000001"/>
    <n v="0.35599999999999998"/>
    <n v="49999"/>
    <n v="98.4"/>
    <n v="20.9"/>
    <x v="32"/>
    <n v="82.8"/>
    <x v="121"/>
    <n v="0"/>
  </r>
  <r>
    <x v="2"/>
    <n v="3"/>
    <x v="1"/>
    <x v="12"/>
    <n v="13"/>
    <x v="2"/>
    <x v="0"/>
    <n v="3"/>
    <n v="30972"/>
    <x v="134"/>
    <x v="134"/>
    <n v="95957"/>
    <n v="32.28"/>
    <x v="44"/>
    <n v="15.6"/>
    <n v="394"/>
    <n v="2.0070000000000001"/>
    <n v="0.35599999999999998"/>
    <n v="49999"/>
    <n v="98.4"/>
    <n v="20.9"/>
    <x v="32"/>
    <n v="82.8"/>
    <x v="122"/>
    <n v="0"/>
  </r>
  <r>
    <x v="2"/>
    <n v="3"/>
    <x v="1"/>
    <x v="13"/>
    <n v="14"/>
    <x v="0"/>
    <x v="0"/>
    <n v="1"/>
    <n v="5218"/>
    <x v="135"/>
    <x v="135"/>
    <n v="64957"/>
    <n v="8.0299999999999994"/>
    <x v="45"/>
    <n v="17.8"/>
    <n v="423"/>
    <n v="1.9830000000000001"/>
    <n v="0.35099999999999998"/>
    <n v="50951"/>
    <n v="98.1"/>
    <n v="20.9"/>
    <x v="33"/>
    <n v="85.7"/>
    <x v="123"/>
    <n v="0"/>
  </r>
  <r>
    <x v="2"/>
    <n v="3"/>
    <x v="1"/>
    <x v="13"/>
    <n v="14"/>
    <x v="1"/>
    <x v="0"/>
    <n v="2"/>
    <n v="58836"/>
    <x v="136"/>
    <x v="136"/>
    <n v="256364"/>
    <n v="22.95"/>
    <x v="45"/>
    <n v="17.8"/>
    <n v="423"/>
    <n v="1.9830000000000001"/>
    <n v="0.35099999999999998"/>
    <n v="50951"/>
    <n v="98.1"/>
    <n v="20.9"/>
    <x v="33"/>
    <n v="85.7"/>
    <x v="124"/>
    <n v="0"/>
  </r>
  <r>
    <x v="2"/>
    <n v="3"/>
    <x v="1"/>
    <x v="13"/>
    <n v="14"/>
    <x v="2"/>
    <x v="0"/>
    <n v="3"/>
    <n v="35470"/>
    <x v="137"/>
    <x v="137"/>
    <n v="106588"/>
    <n v="33.28"/>
    <x v="45"/>
    <n v="17.8"/>
    <n v="423"/>
    <n v="1.9830000000000001"/>
    <n v="0.35099999999999998"/>
    <n v="50951"/>
    <n v="98.1"/>
    <n v="20.9"/>
    <x v="33"/>
    <n v="85.7"/>
    <x v="125"/>
    <n v="0"/>
  </r>
  <r>
    <x v="2"/>
    <n v="3"/>
    <x v="1"/>
    <x v="14"/>
    <n v="15"/>
    <x v="0"/>
    <x v="0"/>
    <n v="1"/>
    <n v="5766"/>
    <x v="138"/>
    <x v="138"/>
    <n v="68131"/>
    <n v="8.4600000000000009"/>
    <x v="46"/>
    <n v="20.9"/>
    <n v="452"/>
    <n v="1.93"/>
    <n v="0.32800000000000001"/>
    <n v="51956"/>
    <n v="98.2"/>
    <n v="20.100000000000001"/>
    <x v="0"/>
    <n v="87.4"/>
    <x v="126"/>
    <n v="0"/>
  </r>
  <r>
    <x v="2"/>
    <n v="3"/>
    <x v="1"/>
    <x v="14"/>
    <n v="15"/>
    <x v="1"/>
    <x v="0"/>
    <n v="2"/>
    <n v="66415"/>
    <x v="139"/>
    <x v="139"/>
    <n v="274670"/>
    <n v="24.18"/>
    <x v="46"/>
    <n v="20.9"/>
    <n v="452"/>
    <n v="1.93"/>
    <n v="0.32800000000000001"/>
    <n v="51956"/>
    <n v="98.2"/>
    <n v="20.100000000000001"/>
    <x v="0"/>
    <n v="87.4"/>
    <x v="127"/>
    <n v="0"/>
  </r>
  <r>
    <x v="2"/>
    <n v="3"/>
    <x v="1"/>
    <x v="14"/>
    <n v="15"/>
    <x v="2"/>
    <x v="0"/>
    <n v="3"/>
    <n v="40030"/>
    <x v="140"/>
    <x v="140"/>
    <n v="114172"/>
    <n v="35.06"/>
    <x v="46"/>
    <n v="20.9"/>
    <n v="452"/>
    <n v="1.93"/>
    <n v="0.32800000000000001"/>
    <n v="51956"/>
    <n v="98.2"/>
    <n v="20.100000000000001"/>
    <x v="0"/>
    <n v="87.4"/>
    <x v="128"/>
    <n v="0"/>
  </r>
  <r>
    <x v="2"/>
    <n v="3"/>
    <x v="1"/>
    <x v="15"/>
    <n v="16"/>
    <x v="0"/>
    <x v="0"/>
    <n v="1"/>
    <n v="6878"/>
    <x v="141"/>
    <x v="141"/>
    <n v="69121"/>
    <n v="9.9499999999999993"/>
    <x v="47"/>
    <n v="21.1"/>
    <n v="477"/>
    <n v="1.86"/>
    <n v="0.30499999999999999"/>
    <n v="54510"/>
    <n v="97.9"/>
    <n v="19.5"/>
    <x v="0"/>
    <n v="89.3"/>
    <x v="129"/>
    <n v="0"/>
  </r>
  <r>
    <x v="2"/>
    <n v="3"/>
    <x v="1"/>
    <x v="15"/>
    <n v="16"/>
    <x v="1"/>
    <x v="0"/>
    <n v="2"/>
    <n v="76756"/>
    <x v="142"/>
    <x v="142"/>
    <n v="269983"/>
    <n v="28.43"/>
    <x v="47"/>
    <n v="21.1"/>
    <n v="477"/>
    <n v="1.86"/>
    <n v="0.30499999999999999"/>
    <n v="54510"/>
    <n v="97.9"/>
    <n v="19.5"/>
    <x v="0"/>
    <n v="89.3"/>
    <x v="130"/>
    <n v="0"/>
  </r>
  <r>
    <x v="2"/>
    <n v="3"/>
    <x v="1"/>
    <x v="15"/>
    <n v="16"/>
    <x v="2"/>
    <x v="1"/>
    <n v="4"/>
    <n v="46876"/>
    <x v="143"/>
    <x v="143"/>
    <n v="113713"/>
    <n v="41.22"/>
    <x v="47"/>
    <n v="21.1"/>
    <n v="477"/>
    <n v="1.86"/>
    <n v="0.30499999999999999"/>
    <n v="54510"/>
    <n v="97.9"/>
    <n v="19.5"/>
    <x v="0"/>
    <n v="89.3"/>
    <x v="131"/>
    <n v="0"/>
  </r>
  <r>
    <x v="3"/>
    <n v="4"/>
    <x v="2"/>
    <x v="0"/>
    <n v="1"/>
    <x v="0"/>
    <x v="0"/>
    <n v="1"/>
    <n v="5"/>
    <x v="144"/>
    <x v="144"/>
    <n v="531986"/>
    <n v="0"/>
    <x v="0"/>
    <n v="0"/>
    <n v="106"/>
    <n v="1.28"/>
    <n v="0.123"/>
    <n v="11198"/>
    <n v="84.3"/>
    <n v="174.5"/>
    <x v="0"/>
    <n v="22.2"/>
    <x v="0"/>
    <n v="0"/>
  </r>
  <r>
    <x v="3"/>
    <n v="4"/>
    <x v="2"/>
    <x v="0"/>
    <n v="1"/>
    <x v="1"/>
    <x v="0"/>
    <n v="2"/>
    <n v="15"/>
    <x v="145"/>
    <x v="145"/>
    <n v="2093368"/>
    <n v="0"/>
    <x v="0"/>
    <n v="0"/>
    <n v="106"/>
    <n v="1.28"/>
    <n v="0.123"/>
    <n v="11198"/>
    <n v="84.3"/>
    <n v="174.5"/>
    <x v="0"/>
    <n v="22.2"/>
    <x v="0"/>
    <n v="0"/>
  </r>
  <r>
    <x v="3"/>
    <n v="4"/>
    <x v="2"/>
    <x v="0"/>
    <n v="1"/>
    <x v="2"/>
    <x v="0"/>
    <n v="3"/>
    <n v="10"/>
    <x v="146"/>
    <x v="146"/>
    <n v="884769"/>
    <n v="0"/>
    <x v="0"/>
    <n v="0"/>
    <n v="106"/>
    <n v="1.28"/>
    <n v="0.123"/>
    <n v="11198"/>
    <n v="84.3"/>
    <n v="174.5"/>
    <x v="0"/>
    <n v="22.2"/>
    <x v="0"/>
    <n v="0"/>
  </r>
  <r>
    <x v="3"/>
    <n v="4"/>
    <x v="2"/>
    <x v="1"/>
    <n v="2"/>
    <x v="0"/>
    <x v="0"/>
    <n v="1"/>
    <n v="5"/>
    <x v="147"/>
    <x v="147"/>
    <n v="537796"/>
    <n v="0"/>
    <x v="48"/>
    <n v="1"/>
    <n v="122"/>
    <n v="1.2130000000000001"/>
    <n v="0.127"/>
    <n v="10739"/>
    <n v="84.4"/>
    <n v="180.8"/>
    <x v="0"/>
    <n v="22.5"/>
    <x v="0"/>
    <n v="0"/>
  </r>
  <r>
    <x v="3"/>
    <n v="4"/>
    <x v="2"/>
    <x v="1"/>
    <n v="2"/>
    <x v="1"/>
    <x v="0"/>
    <n v="2"/>
    <n v="17"/>
    <x v="148"/>
    <x v="148"/>
    <n v="2179402"/>
    <n v="0"/>
    <x v="48"/>
    <n v="1"/>
    <n v="122"/>
    <n v="1.2130000000000001"/>
    <n v="0.127"/>
    <n v="10739"/>
    <n v="84.4"/>
    <n v="180.8"/>
    <x v="0"/>
    <n v="22.5"/>
    <x v="132"/>
    <n v="0"/>
  </r>
  <r>
    <x v="3"/>
    <n v="4"/>
    <x v="2"/>
    <x v="1"/>
    <n v="2"/>
    <x v="2"/>
    <x v="0"/>
    <n v="3"/>
    <n v="11"/>
    <x v="149"/>
    <x v="149"/>
    <n v="907218"/>
    <n v="0"/>
    <x v="48"/>
    <n v="1"/>
    <n v="122"/>
    <n v="1.2130000000000001"/>
    <n v="0.127"/>
    <n v="10739"/>
    <n v="84.4"/>
    <n v="180.8"/>
    <x v="0"/>
    <n v="22.5"/>
    <x v="133"/>
    <n v="0"/>
  </r>
  <r>
    <x v="3"/>
    <n v="4"/>
    <x v="2"/>
    <x v="2"/>
    <n v="3"/>
    <x v="0"/>
    <x v="0"/>
    <n v="1"/>
    <n v="5"/>
    <x v="150"/>
    <x v="150"/>
    <n v="555177"/>
    <n v="0"/>
    <x v="49"/>
    <n v="1.8"/>
    <n v="136"/>
    <n v="1.147"/>
    <n v="0.129"/>
    <n v="10127"/>
    <n v="84.8"/>
    <n v="186.5"/>
    <x v="0"/>
    <n v="24.7"/>
    <x v="0"/>
    <n v="0"/>
  </r>
  <r>
    <x v="3"/>
    <n v="4"/>
    <x v="2"/>
    <x v="2"/>
    <n v="3"/>
    <x v="1"/>
    <x v="0"/>
    <n v="2"/>
    <n v="42"/>
    <x v="151"/>
    <x v="151"/>
    <n v="2209875"/>
    <n v="0"/>
    <x v="49"/>
    <n v="1.8"/>
    <n v="136"/>
    <n v="1.147"/>
    <n v="0.129"/>
    <n v="10127"/>
    <n v="84.8"/>
    <n v="186.5"/>
    <x v="0"/>
    <n v="24.7"/>
    <x v="134"/>
    <n v="0"/>
  </r>
  <r>
    <x v="3"/>
    <n v="4"/>
    <x v="2"/>
    <x v="2"/>
    <n v="3"/>
    <x v="2"/>
    <x v="0"/>
    <n v="3"/>
    <n v="21"/>
    <x v="152"/>
    <x v="152"/>
    <n v="925563"/>
    <n v="0"/>
    <x v="49"/>
    <n v="1.8"/>
    <n v="136"/>
    <n v="1.147"/>
    <n v="0.129"/>
    <n v="10127"/>
    <n v="84.8"/>
    <n v="186.5"/>
    <x v="0"/>
    <n v="24.7"/>
    <x v="135"/>
    <n v="0"/>
  </r>
  <r>
    <x v="3"/>
    <n v="4"/>
    <x v="2"/>
    <x v="3"/>
    <n v="4"/>
    <x v="0"/>
    <x v="0"/>
    <n v="1"/>
    <n v="7"/>
    <x v="153"/>
    <x v="153"/>
    <n v="570198"/>
    <n v="0"/>
    <x v="50"/>
    <n v="2.9"/>
    <n v="135"/>
    <n v="1.1100000000000001"/>
    <n v="0.13300000000000001"/>
    <n v="9771"/>
    <n v="84.6"/>
    <n v="190.3"/>
    <x v="0"/>
    <n v="24.5"/>
    <x v="136"/>
    <n v="0"/>
  </r>
  <r>
    <x v="3"/>
    <n v="4"/>
    <x v="2"/>
    <x v="3"/>
    <n v="4"/>
    <x v="1"/>
    <x v="0"/>
    <n v="2"/>
    <n v="88"/>
    <x v="154"/>
    <x v="154"/>
    <n v="2247852"/>
    <n v="0"/>
    <x v="50"/>
    <n v="2.9"/>
    <n v="135"/>
    <n v="1.1100000000000001"/>
    <n v="0.13300000000000001"/>
    <n v="9771"/>
    <n v="84.6"/>
    <n v="190.3"/>
    <x v="0"/>
    <n v="24.5"/>
    <x v="137"/>
    <n v="0"/>
  </r>
  <r>
    <x v="3"/>
    <n v="4"/>
    <x v="2"/>
    <x v="3"/>
    <n v="4"/>
    <x v="2"/>
    <x v="0"/>
    <n v="3"/>
    <n v="48"/>
    <x v="155"/>
    <x v="155"/>
    <n v="950342"/>
    <n v="0.01"/>
    <x v="50"/>
    <n v="2.9"/>
    <n v="135"/>
    <n v="1.1100000000000001"/>
    <n v="0.13300000000000001"/>
    <n v="9771"/>
    <n v="84.6"/>
    <n v="190.3"/>
    <x v="0"/>
    <n v="24.5"/>
    <x v="138"/>
    <n v="0"/>
  </r>
  <r>
    <x v="3"/>
    <n v="4"/>
    <x v="2"/>
    <x v="4"/>
    <n v="5"/>
    <x v="0"/>
    <x v="0"/>
    <n v="1"/>
    <n v="17"/>
    <x v="156"/>
    <x v="156"/>
    <n v="491318"/>
    <n v="0"/>
    <x v="51"/>
    <n v="4.0999999999999996"/>
    <n v="147"/>
    <n v="1.0669999999999999"/>
    <n v="0.13600000000000001"/>
    <n v="9341"/>
    <n v="84.6"/>
    <n v="194.4"/>
    <x v="0"/>
    <n v="27.2"/>
    <x v="139"/>
    <n v="0"/>
  </r>
  <r>
    <x v="3"/>
    <n v="4"/>
    <x v="2"/>
    <x v="4"/>
    <n v="5"/>
    <x v="1"/>
    <x v="0"/>
    <n v="2"/>
    <n v="202"/>
    <x v="157"/>
    <x v="157"/>
    <n v="2018071"/>
    <n v="0.01"/>
    <x v="51"/>
    <n v="4.0999999999999996"/>
    <n v="147"/>
    <n v="1.0669999999999999"/>
    <n v="0.13600000000000001"/>
    <n v="9341"/>
    <n v="84.6"/>
    <n v="194.4"/>
    <x v="0"/>
    <n v="27.2"/>
    <x v="140"/>
    <n v="0"/>
  </r>
  <r>
    <x v="3"/>
    <n v="4"/>
    <x v="2"/>
    <x v="4"/>
    <n v="5"/>
    <x v="2"/>
    <x v="0"/>
    <n v="3"/>
    <n v="118"/>
    <x v="158"/>
    <x v="158"/>
    <n v="814291"/>
    <n v="0.01"/>
    <x v="51"/>
    <n v="4.0999999999999996"/>
    <n v="147"/>
    <n v="1.0669999999999999"/>
    <n v="0.13600000000000001"/>
    <n v="9341"/>
    <n v="84.6"/>
    <n v="194.4"/>
    <x v="0"/>
    <n v="27.2"/>
    <x v="141"/>
    <n v="0"/>
  </r>
  <r>
    <x v="3"/>
    <n v="4"/>
    <x v="2"/>
    <x v="5"/>
    <n v="6"/>
    <x v="0"/>
    <x v="0"/>
    <n v="1"/>
    <n v="28"/>
    <x v="159"/>
    <x v="159"/>
    <n v="393442"/>
    <n v="0.01"/>
    <x v="52"/>
    <n v="4.9000000000000004"/>
    <n v="160"/>
    <n v="1.06"/>
    <n v="0.13700000000000001"/>
    <n v="8745"/>
    <n v="84.7"/>
    <n v="196"/>
    <x v="0"/>
    <n v="28.8"/>
    <x v="142"/>
    <n v="0"/>
  </r>
  <r>
    <x v="3"/>
    <n v="4"/>
    <x v="2"/>
    <x v="5"/>
    <n v="6"/>
    <x v="1"/>
    <x v="0"/>
    <n v="2"/>
    <n v="314"/>
    <x v="160"/>
    <x v="160"/>
    <n v="1572089"/>
    <n v="0.02"/>
    <x v="52"/>
    <n v="4.9000000000000004"/>
    <n v="160"/>
    <n v="1.06"/>
    <n v="0.13700000000000001"/>
    <n v="8745"/>
    <n v="84.7"/>
    <n v="196"/>
    <x v="0"/>
    <n v="28.8"/>
    <x v="143"/>
    <n v="0"/>
  </r>
  <r>
    <x v="3"/>
    <n v="4"/>
    <x v="2"/>
    <x v="5"/>
    <n v="6"/>
    <x v="2"/>
    <x v="0"/>
    <n v="3"/>
    <n v="188"/>
    <x v="161"/>
    <x v="161"/>
    <n v="648746"/>
    <n v="0.03"/>
    <x v="52"/>
    <n v="4.9000000000000004"/>
    <n v="160"/>
    <n v="1.06"/>
    <n v="0.13700000000000001"/>
    <n v="8745"/>
    <n v="84.7"/>
    <n v="196"/>
    <x v="0"/>
    <n v="28.8"/>
    <x v="144"/>
    <n v="0"/>
  </r>
  <r>
    <x v="3"/>
    <n v="4"/>
    <x v="2"/>
    <x v="6"/>
    <n v="7"/>
    <x v="0"/>
    <x v="0"/>
    <n v="1"/>
    <n v="38"/>
    <x v="162"/>
    <x v="162"/>
    <n v="364801"/>
    <n v="0.01"/>
    <x v="53"/>
    <n v="6.5"/>
    <n v="186"/>
    <n v="1.05"/>
    <n v="0.13400000000000001"/>
    <n v="8965"/>
    <n v="85.3"/>
    <n v="196.7"/>
    <x v="0"/>
    <n v="29.4"/>
    <x v="145"/>
    <n v="0"/>
  </r>
  <r>
    <x v="3"/>
    <n v="4"/>
    <x v="2"/>
    <x v="6"/>
    <n v="7"/>
    <x v="1"/>
    <x v="0"/>
    <n v="2"/>
    <n v="436"/>
    <x v="163"/>
    <x v="163"/>
    <n v="1454559"/>
    <n v="0.03"/>
    <x v="53"/>
    <n v="6.5"/>
    <n v="186"/>
    <n v="1.05"/>
    <n v="0.13400000000000001"/>
    <n v="8965"/>
    <n v="85.3"/>
    <n v="196.7"/>
    <x v="0"/>
    <n v="29.4"/>
    <x v="146"/>
    <n v="0"/>
  </r>
  <r>
    <x v="3"/>
    <n v="4"/>
    <x v="2"/>
    <x v="6"/>
    <n v="7"/>
    <x v="2"/>
    <x v="0"/>
    <n v="3"/>
    <n v="263"/>
    <x v="164"/>
    <x v="164"/>
    <n v="604556"/>
    <n v="0.04"/>
    <x v="53"/>
    <n v="6.5"/>
    <n v="186"/>
    <n v="1.05"/>
    <n v="0.13400000000000001"/>
    <n v="8965"/>
    <n v="85.3"/>
    <n v="196.7"/>
    <x v="0"/>
    <n v="29.4"/>
    <x v="147"/>
    <n v="0"/>
  </r>
  <r>
    <x v="3"/>
    <n v="4"/>
    <x v="2"/>
    <x v="7"/>
    <n v="8"/>
    <x v="0"/>
    <x v="0"/>
    <n v="1"/>
    <n v="47"/>
    <x v="165"/>
    <x v="165"/>
    <n v="334694"/>
    <n v="0.01"/>
    <x v="54"/>
    <n v="6.8"/>
    <n v="207"/>
    <n v="1.0669999999999999"/>
    <n v="0.128"/>
    <n v="8722"/>
    <n v="86.3"/>
    <n v="198.6"/>
    <x v="0"/>
    <n v="33.9"/>
    <x v="148"/>
    <n v="0"/>
  </r>
  <r>
    <x v="3"/>
    <n v="4"/>
    <x v="2"/>
    <x v="7"/>
    <n v="8"/>
    <x v="1"/>
    <x v="0"/>
    <n v="2"/>
    <n v="534"/>
    <x v="166"/>
    <x v="166"/>
    <n v="1335313"/>
    <n v="0.04"/>
    <x v="54"/>
    <n v="6.8"/>
    <n v="207"/>
    <n v="1.0669999999999999"/>
    <n v="0.128"/>
    <n v="8722"/>
    <n v="86.3"/>
    <n v="198.6"/>
    <x v="0"/>
    <n v="33.9"/>
    <x v="149"/>
    <n v="0"/>
  </r>
  <r>
    <x v="3"/>
    <n v="4"/>
    <x v="2"/>
    <x v="7"/>
    <n v="8"/>
    <x v="2"/>
    <x v="0"/>
    <n v="3"/>
    <n v="331"/>
    <x v="167"/>
    <x v="167"/>
    <n v="570858"/>
    <n v="0.06"/>
    <x v="54"/>
    <n v="6.8"/>
    <n v="207"/>
    <n v="1.0669999999999999"/>
    <n v="0.128"/>
    <n v="8722"/>
    <n v="86.3"/>
    <n v="198.6"/>
    <x v="0"/>
    <n v="33.9"/>
    <x v="150"/>
    <n v="0"/>
  </r>
  <r>
    <x v="3"/>
    <n v="4"/>
    <x v="2"/>
    <x v="8"/>
    <n v="9"/>
    <x v="0"/>
    <x v="0"/>
    <n v="1"/>
    <n v="79"/>
    <x v="168"/>
    <x v="168"/>
    <n v="377436"/>
    <n v="0.02"/>
    <x v="55"/>
    <n v="8.9"/>
    <n v="243"/>
    <n v="1.083"/>
    <n v="0.123"/>
    <n v="8712"/>
    <n v="86.1"/>
    <n v="202.9"/>
    <x v="0"/>
    <n v="33.6"/>
    <x v="151"/>
    <n v="0"/>
  </r>
  <r>
    <x v="3"/>
    <n v="4"/>
    <x v="2"/>
    <x v="8"/>
    <n v="9"/>
    <x v="1"/>
    <x v="0"/>
    <n v="2"/>
    <n v="926"/>
    <x v="169"/>
    <x v="169"/>
    <n v="1542812"/>
    <n v="0.06"/>
    <x v="55"/>
    <n v="8.9"/>
    <n v="243"/>
    <n v="1.083"/>
    <n v="0.123"/>
    <n v="8712"/>
    <n v="86.1"/>
    <n v="202.9"/>
    <x v="0"/>
    <n v="33.6"/>
    <x v="152"/>
    <n v="0"/>
  </r>
  <r>
    <x v="3"/>
    <n v="4"/>
    <x v="2"/>
    <x v="8"/>
    <n v="9"/>
    <x v="2"/>
    <x v="0"/>
    <n v="3"/>
    <n v="554"/>
    <x v="170"/>
    <x v="170"/>
    <n v="636322"/>
    <n v="0.09"/>
    <x v="55"/>
    <n v="8.9"/>
    <n v="243"/>
    <n v="1.083"/>
    <n v="0.123"/>
    <n v="8712"/>
    <n v="86.1"/>
    <n v="202.9"/>
    <x v="0"/>
    <n v="33.6"/>
    <x v="153"/>
    <n v="0"/>
  </r>
  <r>
    <x v="3"/>
    <n v="4"/>
    <x v="2"/>
    <x v="9"/>
    <n v="10"/>
    <x v="0"/>
    <x v="0"/>
    <n v="1"/>
    <n v="116"/>
    <x v="171"/>
    <x v="171"/>
    <n v="413768"/>
    <n v="0.03"/>
    <x v="56"/>
    <n v="9.3000000000000007"/>
    <n v="288"/>
    <n v="1.1599999999999999"/>
    <n v="0.11700000000000001"/>
    <n v="8765"/>
    <n v="86.6"/>
    <n v="197.5"/>
    <x v="0"/>
    <n v="35.4"/>
    <x v="154"/>
    <n v="0"/>
  </r>
  <r>
    <x v="3"/>
    <n v="4"/>
    <x v="2"/>
    <x v="9"/>
    <n v="10"/>
    <x v="1"/>
    <x v="0"/>
    <n v="2"/>
    <n v="1330"/>
    <x v="172"/>
    <x v="172"/>
    <n v="1662720"/>
    <n v="0.08"/>
    <x v="56"/>
    <n v="9.3000000000000007"/>
    <n v="288"/>
    <n v="1.1599999999999999"/>
    <n v="0.11700000000000001"/>
    <n v="8765"/>
    <n v="86.6"/>
    <n v="197.5"/>
    <x v="0"/>
    <n v="35.4"/>
    <x v="155"/>
    <n v="0"/>
  </r>
  <r>
    <x v="3"/>
    <n v="4"/>
    <x v="2"/>
    <x v="9"/>
    <n v="10"/>
    <x v="2"/>
    <x v="0"/>
    <n v="3"/>
    <n v="792"/>
    <x v="173"/>
    <x v="173"/>
    <n v="683098"/>
    <n v="0.12"/>
    <x v="56"/>
    <n v="9.3000000000000007"/>
    <n v="288"/>
    <n v="1.1599999999999999"/>
    <n v="0.11700000000000001"/>
    <n v="8765"/>
    <n v="86.6"/>
    <n v="197.5"/>
    <x v="0"/>
    <n v="35.4"/>
    <x v="156"/>
    <n v="0"/>
  </r>
  <r>
    <x v="3"/>
    <n v="4"/>
    <x v="2"/>
    <x v="10"/>
    <n v="11"/>
    <x v="0"/>
    <x v="0"/>
    <n v="1"/>
    <n v="109"/>
    <x v="174"/>
    <x v="174"/>
    <n v="312185"/>
    <n v="0.03"/>
    <x v="57"/>
    <n v="11.2"/>
    <n v="309"/>
    <n v="1.22"/>
    <n v="0.114"/>
    <n v="8816"/>
    <n v="87"/>
    <n v="193.1"/>
    <x v="0"/>
    <n v="38"/>
    <x v="157"/>
    <n v="0"/>
  </r>
  <r>
    <x v="3"/>
    <n v="4"/>
    <x v="2"/>
    <x v="10"/>
    <n v="11"/>
    <x v="1"/>
    <x v="0"/>
    <n v="2"/>
    <n v="1233"/>
    <x v="175"/>
    <x v="175"/>
    <n v="1232788"/>
    <n v="0.1"/>
    <x v="57"/>
    <n v="11.2"/>
    <n v="309"/>
    <n v="1.22"/>
    <n v="0.114"/>
    <n v="8816"/>
    <n v="87"/>
    <n v="193.1"/>
    <x v="0"/>
    <n v="38"/>
    <x v="158"/>
    <n v="0"/>
  </r>
  <r>
    <x v="3"/>
    <n v="4"/>
    <x v="2"/>
    <x v="10"/>
    <n v="11"/>
    <x v="2"/>
    <x v="0"/>
    <n v="3"/>
    <n v="766"/>
    <x v="176"/>
    <x v="176"/>
    <n v="528115"/>
    <n v="0.15"/>
    <x v="57"/>
    <n v="11.2"/>
    <n v="309"/>
    <n v="1.22"/>
    <n v="0.114"/>
    <n v="8816"/>
    <n v="87"/>
    <n v="193.1"/>
    <x v="0"/>
    <n v="38"/>
    <x v="159"/>
    <n v="0"/>
  </r>
  <r>
    <x v="3"/>
    <n v="4"/>
    <x v="2"/>
    <x v="11"/>
    <n v="12"/>
    <x v="0"/>
    <x v="0"/>
    <n v="1"/>
    <n v="271"/>
    <x v="177"/>
    <x v="177"/>
    <n v="323033"/>
    <n v="0.08"/>
    <x v="58"/>
    <n v="12.6"/>
    <n v="351"/>
    <n v="1.3029999999999999"/>
    <n v="0.114"/>
    <n v="8900"/>
    <n v="87"/>
    <n v="193.8"/>
    <x v="0"/>
    <n v="39.200000000000003"/>
    <x v="160"/>
    <n v="0"/>
  </r>
  <r>
    <x v="3"/>
    <n v="4"/>
    <x v="2"/>
    <x v="11"/>
    <n v="12"/>
    <x v="1"/>
    <x v="0"/>
    <n v="2"/>
    <n v="3081"/>
    <x v="178"/>
    <x v="178"/>
    <n v="1283598"/>
    <n v="0.24"/>
    <x v="58"/>
    <n v="12.6"/>
    <n v="351"/>
    <n v="1.3029999999999999"/>
    <n v="0.114"/>
    <n v="8900"/>
    <n v="87"/>
    <n v="193.8"/>
    <x v="0"/>
    <n v="39.200000000000003"/>
    <x v="161"/>
    <n v="0"/>
  </r>
  <r>
    <x v="3"/>
    <n v="4"/>
    <x v="2"/>
    <x v="11"/>
    <n v="12"/>
    <x v="2"/>
    <x v="0"/>
    <n v="3"/>
    <n v="1845"/>
    <x v="179"/>
    <x v="179"/>
    <n v="530304"/>
    <n v="0.35"/>
    <x v="58"/>
    <n v="12.6"/>
    <n v="351"/>
    <n v="1.3029999999999999"/>
    <n v="0.114"/>
    <n v="8900"/>
    <n v="87"/>
    <n v="193.8"/>
    <x v="0"/>
    <n v="39.200000000000003"/>
    <x v="162"/>
    <n v="0"/>
  </r>
  <r>
    <x v="3"/>
    <n v="4"/>
    <x v="2"/>
    <x v="12"/>
    <n v="13"/>
    <x v="0"/>
    <x v="0"/>
    <n v="1"/>
    <n v="1032"/>
    <x v="180"/>
    <x v="180"/>
    <n v="316923"/>
    <n v="0.33"/>
    <x v="59"/>
    <n v="15"/>
    <n v="381"/>
    <n v="1.3069999999999999"/>
    <n v="0.11600000000000001"/>
    <n v="8899"/>
    <n v="87.4"/>
    <n v="198.9"/>
    <x v="0"/>
    <n v="43"/>
    <x v="163"/>
    <n v="0"/>
  </r>
  <r>
    <x v="3"/>
    <n v="4"/>
    <x v="2"/>
    <x v="12"/>
    <n v="13"/>
    <x v="1"/>
    <x v="0"/>
    <n v="2"/>
    <n v="11675"/>
    <x v="181"/>
    <x v="181"/>
    <n v="1255370"/>
    <n v="0.93"/>
    <x v="59"/>
    <n v="15"/>
    <n v="381"/>
    <n v="1.3069999999999999"/>
    <n v="0.11600000000000001"/>
    <n v="8899"/>
    <n v="87.4"/>
    <n v="198.9"/>
    <x v="0"/>
    <n v="43"/>
    <x v="164"/>
    <n v="0"/>
  </r>
  <r>
    <x v="3"/>
    <n v="4"/>
    <x v="2"/>
    <x v="12"/>
    <n v="13"/>
    <x v="2"/>
    <x v="0"/>
    <n v="3"/>
    <n v="7097"/>
    <x v="182"/>
    <x v="182"/>
    <n v="526316"/>
    <n v="1.35"/>
    <x v="59"/>
    <n v="15"/>
    <n v="381"/>
    <n v="1.3069999999999999"/>
    <n v="0.11600000000000001"/>
    <n v="8899"/>
    <n v="87.4"/>
    <n v="198.9"/>
    <x v="0"/>
    <n v="43"/>
    <x v="165"/>
    <n v="0"/>
  </r>
  <r>
    <x v="3"/>
    <n v="4"/>
    <x v="2"/>
    <x v="13"/>
    <n v="14"/>
    <x v="0"/>
    <x v="0"/>
    <n v="1"/>
    <n v="2450"/>
    <x v="183"/>
    <x v="183"/>
    <n v="346472"/>
    <n v="0.71"/>
    <x v="60"/>
    <n v="19.100000000000001"/>
    <n v="401"/>
    <n v="1.3029999999999999"/>
    <n v="0.11899999999999999"/>
    <n v="9330"/>
    <n v="87.7"/>
    <n v="200.9"/>
    <x v="0"/>
    <n v="45.4"/>
    <x v="166"/>
    <n v="0"/>
  </r>
  <r>
    <x v="3"/>
    <n v="4"/>
    <x v="2"/>
    <x v="13"/>
    <n v="14"/>
    <x v="1"/>
    <x v="0"/>
    <n v="2"/>
    <n v="28085"/>
    <x v="184"/>
    <x v="184"/>
    <n v="1390335"/>
    <n v="2.02"/>
    <x v="60"/>
    <n v="19.100000000000001"/>
    <n v="401"/>
    <n v="1.3029999999999999"/>
    <n v="0.11899999999999999"/>
    <n v="9330"/>
    <n v="87.7"/>
    <n v="200.9"/>
    <x v="0"/>
    <n v="45.4"/>
    <x v="167"/>
    <n v="0"/>
  </r>
  <r>
    <x v="3"/>
    <n v="4"/>
    <x v="2"/>
    <x v="13"/>
    <n v="14"/>
    <x v="2"/>
    <x v="0"/>
    <n v="3"/>
    <n v="16944"/>
    <x v="185"/>
    <x v="185"/>
    <n v="578490"/>
    <n v="2.93"/>
    <x v="60"/>
    <n v="19.100000000000001"/>
    <n v="401"/>
    <n v="1.3029999999999999"/>
    <n v="0.11899999999999999"/>
    <n v="9330"/>
    <n v="87.7"/>
    <n v="200.9"/>
    <x v="0"/>
    <n v="45.4"/>
    <x v="168"/>
    <n v="0"/>
  </r>
  <r>
    <x v="3"/>
    <n v="4"/>
    <x v="2"/>
    <x v="14"/>
    <n v="15"/>
    <x v="0"/>
    <x v="0"/>
    <n v="1"/>
    <n v="3664"/>
    <x v="186"/>
    <x v="186"/>
    <n v="373847"/>
    <n v="0.98"/>
    <x v="61"/>
    <n v="20.6"/>
    <n v="428"/>
    <n v="1.24"/>
    <n v="0.124"/>
    <n v="9313"/>
    <n v="87.9"/>
    <n v="197.7"/>
    <x v="0"/>
    <n v="50.6"/>
    <x v="169"/>
    <n v="0"/>
  </r>
  <r>
    <x v="3"/>
    <n v="4"/>
    <x v="2"/>
    <x v="14"/>
    <n v="15"/>
    <x v="1"/>
    <x v="0"/>
    <n v="2"/>
    <n v="41658"/>
    <x v="187"/>
    <x v="187"/>
    <n v="1487790"/>
    <n v="2.8"/>
    <x v="61"/>
    <n v="20.6"/>
    <n v="428"/>
    <n v="1.24"/>
    <n v="0.124"/>
    <n v="9313"/>
    <n v="87.9"/>
    <n v="197.7"/>
    <x v="0"/>
    <n v="50.6"/>
    <x v="170"/>
    <n v="0"/>
  </r>
  <r>
    <x v="3"/>
    <n v="4"/>
    <x v="2"/>
    <x v="14"/>
    <n v="15"/>
    <x v="2"/>
    <x v="0"/>
    <n v="3"/>
    <n v="24751"/>
    <x v="188"/>
    <x v="188"/>
    <n v="609627"/>
    <n v="4.0599999999999996"/>
    <x v="61"/>
    <n v="20.6"/>
    <n v="428"/>
    <n v="1.24"/>
    <n v="0.124"/>
    <n v="9313"/>
    <n v="87.9"/>
    <n v="197.7"/>
    <x v="0"/>
    <n v="50.6"/>
    <x v="171"/>
    <n v="0"/>
  </r>
  <r>
    <x v="3"/>
    <n v="4"/>
    <x v="2"/>
    <x v="15"/>
    <n v="16"/>
    <x v="0"/>
    <x v="0"/>
    <n v="1"/>
    <n v="5323"/>
    <x v="189"/>
    <x v="189"/>
    <n v="378318"/>
    <n v="1.41"/>
    <x v="62"/>
    <n v="21.7"/>
    <n v="450"/>
    <n v="1.17"/>
    <n v="0.13"/>
    <n v="9771"/>
    <n v="88"/>
    <n v="202.1"/>
    <x v="0"/>
    <n v="53.7"/>
    <x v="172"/>
    <n v="0"/>
  </r>
  <r>
    <x v="3"/>
    <n v="4"/>
    <x v="2"/>
    <x v="15"/>
    <n v="16"/>
    <x v="1"/>
    <x v="0"/>
    <n v="2"/>
    <n v="61761"/>
    <x v="190"/>
    <x v="190"/>
    <n v="1536334"/>
    <n v="4.0199999999999996"/>
    <x v="62"/>
    <n v="21.7"/>
    <n v="450"/>
    <n v="1.17"/>
    <n v="0.13"/>
    <n v="9771"/>
    <n v="88"/>
    <n v="202.1"/>
    <x v="0"/>
    <n v="53.7"/>
    <x v="173"/>
    <n v="0"/>
  </r>
  <r>
    <x v="3"/>
    <n v="4"/>
    <x v="2"/>
    <x v="15"/>
    <n v="16"/>
    <x v="2"/>
    <x v="0"/>
    <n v="3"/>
    <n v="36371"/>
    <x v="191"/>
    <x v="191"/>
    <n v="623971"/>
    <n v="5.83"/>
    <x v="62"/>
    <n v="21.7"/>
    <n v="450"/>
    <n v="1.17"/>
    <n v="0.13"/>
    <n v="9771"/>
    <n v="88"/>
    <n v="202.1"/>
    <x v="0"/>
    <n v="53.7"/>
    <x v="174"/>
    <n v="0"/>
  </r>
  <r>
    <x v="4"/>
    <n v="5"/>
    <x v="3"/>
    <x v="0"/>
    <n v="1"/>
    <x v="0"/>
    <x v="0"/>
    <n v="1"/>
    <n v="8"/>
    <x v="192"/>
    <x v="192"/>
    <n v="235018"/>
    <n v="0"/>
    <x v="63"/>
    <n v="4.5999999999999996"/>
    <n v="120"/>
    <n v="0.94"/>
    <n v="7.5999999999999998E-2"/>
    <n v="46871"/>
    <n v="80.900000000000006"/>
    <n v="147.6"/>
    <x v="34"/>
    <n v="43"/>
    <x v="0"/>
    <n v="0"/>
  </r>
  <r>
    <x v="4"/>
    <n v="5"/>
    <x v="3"/>
    <x v="0"/>
    <n v="1"/>
    <x v="1"/>
    <x v="0"/>
    <n v="2"/>
    <n v="93"/>
    <x v="193"/>
    <x v="193"/>
    <n v="926243"/>
    <n v="0.01"/>
    <x v="63"/>
    <n v="4.5999999999999996"/>
    <n v="120"/>
    <n v="0.94"/>
    <n v="7.5999999999999998E-2"/>
    <n v="46871"/>
    <n v="80.900000000000006"/>
    <n v="147.6"/>
    <x v="34"/>
    <n v="43"/>
    <x v="0"/>
    <n v="0"/>
  </r>
  <r>
    <x v="4"/>
    <n v="5"/>
    <x v="3"/>
    <x v="0"/>
    <n v="1"/>
    <x v="2"/>
    <x v="0"/>
    <n v="3"/>
    <n v="57"/>
    <x v="194"/>
    <x v="194"/>
    <n v="390410"/>
    <n v="0.01"/>
    <x v="63"/>
    <n v="4.5999999999999996"/>
    <n v="120"/>
    <n v="0.94"/>
    <n v="7.5999999999999998E-2"/>
    <n v="46871"/>
    <n v="80.900000000000006"/>
    <n v="147.6"/>
    <x v="34"/>
    <n v="43"/>
    <x v="0"/>
    <n v="0"/>
  </r>
  <r>
    <x v="4"/>
    <n v="5"/>
    <x v="3"/>
    <x v="1"/>
    <n v="2"/>
    <x v="0"/>
    <x v="0"/>
    <n v="1"/>
    <n v="104"/>
    <x v="195"/>
    <x v="195"/>
    <n v="247622"/>
    <n v="0.04"/>
    <x v="64"/>
    <n v="6"/>
    <n v="132"/>
    <n v="0.91"/>
    <n v="8.4000000000000005E-2"/>
    <n v="46992"/>
    <n v="80.8"/>
    <n v="148.9"/>
    <x v="35"/>
    <n v="42.9"/>
    <x v="33"/>
    <n v="0"/>
  </r>
  <r>
    <x v="4"/>
    <n v="5"/>
    <x v="3"/>
    <x v="1"/>
    <n v="2"/>
    <x v="1"/>
    <x v="0"/>
    <n v="2"/>
    <n v="1200"/>
    <x v="196"/>
    <x v="196"/>
    <n v="1000143"/>
    <n v="0.12"/>
    <x v="64"/>
    <n v="6"/>
    <n v="132"/>
    <n v="0.91"/>
    <n v="8.4000000000000005E-2"/>
    <n v="46992"/>
    <n v="80.8"/>
    <n v="148.9"/>
    <x v="35"/>
    <n v="42.9"/>
    <x v="33"/>
    <n v="0"/>
  </r>
  <r>
    <x v="4"/>
    <n v="5"/>
    <x v="3"/>
    <x v="1"/>
    <n v="2"/>
    <x v="2"/>
    <x v="0"/>
    <n v="3"/>
    <n v="702"/>
    <x v="197"/>
    <x v="197"/>
    <n v="403459"/>
    <n v="0.17"/>
    <x v="64"/>
    <n v="6"/>
    <n v="132"/>
    <n v="0.91"/>
    <n v="8.4000000000000005E-2"/>
    <n v="46992"/>
    <n v="80.8"/>
    <n v="148.9"/>
    <x v="35"/>
    <n v="42.9"/>
    <x v="33"/>
    <n v="0"/>
  </r>
  <r>
    <x v="4"/>
    <n v="5"/>
    <x v="3"/>
    <x v="2"/>
    <n v="3"/>
    <x v="0"/>
    <x v="0"/>
    <n v="1"/>
    <n v="204"/>
    <x v="198"/>
    <x v="198"/>
    <n v="253764"/>
    <n v="0.08"/>
    <x v="65"/>
    <n v="7.3"/>
    <n v="136"/>
    <n v="0.877"/>
    <n v="0.09"/>
    <n v="46201"/>
    <n v="81.099999999999994"/>
    <n v="153.5"/>
    <x v="36"/>
    <n v="45"/>
    <x v="175"/>
    <n v="0"/>
  </r>
  <r>
    <x v="4"/>
    <n v="5"/>
    <x v="3"/>
    <x v="2"/>
    <n v="3"/>
    <x v="1"/>
    <x v="0"/>
    <n v="2"/>
    <n v="2339"/>
    <x v="199"/>
    <x v="199"/>
    <n v="1016932"/>
    <n v="0.23"/>
    <x v="65"/>
    <n v="7.3"/>
    <n v="136"/>
    <n v="0.877"/>
    <n v="0.09"/>
    <n v="46201"/>
    <n v="81.099999999999994"/>
    <n v="153.5"/>
    <x v="36"/>
    <n v="45"/>
    <x v="176"/>
    <n v="0"/>
  </r>
  <r>
    <x v="4"/>
    <n v="5"/>
    <x v="3"/>
    <x v="2"/>
    <n v="3"/>
    <x v="2"/>
    <x v="0"/>
    <n v="3"/>
    <n v="1454"/>
    <x v="200"/>
    <x v="200"/>
    <n v="436080"/>
    <n v="0.33"/>
    <x v="65"/>
    <n v="7.3"/>
    <n v="136"/>
    <n v="0.877"/>
    <n v="0.09"/>
    <n v="46201"/>
    <n v="81.099999999999994"/>
    <n v="153.5"/>
    <x v="36"/>
    <n v="45"/>
    <x v="177"/>
    <n v="0"/>
  </r>
  <r>
    <x v="4"/>
    <n v="5"/>
    <x v="3"/>
    <x v="3"/>
    <n v="4"/>
    <x v="0"/>
    <x v="0"/>
    <n v="1"/>
    <n v="285"/>
    <x v="201"/>
    <x v="201"/>
    <n v="262671"/>
    <n v="0.11"/>
    <x v="66"/>
    <n v="9"/>
    <n v="140"/>
    <n v="0.85"/>
    <n v="9.4E-2"/>
    <n v="43981"/>
    <n v="81.2"/>
    <n v="157.1"/>
    <x v="37"/>
    <n v="46.4"/>
    <x v="178"/>
    <n v="0"/>
  </r>
  <r>
    <x v="4"/>
    <n v="5"/>
    <x v="3"/>
    <x v="3"/>
    <n v="4"/>
    <x v="1"/>
    <x v="0"/>
    <n v="2"/>
    <n v="3309"/>
    <x v="202"/>
    <x v="202"/>
    <n v="1067384"/>
    <n v="0.31"/>
    <x v="66"/>
    <n v="9"/>
    <n v="140"/>
    <n v="0.85"/>
    <n v="9.4E-2"/>
    <n v="43981"/>
    <n v="81.2"/>
    <n v="157.1"/>
    <x v="37"/>
    <n v="46.4"/>
    <x v="179"/>
    <n v="0"/>
  </r>
  <r>
    <x v="4"/>
    <n v="5"/>
    <x v="3"/>
    <x v="3"/>
    <n v="4"/>
    <x v="2"/>
    <x v="0"/>
    <n v="3"/>
    <n v="2025"/>
    <x v="203"/>
    <x v="203"/>
    <n v="450564"/>
    <n v="0.45"/>
    <x v="66"/>
    <n v="9"/>
    <n v="140"/>
    <n v="0.85"/>
    <n v="9.4E-2"/>
    <n v="43981"/>
    <n v="81.2"/>
    <n v="157.1"/>
    <x v="37"/>
    <n v="46.4"/>
    <x v="180"/>
    <n v="0"/>
  </r>
  <r>
    <x v="4"/>
    <n v="5"/>
    <x v="3"/>
    <x v="4"/>
    <n v="5"/>
    <x v="0"/>
    <x v="0"/>
    <n v="1"/>
    <n v="369"/>
    <x v="204"/>
    <x v="204"/>
    <n v="277120"/>
    <n v="0.13"/>
    <x v="67"/>
    <n v="10"/>
    <n v="155"/>
    <n v="0.82"/>
    <n v="9.6000000000000002E-2"/>
    <n v="44685"/>
    <n v="81.400000000000006"/>
    <n v="158.69999999999999"/>
    <x v="38"/>
    <n v="49.3"/>
    <x v="181"/>
    <n v="0"/>
  </r>
  <r>
    <x v="4"/>
    <n v="5"/>
    <x v="3"/>
    <x v="4"/>
    <n v="5"/>
    <x v="1"/>
    <x v="0"/>
    <n v="2"/>
    <n v="4193"/>
    <x v="205"/>
    <x v="205"/>
    <n v="1103494"/>
    <n v="0.38"/>
    <x v="67"/>
    <n v="10"/>
    <n v="155"/>
    <n v="0.82"/>
    <n v="9.6000000000000002E-2"/>
    <n v="44685"/>
    <n v="81.400000000000006"/>
    <n v="158.69999999999999"/>
    <x v="38"/>
    <n v="49.3"/>
    <x v="182"/>
    <n v="0"/>
  </r>
  <r>
    <x v="4"/>
    <n v="5"/>
    <x v="3"/>
    <x v="4"/>
    <n v="5"/>
    <x v="2"/>
    <x v="0"/>
    <n v="3"/>
    <n v="2508"/>
    <x v="206"/>
    <x v="206"/>
    <n v="455230"/>
    <n v="0.55000000000000004"/>
    <x v="67"/>
    <n v="10"/>
    <n v="155"/>
    <n v="0.82"/>
    <n v="9.6000000000000002E-2"/>
    <n v="44685"/>
    <n v="81.400000000000006"/>
    <n v="158.69999999999999"/>
    <x v="38"/>
    <n v="49.3"/>
    <x v="183"/>
    <n v="0"/>
  </r>
  <r>
    <x v="4"/>
    <n v="5"/>
    <x v="3"/>
    <x v="5"/>
    <n v="6"/>
    <x v="0"/>
    <x v="0"/>
    <n v="1"/>
    <n v="491"/>
    <x v="207"/>
    <x v="207"/>
    <n v="286121"/>
    <n v="0.17"/>
    <x v="68"/>
    <n v="12.9"/>
    <n v="167"/>
    <n v="0.82699999999999996"/>
    <n v="9.8000000000000004E-2"/>
    <n v="43668"/>
    <n v="81.400000000000006"/>
    <n v="158.1"/>
    <x v="39"/>
    <n v="50.2"/>
    <x v="184"/>
    <n v="0"/>
  </r>
  <r>
    <x v="4"/>
    <n v="5"/>
    <x v="3"/>
    <x v="5"/>
    <n v="6"/>
    <x v="1"/>
    <x v="0"/>
    <n v="2"/>
    <n v="5596"/>
    <x v="208"/>
    <x v="208"/>
    <n v="1142013"/>
    <n v="0.49"/>
    <x v="68"/>
    <n v="12.9"/>
    <n v="167"/>
    <n v="0.82699999999999996"/>
    <n v="9.8000000000000004E-2"/>
    <n v="43668"/>
    <n v="81.400000000000006"/>
    <n v="158.1"/>
    <x v="39"/>
    <n v="50.2"/>
    <x v="185"/>
    <n v="0"/>
  </r>
  <r>
    <x v="4"/>
    <n v="5"/>
    <x v="3"/>
    <x v="5"/>
    <n v="6"/>
    <x v="2"/>
    <x v="0"/>
    <n v="3"/>
    <n v="3404"/>
    <x v="209"/>
    <x v="209"/>
    <n v="479046"/>
    <n v="0.71"/>
    <x v="68"/>
    <n v="12.9"/>
    <n v="167"/>
    <n v="0.82699999999999996"/>
    <n v="9.8000000000000004E-2"/>
    <n v="43668"/>
    <n v="81.400000000000006"/>
    <n v="158.1"/>
    <x v="39"/>
    <n v="50.2"/>
    <x v="186"/>
    <n v="0"/>
  </r>
  <r>
    <x v="4"/>
    <n v="5"/>
    <x v="3"/>
    <x v="6"/>
    <n v="7"/>
    <x v="0"/>
    <x v="0"/>
    <n v="1"/>
    <n v="651"/>
    <x v="210"/>
    <x v="210"/>
    <n v="290644"/>
    <n v="0.22"/>
    <x v="69"/>
    <n v="13.4"/>
    <n v="182"/>
    <n v="0.85699999999999998"/>
    <n v="0.1"/>
    <n v="45014"/>
    <n v="81.400000000000006"/>
    <n v="161.1"/>
    <x v="40"/>
    <n v="52.5"/>
    <x v="187"/>
    <n v="0"/>
  </r>
  <r>
    <x v="4"/>
    <n v="5"/>
    <x v="3"/>
    <x v="6"/>
    <n v="7"/>
    <x v="1"/>
    <x v="0"/>
    <n v="2"/>
    <n v="7584"/>
    <x v="211"/>
    <x v="211"/>
    <n v="1184940"/>
    <n v="0.64"/>
    <x v="69"/>
    <n v="13.4"/>
    <n v="182"/>
    <n v="0.85699999999999998"/>
    <n v="0.1"/>
    <n v="45014"/>
    <n v="81.400000000000006"/>
    <n v="161.1"/>
    <x v="40"/>
    <n v="52.5"/>
    <x v="188"/>
    <n v="0"/>
  </r>
  <r>
    <x v="4"/>
    <n v="5"/>
    <x v="3"/>
    <x v="6"/>
    <n v="7"/>
    <x v="2"/>
    <x v="0"/>
    <n v="3"/>
    <n v="4624"/>
    <x v="212"/>
    <x v="212"/>
    <n v="498256"/>
    <n v="0.93"/>
    <x v="69"/>
    <n v="13.4"/>
    <n v="182"/>
    <n v="0.85699999999999998"/>
    <n v="0.1"/>
    <n v="45014"/>
    <n v="81.400000000000006"/>
    <n v="161.1"/>
    <x v="40"/>
    <n v="52.5"/>
    <x v="189"/>
    <n v="0"/>
  </r>
  <r>
    <x v="4"/>
    <n v="5"/>
    <x v="3"/>
    <x v="7"/>
    <n v="8"/>
    <x v="0"/>
    <x v="0"/>
    <n v="1"/>
    <n v="1462"/>
    <x v="213"/>
    <x v="213"/>
    <n v="304805"/>
    <n v="0.48"/>
    <x v="70"/>
    <n v="15.4"/>
    <n v="218"/>
    <n v="0.92300000000000004"/>
    <n v="0.10199999999999999"/>
    <n v="45186"/>
    <n v="81.8"/>
    <n v="164.2"/>
    <x v="41"/>
    <n v="56.5"/>
    <x v="190"/>
    <n v="0"/>
  </r>
  <r>
    <x v="4"/>
    <n v="5"/>
    <x v="3"/>
    <x v="7"/>
    <n v="8"/>
    <x v="1"/>
    <x v="0"/>
    <n v="2"/>
    <n v="16281"/>
    <x v="214"/>
    <x v="214"/>
    <n v="1188428"/>
    <n v="1.37"/>
    <x v="70"/>
    <n v="15.4"/>
    <n v="218"/>
    <n v="0.92300000000000004"/>
    <n v="0.10199999999999999"/>
    <n v="45186"/>
    <n v="81.8"/>
    <n v="164.2"/>
    <x v="41"/>
    <n v="56.5"/>
    <x v="191"/>
    <n v="0"/>
  </r>
  <r>
    <x v="4"/>
    <n v="5"/>
    <x v="3"/>
    <x v="7"/>
    <n v="8"/>
    <x v="2"/>
    <x v="0"/>
    <n v="3"/>
    <n v="10017"/>
    <x v="215"/>
    <x v="215"/>
    <n v="504271"/>
    <n v="1.99"/>
    <x v="70"/>
    <n v="15.4"/>
    <n v="218"/>
    <n v="0.92300000000000004"/>
    <n v="0.10199999999999999"/>
    <n v="45186"/>
    <n v="81.8"/>
    <n v="164.2"/>
    <x v="41"/>
    <n v="56.5"/>
    <x v="192"/>
    <n v="0"/>
  </r>
  <r>
    <x v="4"/>
    <n v="5"/>
    <x v="3"/>
    <x v="8"/>
    <n v="9"/>
    <x v="0"/>
    <x v="0"/>
    <n v="1"/>
    <n v="2209"/>
    <x v="216"/>
    <x v="216"/>
    <n v="293489"/>
    <n v="0.75"/>
    <x v="71"/>
    <n v="17.3"/>
    <n v="259"/>
    <n v="0.997"/>
    <n v="0.105"/>
    <n v="45714"/>
    <n v="81.3"/>
    <n v="163.4"/>
    <x v="42"/>
    <n v="57.4"/>
    <x v="193"/>
    <n v="0"/>
  </r>
  <r>
    <x v="4"/>
    <n v="5"/>
    <x v="3"/>
    <x v="8"/>
    <n v="9"/>
    <x v="1"/>
    <x v="0"/>
    <n v="2"/>
    <n v="25207"/>
    <x v="217"/>
    <x v="217"/>
    <n v="1172428"/>
    <n v="2.15"/>
    <x v="71"/>
    <n v="17.3"/>
    <n v="259"/>
    <n v="0.997"/>
    <n v="0.105"/>
    <n v="45714"/>
    <n v="81.3"/>
    <n v="163.4"/>
    <x v="42"/>
    <n v="57.4"/>
    <x v="194"/>
    <n v="0"/>
  </r>
  <r>
    <x v="4"/>
    <n v="5"/>
    <x v="3"/>
    <x v="8"/>
    <n v="9"/>
    <x v="2"/>
    <x v="0"/>
    <n v="3"/>
    <n v="15293"/>
    <x v="218"/>
    <x v="218"/>
    <n v="490549"/>
    <n v="3.12"/>
    <x v="71"/>
    <n v="17.3"/>
    <n v="259"/>
    <n v="0.997"/>
    <n v="0.105"/>
    <n v="45714"/>
    <n v="81.3"/>
    <n v="163.4"/>
    <x v="42"/>
    <n v="57.4"/>
    <x v="195"/>
    <n v="0"/>
  </r>
  <r>
    <x v="4"/>
    <n v="5"/>
    <x v="3"/>
    <x v="9"/>
    <n v="10"/>
    <x v="0"/>
    <x v="0"/>
    <n v="1"/>
    <n v="2823"/>
    <x v="219"/>
    <x v="219"/>
    <n v="290083"/>
    <n v="0.97"/>
    <x v="72"/>
    <n v="17.7"/>
    <n v="300"/>
    <n v="1.103"/>
    <n v="0.107"/>
    <n v="45302"/>
    <n v="81.900000000000006"/>
    <n v="154.4"/>
    <x v="43"/>
    <n v="59.1"/>
    <x v="196"/>
    <n v="0"/>
  </r>
  <r>
    <x v="4"/>
    <n v="5"/>
    <x v="3"/>
    <x v="9"/>
    <n v="10"/>
    <x v="1"/>
    <x v="0"/>
    <n v="2"/>
    <n v="32758"/>
    <x v="220"/>
    <x v="220"/>
    <n v="1178356"/>
    <n v="2.78"/>
    <x v="72"/>
    <n v="17.7"/>
    <n v="300"/>
    <n v="1.103"/>
    <n v="0.107"/>
    <n v="45302"/>
    <n v="81.900000000000006"/>
    <n v="154.4"/>
    <x v="43"/>
    <n v="59.1"/>
    <x v="197"/>
    <n v="0"/>
  </r>
  <r>
    <x v="4"/>
    <n v="5"/>
    <x v="3"/>
    <x v="9"/>
    <n v="10"/>
    <x v="2"/>
    <x v="0"/>
    <n v="3"/>
    <n v="19695"/>
    <x v="221"/>
    <x v="221"/>
    <n v="488583"/>
    <n v="4.03"/>
    <x v="72"/>
    <n v="17.7"/>
    <n v="300"/>
    <n v="1.103"/>
    <n v="0.107"/>
    <n v="45302"/>
    <n v="81.900000000000006"/>
    <n v="154.4"/>
    <x v="43"/>
    <n v="59.1"/>
    <x v="198"/>
    <n v="0"/>
  </r>
  <r>
    <x v="4"/>
    <n v="5"/>
    <x v="3"/>
    <x v="10"/>
    <n v="11"/>
    <x v="0"/>
    <x v="0"/>
    <n v="1"/>
    <n v="2905"/>
    <x v="222"/>
    <x v="222"/>
    <n v="235157"/>
    <n v="1.24"/>
    <x v="73"/>
    <n v="21.3"/>
    <n v="332"/>
    <n v="1.2629999999999999"/>
    <n v="0.109"/>
    <n v="48904"/>
    <n v="81.7"/>
    <n v="146.5"/>
    <x v="44"/>
    <n v="62.7"/>
    <x v="199"/>
    <n v="0"/>
  </r>
  <r>
    <x v="4"/>
    <n v="5"/>
    <x v="3"/>
    <x v="10"/>
    <n v="11"/>
    <x v="1"/>
    <x v="0"/>
    <n v="2"/>
    <n v="33098"/>
    <x v="223"/>
    <x v="223"/>
    <n v="937615"/>
    <n v="3.53"/>
    <x v="73"/>
    <n v="21.3"/>
    <n v="332"/>
    <n v="1.2629999999999999"/>
    <n v="0.109"/>
    <n v="48904"/>
    <n v="81.7"/>
    <n v="146.5"/>
    <x v="44"/>
    <n v="62.7"/>
    <x v="200"/>
    <n v="0"/>
  </r>
  <r>
    <x v="4"/>
    <n v="5"/>
    <x v="3"/>
    <x v="10"/>
    <n v="11"/>
    <x v="2"/>
    <x v="0"/>
    <n v="3"/>
    <n v="20097"/>
    <x v="224"/>
    <x v="224"/>
    <n v="392642"/>
    <n v="5.12"/>
    <x v="73"/>
    <n v="21.3"/>
    <n v="332"/>
    <n v="1.2629999999999999"/>
    <n v="0.109"/>
    <n v="48904"/>
    <n v="81.7"/>
    <n v="146.5"/>
    <x v="44"/>
    <n v="62.7"/>
    <x v="201"/>
    <n v="0"/>
  </r>
  <r>
    <x v="4"/>
    <n v="5"/>
    <x v="3"/>
    <x v="11"/>
    <n v="12"/>
    <x v="0"/>
    <x v="0"/>
    <n v="1"/>
    <n v="4791"/>
    <x v="225"/>
    <x v="225"/>
    <n v="250681"/>
    <n v="1.91"/>
    <x v="74"/>
    <n v="19.3"/>
    <n v="369"/>
    <n v="1.45"/>
    <n v="0.113"/>
    <n v="52907"/>
    <n v="81.8"/>
    <n v="144.5"/>
    <x v="45"/>
    <n v="64.5"/>
    <x v="202"/>
    <n v="0"/>
  </r>
  <r>
    <x v="4"/>
    <n v="5"/>
    <x v="3"/>
    <x v="11"/>
    <n v="12"/>
    <x v="1"/>
    <x v="0"/>
    <n v="2"/>
    <n v="54112"/>
    <x v="226"/>
    <x v="226"/>
    <n v="991058"/>
    <n v="5.46"/>
    <x v="74"/>
    <n v="19.3"/>
    <n v="369"/>
    <n v="1.45"/>
    <n v="0.113"/>
    <n v="52907"/>
    <n v="81.8"/>
    <n v="144.5"/>
    <x v="45"/>
    <n v="64.5"/>
    <x v="203"/>
    <n v="0"/>
  </r>
  <r>
    <x v="4"/>
    <n v="5"/>
    <x v="3"/>
    <x v="11"/>
    <n v="12"/>
    <x v="2"/>
    <x v="0"/>
    <n v="3"/>
    <n v="33122"/>
    <x v="227"/>
    <x v="227"/>
    <n v="418370"/>
    <n v="7.92"/>
    <x v="74"/>
    <n v="19.3"/>
    <n v="369"/>
    <n v="1.45"/>
    <n v="0.113"/>
    <n v="52907"/>
    <n v="81.8"/>
    <n v="144.5"/>
    <x v="45"/>
    <n v="64.5"/>
    <x v="204"/>
    <n v="0"/>
  </r>
  <r>
    <x v="4"/>
    <n v="5"/>
    <x v="3"/>
    <x v="12"/>
    <n v="13"/>
    <x v="0"/>
    <x v="0"/>
    <n v="1"/>
    <n v="6747"/>
    <x v="228"/>
    <x v="228"/>
    <n v="228399"/>
    <n v="2.95"/>
    <x v="75"/>
    <n v="21.5"/>
    <n v="404"/>
    <n v="1.5369999999999999"/>
    <n v="0.11899999999999999"/>
    <n v="55000"/>
    <n v="82.3"/>
    <n v="147.1"/>
    <x v="46"/>
    <n v="68.400000000000006"/>
    <x v="205"/>
    <n v="0"/>
  </r>
  <r>
    <x v="4"/>
    <n v="5"/>
    <x v="3"/>
    <x v="12"/>
    <n v="13"/>
    <x v="1"/>
    <x v="0"/>
    <n v="2"/>
    <n v="77657"/>
    <x v="229"/>
    <x v="229"/>
    <n v="920111"/>
    <n v="8.44"/>
    <x v="75"/>
    <n v="21.5"/>
    <n v="404"/>
    <n v="1.5369999999999999"/>
    <n v="0.11899999999999999"/>
    <n v="55000"/>
    <n v="82.3"/>
    <n v="147.1"/>
    <x v="46"/>
    <n v="68.400000000000006"/>
    <x v="206"/>
    <n v="0"/>
  </r>
  <r>
    <x v="4"/>
    <n v="5"/>
    <x v="3"/>
    <x v="12"/>
    <n v="13"/>
    <x v="2"/>
    <x v="0"/>
    <n v="3"/>
    <n v="47462"/>
    <x v="230"/>
    <x v="230"/>
    <n v="387823"/>
    <n v="12.24"/>
    <x v="75"/>
    <n v="21.5"/>
    <n v="404"/>
    <n v="1.5369999999999999"/>
    <n v="0.11899999999999999"/>
    <n v="55000"/>
    <n v="82.3"/>
    <n v="147.1"/>
    <x v="46"/>
    <n v="68.400000000000006"/>
    <x v="207"/>
    <n v="0"/>
  </r>
  <r>
    <x v="4"/>
    <n v="5"/>
    <x v="3"/>
    <x v="13"/>
    <n v="14"/>
    <x v="0"/>
    <x v="0"/>
    <n v="1"/>
    <n v="9988"/>
    <x v="231"/>
    <x v="231"/>
    <n v="257100"/>
    <n v="3.88"/>
    <x v="76"/>
    <n v="25.6"/>
    <n v="429"/>
    <n v="1.52"/>
    <n v="0.123"/>
    <n v="53010"/>
    <n v="82.1"/>
    <n v="147.6"/>
    <x v="47"/>
    <n v="72"/>
    <x v="208"/>
    <n v="0"/>
  </r>
  <r>
    <x v="4"/>
    <n v="5"/>
    <x v="3"/>
    <x v="13"/>
    <n v="14"/>
    <x v="1"/>
    <x v="0"/>
    <n v="2"/>
    <n v="112683"/>
    <x v="232"/>
    <x v="232"/>
    <n v="1015166"/>
    <n v="11.1"/>
    <x v="76"/>
    <n v="25.6"/>
    <n v="429"/>
    <n v="1.52"/>
    <n v="0.123"/>
    <n v="53010"/>
    <n v="82.1"/>
    <n v="147.6"/>
    <x v="47"/>
    <n v="72"/>
    <x v="209"/>
    <n v="0"/>
  </r>
  <r>
    <x v="4"/>
    <n v="5"/>
    <x v="3"/>
    <x v="13"/>
    <n v="14"/>
    <x v="2"/>
    <x v="0"/>
    <n v="3"/>
    <n v="68069"/>
    <x v="233"/>
    <x v="233"/>
    <n v="422920"/>
    <n v="16.100000000000001"/>
    <x v="76"/>
    <n v="25.6"/>
    <n v="429"/>
    <n v="1.52"/>
    <n v="0.123"/>
    <n v="53010"/>
    <n v="82.1"/>
    <n v="147.6"/>
    <x v="47"/>
    <n v="72"/>
    <x v="210"/>
    <n v="0"/>
  </r>
  <r>
    <x v="4"/>
    <n v="5"/>
    <x v="3"/>
    <x v="14"/>
    <n v="15"/>
    <x v="0"/>
    <x v="0"/>
    <n v="1"/>
    <n v="12128"/>
    <x v="234"/>
    <x v="234"/>
    <n v="259164"/>
    <n v="4.68"/>
    <x v="77"/>
    <n v="26"/>
    <n v="449"/>
    <n v="1.413"/>
    <n v="0.126"/>
    <n v="53364"/>
    <n v="81.900000000000006"/>
    <n v="142.5"/>
    <x v="48"/>
    <n v="75.5"/>
    <x v="211"/>
    <n v="0"/>
  </r>
  <r>
    <x v="4"/>
    <n v="5"/>
    <x v="3"/>
    <x v="14"/>
    <n v="15"/>
    <x v="1"/>
    <x v="0"/>
    <n v="2"/>
    <n v="139699"/>
    <x v="235"/>
    <x v="235"/>
    <n v="1044870"/>
    <n v="13.37"/>
    <x v="77"/>
    <n v="26"/>
    <n v="449"/>
    <n v="1.413"/>
    <n v="0.126"/>
    <n v="53364"/>
    <n v="81.900000000000006"/>
    <n v="142.5"/>
    <x v="48"/>
    <n v="75.5"/>
    <x v="212"/>
    <n v="0"/>
  </r>
  <r>
    <x v="4"/>
    <n v="5"/>
    <x v="3"/>
    <x v="14"/>
    <n v="15"/>
    <x v="2"/>
    <x v="0"/>
    <n v="3"/>
    <n v="84813"/>
    <x v="236"/>
    <x v="236"/>
    <n v="437487"/>
    <n v="19.39"/>
    <x v="77"/>
    <n v="26"/>
    <n v="449"/>
    <n v="1.413"/>
    <n v="0.126"/>
    <n v="53364"/>
    <n v="81.900000000000006"/>
    <n v="142.5"/>
    <x v="48"/>
    <n v="75.5"/>
    <x v="213"/>
    <n v="0"/>
  </r>
  <r>
    <x v="4"/>
    <n v="5"/>
    <x v="3"/>
    <x v="15"/>
    <n v="16"/>
    <x v="0"/>
    <x v="0"/>
    <n v="1"/>
    <n v="15114"/>
    <x v="237"/>
    <x v="237"/>
    <n v="267710"/>
    <n v="5.65"/>
    <x v="78"/>
    <n v="26.1"/>
    <n v="476"/>
    <n v="1.32"/>
    <n v="0.13"/>
    <n v="54430"/>
    <n v="82.4"/>
    <n v="135.9"/>
    <x v="49"/>
    <n v="78.5"/>
    <x v="214"/>
    <n v="0"/>
  </r>
  <r>
    <x v="4"/>
    <n v="5"/>
    <x v="3"/>
    <x v="15"/>
    <n v="16"/>
    <x v="1"/>
    <x v="0"/>
    <n v="2"/>
    <n v="172415"/>
    <x v="238"/>
    <x v="238"/>
    <n v="1068910"/>
    <n v="16.13"/>
    <x v="78"/>
    <n v="26.1"/>
    <n v="476"/>
    <n v="1.32"/>
    <n v="0.13"/>
    <n v="54430"/>
    <n v="82.4"/>
    <n v="135.9"/>
    <x v="49"/>
    <n v="78.5"/>
    <x v="215"/>
    <n v="0"/>
  </r>
  <r>
    <x v="4"/>
    <n v="5"/>
    <x v="3"/>
    <x v="15"/>
    <n v="16"/>
    <x v="2"/>
    <x v="0"/>
    <n v="3"/>
    <n v="104831"/>
    <x v="239"/>
    <x v="239"/>
    <n v="448214"/>
    <n v="23.39"/>
    <x v="78"/>
    <n v="26.1"/>
    <n v="476"/>
    <n v="1.32"/>
    <n v="0.13"/>
    <n v="54430"/>
    <n v="82.4"/>
    <n v="135.9"/>
    <x v="49"/>
    <n v="78.5"/>
    <x v="216"/>
    <n v="0"/>
  </r>
  <r>
    <x v="5"/>
    <n v="6"/>
    <x v="4"/>
    <x v="0"/>
    <n v="1"/>
    <x v="0"/>
    <x v="0"/>
    <n v="1"/>
    <n v="98"/>
    <x v="240"/>
    <x v="240"/>
    <n v="2786289"/>
    <n v="0"/>
    <x v="79"/>
    <n v="9.9"/>
    <n v="121"/>
    <n v="0.98"/>
    <n v="0.08"/>
    <n v="4585"/>
    <n v="49.1"/>
    <n v="566.1"/>
    <x v="50"/>
    <n v="30.1"/>
    <x v="0"/>
    <n v="0"/>
  </r>
  <r>
    <x v="5"/>
    <n v="6"/>
    <x v="4"/>
    <x v="0"/>
    <n v="1"/>
    <x v="1"/>
    <x v="0"/>
    <n v="2"/>
    <n v="1098"/>
    <x v="241"/>
    <x v="241"/>
    <n v="10981708"/>
    <n v="0.01"/>
    <x v="79"/>
    <n v="9.9"/>
    <n v="121"/>
    <n v="0.98"/>
    <n v="0.08"/>
    <n v="4585"/>
    <n v="49.1"/>
    <n v="566.1"/>
    <x v="50"/>
    <n v="30.1"/>
    <x v="0"/>
    <n v="0"/>
  </r>
  <r>
    <x v="5"/>
    <n v="6"/>
    <x v="4"/>
    <x v="0"/>
    <n v="1"/>
    <x v="2"/>
    <x v="0"/>
    <n v="3"/>
    <n v="654"/>
    <x v="242"/>
    <x v="242"/>
    <n v="4511422"/>
    <n v="0.01"/>
    <x v="79"/>
    <n v="9.9"/>
    <n v="121"/>
    <n v="0.98"/>
    <n v="0.08"/>
    <n v="4585"/>
    <n v="49.1"/>
    <n v="566.1"/>
    <x v="50"/>
    <n v="30.1"/>
    <x v="0"/>
    <n v="0"/>
  </r>
  <r>
    <x v="5"/>
    <n v="6"/>
    <x v="4"/>
    <x v="1"/>
    <n v="2"/>
    <x v="0"/>
    <x v="0"/>
    <n v="1"/>
    <n v="407"/>
    <x v="243"/>
    <x v="243"/>
    <n v="2907743"/>
    <n v="0.01"/>
    <x v="80"/>
    <n v="13.6"/>
    <n v="118"/>
    <n v="0.97"/>
    <n v="0.08"/>
    <n v="5206"/>
    <n v="50.3"/>
    <n v="619.9"/>
    <x v="51"/>
    <n v="33.200000000000003"/>
    <x v="33"/>
    <n v="0"/>
  </r>
  <r>
    <x v="5"/>
    <n v="6"/>
    <x v="4"/>
    <x v="1"/>
    <n v="2"/>
    <x v="1"/>
    <x v="0"/>
    <n v="2"/>
    <n v="4560"/>
    <x v="244"/>
    <x v="244"/>
    <n v="11399505"/>
    <n v="0.04"/>
    <x v="80"/>
    <n v="13.6"/>
    <n v="118"/>
    <n v="0.97"/>
    <n v="0.08"/>
    <n v="5206"/>
    <n v="50.3"/>
    <n v="619.9"/>
    <x v="51"/>
    <n v="33.200000000000003"/>
    <x v="33"/>
    <n v="0"/>
  </r>
  <r>
    <x v="5"/>
    <n v="6"/>
    <x v="4"/>
    <x v="1"/>
    <n v="2"/>
    <x v="2"/>
    <x v="0"/>
    <n v="3"/>
    <n v="2821"/>
    <x v="245"/>
    <x v="245"/>
    <n v="4863858"/>
    <n v="0.06"/>
    <x v="80"/>
    <n v="13.6"/>
    <n v="118"/>
    <n v="0.97"/>
    <n v="0.08"/>
    <n v="5206"/>
    <n v="50.3"/>
    <n v="619.9"/>
    <x v="51"/>
    <n v="33.200000000000003"/>
    <x v="33"/>
    <n v="0"/>
  </r>
  <r>
    <x v="5"/>
    <n v="6"/>
    <x v="4"/>
    <x v="2"/>
    <n v="3"/>
    <x v="0"/>
    <x v="0"/>
    <n v="1"/>
    <n v="646"/>
    <x v="246"/>
    <x v="246"/>
    <n v="3076686"/>
    <n v="0.02"/>
    <x v="81"/>
    <n v="17"/>
    <n v="134"/>
    <n v="0.97"/>
    <n v="7.9000000000000001E-2"/>
    <n v="5940"/>
    <n v="51.7"/>
    <n v="661.4"/>
    <x v="52"/>
    <n v="38.5"/>
    <x v="217"/>
    <n v="0"/>
  </r>
  <r>
    <x v="5"/>
    <n v="6"/>
    <x v="4"/>
    <x v="2"/>
    <n v="3"/>
    <x v="1"/>
    <x v="0"/>
    <n v="2"/>
    <n v="7498"/>
    <x v="247"/>
    <x v="247"/>
    <n v="12496195"/>
    <n v="0.06"/>
    <x v="81"/>
    <n v="17"/>
    <n v="134"/>
    <n v="0.97"/>
    <n v="7.9000000000000001E-2"/>
    <n v="5940"/>
    <n v="51.7"/>
    <n v="661.4"/>
    <x v="52"/>
    <n v="38.5"/>
    <x v="218"/>
    <n v="0"/>
  </r>
  <r>
    <x v="5"/>
    <n v="6"/>
    <x v="4"/>
    <x v="2"/>
    <n v="3"/>
    <x v="2"/>
    <x v="0"/>
    <n v="3"/>
    <n v="4501"/>
    <x v="248"/>
    <x v="248"/>
    <n v="5173602"/>
    <n v="0.09"/>
    <x v="81"/>
    <n v="17"/>
    <n v="134"/>
    <n v="0.97"/>
    <n v="7.9000000000000001E-2"/>
    <n v="5940"/>
    <n v="51.7"/>
    <n v="661.4"/>
    <x v="52"/>
    <n v="38.5"/>
    <x v="219"/>
    <n v="0"/>
  </r>
  <r>
    <x v="5"/>
    <n v="6"/>
    <x v="4"/>
    <x v="3"/>
    <n v="4"/>
    <x v="0"/>
    <x v="0"/>
    <n v="1"/>
    <n v="2382"/>
    <x v="249"/>
    <x v="249"/>
    <n v="3240509"/>
    <n v="7.0000000000000007E-2"/>
    <x v="82"/>
    <n v="19.8"/>
    <n v="136"/>
    <n v="0.98"/>
    <n v="7.9000000000000001E-2"/>
    <n v="6711"/>
    <n v="53.1"/>
    <n v="702.5"/>
    <x v="53"/>
    <n v="42.1"/>
    <x v="220"/>
    <n v="0"/>
  </r>
  <r>
    <x v="5"/>
    <n v="6"/>
    <x v="4"/>
    <x v="3"/>
    <n v="4"/>
    <x v="1"/>
    <x v="0"/>
    <n v="2"/>
    <n v="27076"/>
    <x v="250"/>
    <x v="250"/>
    <n v="12893222"/>
    <n v="0.21"/>
    <x v="82"/>
    <n v="19.8"/>
    <n v="136"/>
    <n v="0.98"/>
    <n v="7.9000000000000001E-2"/>
    <n v="6711"/>
    <n v="53.1"/>
    <n v="702.5"/>
    <x v="53"/>
    <n v="42.1"/>
    <x v="221"/>
    <n v="0"/>
  </r>
  <r>
    <x v="5"/>
    <n v="6"/>
    <x v="4"/>
    <x v="3"/>
    <n v="4"/>
    <x v="2"/>
    <x v="0"/>
    <n v="3"/>
    <n v="16630"/>
    <x v="251"/>
    <x v="251"/>
    <n v="5461545"/>
    <n v="0.3"/>
    <x v="82"/>
    <n v="19.8"/>
    <n v="136"/>
    <n v="0.98"/>
    <n v="7.9000000000000001E-2"/>
    <n v="6711"/>
    <n v="53.1"/>
    <n v="702.5"/>
    <x v="53"/>
    <n v="42.1"/>
    <x v="222"/>
    <n v="0"/>
  </r>
  <r>
    <x v="5"/>
    <n v="6"/>
    <x v="4"/>
    <x v="4"/>
    <n v="5"/>
    <x v="0"/>
    <x v="0"/>
    <n v="1"/>
    <n v="3805"/>
    <x v="252"/>
    <x v="252"/>
    <n v="3397056"/>
    <n v="0.11"/>
    <x v="83"/>
    <n v="26.4"/>
    <n v="150"/>
    <n v="0.99299999999999999"/>
    <n v="7.8E-2"/>
    <n v="7337"/>
    <n v="54.2"/>
    <n v="742.7"/>
    <x v="54"/>
    <n v="45.3"/>
    <x v="223"/>
    <n v="0"/>
  </r>
  <r>
    <x v="5"/>
    <n v="6"/>
    <x v="4"/>
    <x v="4"/>
    <n v="5"/>
    <x v="1"/>
    <x v="0"/>
    <n v="2"/>
    <n v="43588"/>
    <x v="253"/>
    <x v="253"/>
    <n v="13621342"/>
    <n v="0.32"/>
    <x v="83"/>
    <n v="26.4"/>
    <n v="150"/>
    <n v="0.99299999999999999"/>
    <n v="7.8E-2"/>
    <n v="7337"/>
    <n v="54.2"/>
    <n v="742.7"/>
    <x v="54"/>
    <n v="45.3"/>
    <x v="224"/>
    <n v="0"/>
  </r>
  <r>
    <x v="5"/>
    <n v="6"/>
    <x v="4"/>
    <x v="4"/>
    <n v="5"/>
    <x v="2"/>
    <x v="0"/>
    <n v="3"/>
    <n v="26529"/>
    <x v="254"/>
    <x v="254"/>
    <n v="5717370"/>
    <n v="0.46"/>
    <x v="83"/>
    <n v="26.4"/>
    <n v="150"/>
    <n v="0.99299999999999999"/>
    <n v="7.8E-2"/>
    <n v="7337"/>
    <n v="54.2"/>
    <n v="742.7"/>
    <x v="54"/>
    <n v="45.3"/>
    <x v="225"/>
    <n v="0"/>
  </r>
  <r>
    <x v="5"/>
    <n v="6"/>
    <x v="4"/>
    <x v="5"/>
    <n v="6"/>
    <x v="0"/>
    <x v="0"/>
    <n v="1"/>
    <n v="10423"/>
    <x v="255"/>
    <x v="255"/>
    <n v="3722579"/>
    <n v="0.28000000000000003"/>
    <x v="84"/>
    <n v="31.5"/>
    <n v="165"/>
    <n v="1.0069999999999999"/>
    <n v="7.9000000000000001E-2"/>
    <n v="7980"/>
    <n v="55.4"/>
    <n v="792.1"/>
    <x v="55"/>
    <n v="49.3"/>
    <x v="226"/>
    <n v="0"/>
  </r>
  <r>
    <x v="5"/>
    <n v="6"/>
    <x v="4"/>
    <x v="5"/>
    <n v="6"/>
    <x v="1"/>
    <x v="0"/>
    <n v="2"/>
    <n v="120021"/>
    <x v="256"/>
    <x v="256"/>
    <n v="15002656"/>
    <n v="0.8"/>
    <x v="84"/>
    <n v="31.5"/>
    <n v="165"/>
    <n v="1.0069999999999999"/>
    <n v="7.9000000000000001E-2"/>
    <n v="7980"/>
    <n v="55.4"/>
    <n v="792.1"/>
    <x v="55"/>
    <n v="49.3"/>
    <x v="227"/>
    <n v="0"/>
  </r>
  <r>
    <x v="5"/>
    <n v="6"/>
    <x v="4"/>
    <x v="5"/>
    <n v="6"/>
    <x v="2"/>
    <x v="0"/>
    <n v="3"/>
    <n v="72514"/>
    <x v="257"/>
    <x v="257"/>
    <n v="6251186"/>
    <n v="1.1599999999999999"/>
    <x v="84"/>
    <n v="31.5"/>
    <n v="165"/>
    <n v="1.0069999999999999"/>
    <n v="7.9000000000000001E-2"/>
    <n v="7980"/>
    <n v="55.4"/>
    <n v="792.1"/>
    <x v="55"/>
    <n v="49.3"/>
    <x v="228"/>
    <n v="0"/>
  </r>
  <r>
    <x v="5"/>
    <n v="6"/>
    <x v="4"/>
    <x v="6"/>
    <n v="7"/>
    <x v="0"/>
    <x v="0"/>
    <n v="1"/>
    <n v="17974"/>
    <x v="258"/>
    <x v="258"/>
    <n v="3950275"/>
    <n v="0.46"/>
    <x v="85"/>
    <n v="32.6"/>
    <n v="188"/>
    <n v="1.0169999999999999"/>
    <n v="8.1000000000000003E-2"/>
    <n v="8752"/>
    <n v="56.3"/>
    <n v="839.1"/>
    <x v="56"/>
    <n v="54"/>
    <x v="229"/>
    <n v="0"/>
  </r>
  <r>
    <x v="5"/>
    <n v="6"/>
    <x v="4"/>
    <x v="6"/>
    <n v="7"/>
    <x v="1"/>
    <x v="0"/>
    <n v="2"/>
    <n v="208830"/>
    <x v="259"/>
    <x v="259"/>
    <n v="16063860"/>
    <n v="1.3"/>
    <x v="85"/>
    <n v="32.6"/>
    <n v="188"/>
    <n v="1.0169999999999999"/>
    <n v="8.1000000000000003E-2"/>
    <n v="8752"/>
    <n v="56.3"/>
    <n v="839.1"/>
    <x v="56"/>
    <n v="54"/>
    <x v="230"/>
    <n v="0"/>
  </r>
  <r>
    <x v="5"/>
    <n v="6"/>
    <x v="4"/>
    <x v="6"/>
    <n v="7"/>
    <x v="2"/>
    <x v="0"/>
    <n v="3"/>
    <n v="124053"/>
    <x v="260"/>
    <x v="260"/>
    <n v="6581079"/>
    <n v="1.88"/>
    <x v="85"/>
    <n v="32.6"/>
    <n v="188"/>
    <n v="1.0169999999999999"/>
    <n v="8.1000000000000003E-2"/>
    <n v="8752"/>
    <n v="56.3"/>
    <n v="839.1"/>
    <x v="56"/>
    <n v="54"/>
    <x v="231"/>
    <n v="0"/>
  </r>
  <r>
    <x v="5"/>
    <n v="6"/>
    <x v="4"/>
    <x v="7"/>
    <n v="8"/>
    <x v="0"/>
    <x v="0"/>
    <n v="1"/>
    <n v="37832"/>
    <x v="261"/>
    <x v="261"/>
    <n v="4376196"/>
    <n v="0.86"/>
    <x v="86"/>
    <n v="34.6"/>
    <n v="206"/>
    <n v="1.0329999999999999"/>
    <n v="8.1000000000000003E-2"/>
    <n v="9091"/>
    <n v="57.8"/>
    <n v="881.4"/>
    <x v="57"/>
    <n v="58.2"/>
    <x v="232"/>
    <n v="0"/>
  </r>
  <r>
    <x v="5"/>
    <n v="6"/>
    <x v="4"/>
    <x v="7"/>
    <n v="8"/>
    <x v="1"/>
    <x v="0"/>
    <n v="2"/>
    <n v="425173"/>
    <x v="262"/>
    <x v="262"/>
    <n v="17213462"/>
    <n v="2.4700000000000002"/>
    <x v="86"/>
    <n v="34.6"/>
    <n v="206"/>
    <n v="1.0329999999999999"/>
    <n v="8.1000000000000003E-2"/>
    <n v="9091"/>
    <n v="57.8"/>
    <n v="881.4"/>
    <x v="57"/>
    <n v="58.2"/>
    <x v="233"/>
    <n v="0"/>
  </r>
  <r>
    <x v="5"/>
    <n v="6"/>
    <x v="4"/>
    <x v="7"/>
    <n v="8"/>
    <x v="2"/>
    <x v="0"/>
    <n v="3"/>
    <n v="258225"/>
    <x v="263"/>
    <x v="263"/>
    <n v="7209964"/>
    <n v="3.58"/>
    <x v="86"/>
    <n v="34.6"/>
    <n v="206"/>
    <n v="1.0329999999999999"/>
    <n v="8.1000000000000003E-2"/>
    <n v="9091"/>
    <n v="57.8"/>
    <n v="881.4"/>
    <x v="57"/>
    <n v="58.2"/>
    <x v="234"/>
    <n v="0"/>
  </r>
  <r>
    <x v="5"/>
    <n v="6"/>
    <x v="4"/>
    <x v="8"/>
    <n v="9"/>
    <x v="0"/>
    <x v="0"/>
    <n v="1"/>
    <n v="57050"/>
    <x v="264"/>
    <x v="264"/>
    <n v="4024678"/>
    <n v="1.42"/>
    <x v="87"/>
    <n v="34.700000000000003"/>
    <n v="255"/>
    <n v="1.0569999999999999"/>
    <n v="0.08"/>
    <n v="9572"/>
    <n v="59.1"/>
    <n v="923.5"/>
    <x v="58"/>
    <n v="63.9"/>
    <x v="235"/>
    <n v="0"/>
  </r>
  <r>
    <x v="5"/>
    <n v="6"/>
    <x v="4"/>
    <x v="8"/>
    <n v="9"/>
    <x v="1"/>
    <x v="0"/>
    <n v="2"/>
    <n v="657547"/>
    <x v="265"/>
    <x v="265"/>
    <n v="16235734"/>
    <n v="4.05"/>
    <x v="87"/>
    <n v="34.700000000000003"/>
    <n v="255"/>
    <n v="1.0569999999999999"/>
    <n v="0.08"/>
    <n v="9572"/>
    <n v="59.1"/>
    <n v="923.5"/>
    <x v="58"/>
    <n v="63.9"/>
    <x v="236"/>
    <n v="0"/>
  </r>
  <r>
    <x v="5"/>
    <n v="6"/>
    <x v="4"/>
    <x v="8"/>
    <n v="9"/>
    <x v="2"/>
    <x v="0"/>
    <n v="3"/>
    <n v="397829"/>
    <x v="266"/>
    <x v="266"/>
    <n v="6774438"/>
    <n v="5.87"/>
    <x v="87"/>
    <n v="34.700000000000003"/>
    <n v="255"/>
    <n v="1.0569999999999999"/>
    <n v="0.08"/>
    <n v="9572"/>
    <n v="59.1"/>
    <n v="923.5"/>
    <x v="58"/>
    <n v="63.9"/>
    <x v="237"/>
    <n v="0"/>
  </r>
  <r>
    <x v="5"/>
    <n v="6"/>
    <x v="4"/>
    <x v="9"/>
    <n v="10"/>
    <x v="0"/>
    <x v="0"/>
    <n v="1"/>
    <n v="52791"/>
    <x v="267"/>
    <x v="267"/>
    <n v="3818552"/>
    <n v="1.38"/>
    <x v="88"/>
    <n v="36.5"/>
    <n v="292"/>
    <n v="1.097"/>
    <n v="0.08"/>
    <n v="10456"/>
    <n v="60.3"/>
    <n v="946.3"/>
    <x v="59"/>
    <n v="67.599999999999994"/>
    <x v="238"/>
    <n v="0"/>
  </r>
  <r>
    <x v="5"/>
    <n v="6"/>
    <x v="4"/>
    <x v="9"/>
    <n v="10"/>
    <x v="1"/>
    <x v="0"/>
    <n v="2"/>
    <n v="606608"/>
    <x v="268"/>
    <x v="268"/>
    <n v="15357156"/>
    <n v="3.95"/>
    <x v="88"/>
    <n v="36.5"/>
    <n v="292"/>
    <n v="1.097"/>
    <n v="0.08"/>
    <n v="10456"/>
    <n v="60.3"/>
    <n v="946.3"/>
    <x v="59"/>
    <n v="67.599999999999994"/>
    <x v="239"/>
    <n v="0"/>
  </r>
  <r>
    <x v="5"/>
    <n v="6"/>
    <x v="4"/>
    <x v="9"/>
    <n v="10"/>
    <x v="2"/>
    <x v="0"/>
    <n v="3"/>
    <n v="368739"/>
    <x v="269"/>
    <x v="269"/>
    <n v="6438049"/>
    <n v="5.73"/>
    <x v="88"/>
    <n v="36.5"/>
    <n v="292"/>
    <n v="1.097"/>
    <n v="0.08"/>
    <n v="10456"/>
    <n v="60.3"/>
    <n v="946.3"/>
    <x v="59"/>
    <n v="67.599999999999994"/>
    <x v="240"/>
    <n v="0"/>
  </r>
  <r>
    <x v="5"/>
    <n v="6"/>
    <x v="4"/>
    <x v="10"/>
    <n v="11"/>
    <x v="0"/>
    <x v="0"/>
    <n v="1"/>
    <n v="65695"/>
    <x v="270"/>
    <x v="270"/>
    <n v="3702189"/>
    <n v="1.77"/>
    <x v="89"/>
    <n v="39"/>
    <n v="334"/>
    <n v="1.1499999999999999"/>
    <n v="0.08"/>
    <n v="10952"/>
    <n v="61.6"/>
    <n v="936.8"/>
    <x v="60"/>
    <n v="72.400000000000006"/>
    <x v="241"/>
    <n v="0"/>
  </r>
  <r>
    <x v="5"/>
    <n v="6"/>
    <x v="4"/>
    <x v="10"/>
    <n v="11"/>
    <x v="1"/>
    <x v="0"/>
    <n v="2"/>
    <n v="759262"/>
    <x v="271"/>
    <x v="271"/>
    <n v="14975577"/>
    <n v="5.07"/>
    <x v="89"/>
    <n v="39"/>
    <n v="334"/>
    <n v="1.1499999999999999"/>
    <n v="0.08"/>
    <n v="10952"/>
    <n v="61.6"/>
    <n v="936.8"/>
    <x v="60"/>
    <n v="72.400000000000006"/>
    <x v="242"/>
    <n v="0"/>
  </r>
  <r>
    <x v="5"/>
    <n v="6"/>
    <x v="4"/>
    <x v="10"/>
    <n v="11"/>
    <x v="2"/>
    <x v="0"/>
    <n v="3"/>
    <n v="451304"/>
    <x v="272"/>
    <x v="272"/>
    <n v="6138944"/>
    <n v="7.35"/>
    <x v="89"/>
    <n v="39"/>
    <n v="334"/>
    <n v="1.1499999999999999"/>
    <n v="0.08"/>
    <n v="10952"/>
    <n v="61.6"/>
    <n v="936.8"/>
    <x v="60"/>
    <n v="72.400000000000006"/>
    <x v="243"/>
    <n v="0"/>
  </r>
  <r>
    <x v="5"/>
    <n v="6"/>
    <x v="4"/>
    <x v="11"/>
    <n v="12"/>
    <x v="0"/>
    <x v="0"/>
    <n v="1"/>
    <n v="182482"/>
    <x v="273"/>
    <x v="273"/>
    <n v="3887978"/>
    <n v="4.6900000000000004"/>
    <x v="90"/>
    <n v="45.1"/>
    <n v="356"/>
    <n v="1.2270000000000001"/>
    <n v="8.1000000000000003E-2"/>
    <n v="11913"/>
    <n v="62.2"/>
    <n v="923"/>
    <x v="61"/>
    <n v="75.8"/>
    <x v="244"/>
    <n v="0"/>
  </r>
  <r>
    <x v="5"/>
    <n v="6"/>
    <x v="4"/>
    <x v="11"/>
    <n v="12"/>
    <x v="1"/>
    <x v="0"/>
    <n v="2"/>
    <n v="2076882"/>
    <x v="274"/>
    <x v="274"/>
    <n v="15487563"/>
    <n v="13.41"/>
    <x v="90"/>
    <n v="45.1"/>
    <n v="356"/>
    <n v="1.2270000000000001"/>
    <n v="8.1000000000000003E-2"/>
    <n v="11913"/>
    <n v="62.2"/>
    <n v="923"/>
    <x v="61"/>
    <n v="75.8"/>
    <x v="245"/>
    <n v="0"/>
  </r>
  <r>
    <x v="5"/>
    <n v="6"/>
    <x v="4"/>
    <x v="11"/>
    <n v="12"/>
    <x v="2"/>
    <x v="0"/>
    <n v="3"/>
    <n v="1262661"/>
    <x v="275"/>
    <x v="275"/>
    <n v="6493666"/>
    <n v="19.440000000000001"/>
    <x v="90"/>
    <n v="45.1"/>
    <n v="356"/>
    <n v="1.2270000000000001"/>
    <n v="8.1000000000000003E-2"/>
    <n v="11913"/>
    <n v="62.2"/>
    <n v="923"/>
    <x v="61"/>
    <n v="75.8"/>
    <x v="246"/>
    <n v="0"/>
  </r>
  <r>
    <x v="5"/>
    <n v="6"/>
    <x v="4"/>
    <x v="12"/>
    <n v="13"/>
    <x v="0"/>
    <x v="0"/>
    <n v="1"/>
    <n v="315782"/>
    <x v="276"/>
    <x v="276"/>
    <n v="3985138"/>
    <n v="7.92"/>
    <x v="91"/>
    <n v="40.4"/>
    <n v="387"/>
    <n v="1.2669999999999999"/>
    <n v="8.3000000000000004E-2"/>
    <n v="12563"/>
    <n v="63.3"/>
    <n v="894.3"/>
    <x v="62"/>
    <n v="78.5"/>
    <x v="247"/>
    <n v="0"/>
  </r>
  <r>
    <x v="5"/>
    <n v="6"/>
    <x v="4"/>
    <x v="12"/>
    <n v="13"/>
    <x v="1"/>
    <x v="0"/>
    <n v="2"/>
    <n v="3563298"/>
    <x v="277"/>
    <x v="277"/>
    <n v="15738949"/>
    <n v="22.64"/>
    <x v="91"/>
    <n v="40.4"/>
    <n v="387"/>
    <n v="1.2669999999999999"/>
    <n v="8.3000000000000004E-2"/>
    <n v="12563"/>
    <n v="63.3"/>
    <n v="894.3"/>
    <x v="62"/>
    <n v="78.5"/>
    <x v="248"/>
    <n v="0"/>
  </r>
  <r>
    <x v="5"/>
    <n v="6"/>
    <x v="4"/>
    <x v="12"/>
    <n v="13"/>
    <x v="2"/>
    <x v="0"/>
    <n v="3"/>
    <n v="2170129"/>
    <x v="278"/>
    <x v="278"/>
    <n v="6610603"/>
    <n v="32.83"/>
    <x v="91"/>
    <n v="40.4"/>
    <n v="387"/>
    <n v="1.2669999999999999"/>
    <n v="8.3000000000000004E-2"/>
    <n v="12563"/>
    <n v="63.3"/>
    <n v="894.3"/>
    <x v="62"/>
    <n v="78.5"/>
    <x v="249"/>
    <n v="0"/>
  </r>
  <r>
    <x v="5"/>
    <n v="6"/>
    <x v="4"/>
    <x v="13"/>
    <n v="14"/>
    <x v="0"/>
    <x v="0"/>
    <n v="1"/>
    <n v="425268"/>
    <x v="279"/>
    <x v="279"/>
    <n v="4491867"/>
    <n v="9.4700000000000006"/>
    <x v="92"/>
    <n v="40.200000000000003"/>
    <n v="425"/>
    <n v="1.28"/>
    <n v="8.5000000000000006E-2"/>
    <n v="13093"/>
    <n v="64.2"/>
    <n v="888.8"/>
    <x v="0"/>
    <n v="82.8"/>
    <x v="250"/>
    <n v="0"/>
  </r>
  <r>
    <x v="5"/>
    <n v="6"/>
    <x v="4"/>
    <x v="13"/>
    <n v="14"/>
    <x v="1"/>
    <x v="0"/>
    <n v="2"/>
    <n v="4944766"/>
    <x v="280"/>
    <x v="280"/>
    <n v="18280097"/>
    <n v="27.05"/>
    <x v="92"/>
    <n v="40.200000000000003"/>
    <n v="425"/>
    <n v="1.28"/>
    <n v="8.5000000000000006E-2"/>
    <n v="13093"/>
    <n v="64.2"/>
    <n v="888.8"/>
    <x v="0"/>
    <n v="82.8"/>
    <x v="251"/>
    <n v="0"/>
  </r>
  <r>
    <x v="5"/>
    <n v="6"/>
    <x v="4"/>
    <x v="13"/>
    <n v="14"/>
    <x v="2"/>
    <x v="0"/>
    <n v="3"/>
    <n v="3022792"/>
    <x v="281"/>
    <x v="281"/>
    <n v="7706780"/>
    <n v="39.22"/>
    <x v="92"/>
    <n v="40.200000000000003"/>
    <n v="425"/>
    <n v="1.28"/>
    <n v="8.5000000000000006E-2"/>
    <n v="13093"/>
    <n v="64.2"/>
    <n v="888.8"/>
    <x v="0"/>
    <n v="82.8"/>
    <x v="252"/>
    <n v="0"/>
  </r>
  <r>
    <x v="5"/>
    <n v="6"/>
    <x v="4"/>
    <x v="14"/>
    <n v="15"/>
    <x v="0"/>
    <x v="0"/>
    <n v="1"/>
    <n v="551571"/>
    <x v="282"/>
    <x v="282"/>
    <n v="4658344"/>
    <n v="11.84"/>
    <x v="93"/>
    <n v="45"/>
    <n v="442"/>
    <n v="1.2330000000000001"/>
    <n v="8.7999999999999995E-2"/>
    <n v="13269"/>
    <n v="65.2"/>
    <n v="857.2"/>
    <x v="0"/>
    <n v="85.5"/>
    <x v="253"/>
    <n v="0"/>
  </r>
  <r>
    <x v="5"/>
    <n v="6"/>
    <x v="4"/>
    <x v="14"/>
    <n v="15"/>
    <x v="1"/>
    <x v="0"/>
    <n v="2"/>
    <n v="6366690"/>
    <x v="283"/>
    <x v="283"/>
    <n v="18819658"/>
    <n v="33.83"/>
    <x v="93"/>
    <n v="45"/>
    <n v="442"/>
    <n v="1.2330000000000001"/>
    <n v="8.7999999999999995E-2"/>
    <n v="13269"/>
    <n v="65.2"/>
    <n v="857.2"/>
    <x v="0"/>
    <n v="85.5"/>
    <x v="254"/>
    <n v="0"/>
  </r>
  <r>
    <x v="5"/>
    <n v="6"/>
    <x v="4"/>
    <x v="14"/>
    <n v="15"/>
    <x v="2"/>
    <x v="1"/>
    <n v="4"/>
    <n v="3923580"/>
    <x v="284"/>
    <x v="284"/>
    <n v="7998573"/>
    <n v="49.05"/>
    <x v="93"/>
    <n v="45"/>
    <n v="442"/>
    <n v="1.2330000000000001"/>
    <n v="8.7999999999999995E-2"/>
    <n v="13269"/>
    <n v="65.2"/>
    <n v="857.2"/>
    <x v="0"/>
    <n v="85.5"/>
    <x v="22"/>
    <n v="0"/>
  </r>
  <r>
    <x v="5"/>
    <n v="6"/>
    <x v="4"/>
    <x v="15"/>
    <n v="16"/>
    <x v="0"/>
    <x v="0"/>
    <n v="1"/>
    <n v="671627"/>
    <x v="285"/>
    <x v="285"/>
    <n v="4715985"/>
    <n v="14.24"/>
    <x v="94"/>
    <n v="49.3"/>
    <n v="468"/>
    <n v="1.18"/>
    <n v="0.09"/>
    <n v="13776"/>
    <n v="65.8"/>
    <n v="828.7"/>
    <x v="0"/>
    <n v="87.3"/>
    <x v="255"/>
    <n v="0"/>
  </r>
  <r>
    <x v="5"/>
    <n v="6"/>
    <x v="4"/>
    <x v="15"/>
    <n v="16"/>
    <x v="1"/>
    <x v="1"/>
    <n v="5"/>
    <n v="7670056"/>
    <x v="286"/>
    <x v="286"/>
    <n v="18849977"/>
    <n v="40.69"/>
    <x v="94"/>
    <n v="49.3"/>
    <n v="468"/>
    <n v="1.18"/>
    <n v="0.09"/>
    <n v="13776"/>
    <n v="65.8"/>
    <n v="828.7"/>
    <x v="0"/>
    <n v="87.3"/>
    <x v="256"/>
    <n v="0"/>
  </r>
  <r>
    <x v="5"/>
    <n v="6"/>
    <x v="4"/>
    <x v="15"/>
    <n v="16"/>
    <x v="2"/>
    <x v="1"/>
    <n v="4"/>
    <n v="4562920"/>
    <x v="287"/>
    <x v="287"/>
    <n v="7733698"/>
    <n v="59"/>
    <x v="94"/>
    <n v="49.3"/>
    <n v="468"/>
    <n v="1.18"/>
    <n v="0.09"/>
    <n v="13776"/>
    <n v="65.8"/>
    <n v="828.7"/>
    <x v="0"/>
    <n v="87.3"/>
    <x v="257"/>
    <n v="1"/>
  </r>
  <r>
    <x v="6"/>
    <n v="7"/>
    <x v="1"/>
    <x v="0"/>
    <n v="1"/>
    <x v="0"/>
    <x v="0"/>
    <n v="1"/>
    <n v="12"/>
    <x v="288"/>
    <x v="288"/>
    <n v="347537"/>
    <n v="0"/>
    <x v="95"/>
    <n v="1.9"/>
    <n v="119"/>
    <n v="1.5"/>
    <n v="0.13800000000000001"/>
    <n v="41436"/>
    <n v="78.099999999999994"/>
    <n v="133.6"/>
    <x v="49"/>
    <n v="54.4"/>
    <x v="0"/>
    <n v="0"/>
  </r>
  <r>
    <x v="6"/>
    <n v="7"/>
    <x v="1"/>
    <x v="0"/>
    <n v="1"/>
    <x v="1"/>
    <x v="0"/>
    <n v="2"/>
    <n v="137"/>
    <x v="289"/>
    <x v="289"/>
    <n v="1366600"/>
    <n v="0.01"/>
    <x v="95"/>
    <n v="1.9"/>
    <n v="119"/>
    <n v="1.5"/>
    <n v="0.13800000000000001"/>
    <n v="41436"/>
    <n v="78.099999999999994"/>
    <n v="133.6"/>
    <x v="49"/>
    <n v="54.4"/>
    <x v="0"/>
    <n v="0"/>
  </r>
  <r>
    <x v="6"/>
    <n v="7"/>
    <x v="1"/>
    <x v="0"/>
    <n v="1"/>
    <x v="2"/>
    <x v="0"/>
    <n v="3"/>
    <n v="83"/>
    <x v="290"/>
    <x v="290"/>
    <n v="570505"/>
    <n v="0.01"/>
    <x v="95"/>
    <n v="1.9"/>
    <n v="119"/>
    <n v="1.5"/>
    <n v="0.13800000000000001"/>
    <n v="41436"/>
    <n v="78.099999999999994"/>
    <n v="133.6"/>
    <x v="49"/>
    <n v="54.4"/>
    <x v="0"/>
    <n v="0"/>
  </r>
  <r>
    <x v="6"/>
    <n v="7"/>
    <x v="1"/>
    <x v="1"/>
    <n v="2"/>
    <x v="0"/>
    <x v="0"/>
    <n v="1"/>
    <n v="180"/>
    <x v="291"/>
    <x v="291"/>
    <n v="321886"/>
    <n v="0.06"/>
    <x v="96"/>
    <n v="2.9"/>
    <n v="127"/>
    <n v="1.4870000000000001"/>
    <n v="0.14699999999999999"/>
    <n v="40120"/>
    <n v="78.400000000000006"/>
    <n v="132.6"/>
    <x v="63"/>
    <n v="57.8"/>
    <x v="33"/>
    <n v="0"/>
  </r>
  <r>
    <x v="6"/>
    <n v="7"/>
    <x v="1"/>
    <x v="1"/>
    <n v="2"/>
    <x v="1"/>
    <x v="0"/>
    <n v="2"/>
    <n v="2038"/>
    <x v="292"/>
    <x v="292"/>
    <n v="1273848"/>
    <n v="0.16"/>
    <x v="96"/>
    <n v="2.9"/>
    <n v="127"/>
    <n v="1.4870000000000001"/>
    <n v="0.14699999999999999"/>
    <n v="40120"/>
    <n v="78.400000000000006"/>
    <n v="132.6"/>
    <x v="63"/>
    <n v="57.8"/>
    <x v="33"/>
    <n v="0"/>
  </r>
  <r>
    <x v="6"/>
    <n v="7"/>
    <x v="1"/>
    <x v="1"/>
    <n v="2"/>
    <x v="2"/>
    <x v="0"/>
    <n v="3"/>
    <n v="1227"/>
    <x v="293"/>
    <x v="293"/>
    <n v="529054"/>
    <n v="0.23"/>
    <x v="96"/>
    <n v="2.9"/>
    <n v="127"/>
    <n v="1.4870000000000001"/>
    <n v="0.14699999999999999"/>
    <n v="40120"/>
    <n v="78.400000000000006"/>
    <n v="132.6"/>
    <x v="63"/>
    <n v="57.8"/>
    <x v="33"/>
    <n v="0"/>
  </r>
  <r>
    <x v="6"/>
    <n v="7"/>
    <x v="1"/>
    <x v="2"/>
    <n v="3"/>
    <x v="0"/>
    <x v="0"/>
    <n v="1"/>
    <n v="319"/>
    <x v="294"/>
    <x v="294"/>
    <n v="293804"/>
    <n v="0.11"/>
    <x v="97"/>
    <n v="3.8"/>
    <n v="145"/>
    <n v="1.4630000000000001"/>
    <n v="0.152"/>
    <n v="39126"/>
    <n v="79"/>
    <n v="131.69999999999999"/>
    <x v="64"/>
    <n v="57.9"/>
    <x v="258"/>
    <n v="0"/>
  </r>
  <r>
    <x v="6"/>
    <n v="7"/>
    <x v="1"/>
    <x v="2"/>
    <n v="3"/>
    <x v="1"/>
    <x v="0"/>
    <n v="2"/>
    <n v="3727"/>
    <x v="295"/>
    <x v="295"/>
    <n v="1202380"/>
    <n v="0.31"/>
    <x v="97"/>
    <n v="3.8"/>
    <n v="145"/>
    <n v="1.4630000000000001"/>
    <n v="0.152"/>
    <n v="39126"/>
    <n v="79"/>
    <n v="131.69999999999999"/>
    <x v="64"/>
    <n v="57.9"/>
    <x v="259"/>
    <n v="0"/>
  </r>
  <r>
    <x v="6"/>
    <n v="7"/>
    <x v="1"/>
    <x v="2"/>
    <n v="3"/>
    <x v="2"/>
    <x v="0"/>
    <n v="3"/>
    <n v="2238"/>
    <x v="296"/>
    <x v="296"/>
    <n v="497784"/>
    <n v="0.45"/>
    <x v="97"/>
    <n v="3.8"/>
    <n v="145"/>
    <n v="1.4630000000000001"/>
    <n v="0.152"/>
    <n v="39126"/>
    <n v="79"/>
    <n v="131.69999999999999"/>
    <x v="64"/>
    <n v="57.9"/>
    <x v="260"/>
    <n v="0"/>
  </r>
  <r>
    <x v="6"/>
    <n v="7"/>
    <x v="1"/>
    <x v="3"/>
    <n v="4"/>
    <x v="0"/>
    <x v="0"/>
    <n v="1"/>
    <n v="558"/>
    <x v="297"/>
    <x v="297"/>
    <n v="270220"/>
    <n v="0.21"/>
    <x v="98"/>
    <n v="4.4000000000000004"/>
    <n v="151"/>
    <n v="1.413"/>
    <n v="0.158"/>
    <n v="38497"/>
    <n v="79.5"/>
    <n v="129.9"/>
    <x v="65"/>
    <n v="59.6"/>
    <x v="261"/>
    <n v="0"/>
  </r>
  <r>
    <x v="6"/>
    <n v="7"/>
    <x v="1"/>
    <x v="3"/>
    <n v="4"/>
    <x v="1"/>
    <x v="0"/>
    <n v="2"/>
    <n v="6384"/>
    <x v="298"/>
    <x v="298"/>
    <n v="1082118"/>
    <n v="0.59"/>
    <x v="98"/>
    <n v="4.4000000000000004"/>
    <n v="151"/>
    <n v="1.413"/>
    <n v="0.158"/>
    <n v="38497"/>
    <n v="79.5"/>
    <n v="129.9"/>
    <x v="65"/>
    <n v="59.6"/>
    <x v="262"/>
    <n v="0"/>
  </r>
  <r>
    <x v="6"/>
    <n v="7"/>
    <x v="1"/>
    <x v="3"/>
    <n v="4"/>
    <x v="2"/>
    <x v="0"/>
    <n v="3"/>
    <n v="3801"/>
    <x v="299"/>
    <x v="299"/>
    <n v="444350"/>
    <n v="0.86"/>
    <x v="98"/>
    <n v="4.4000000000000004"/>
    <n v="151"/>
    <n v="1.413"/>
    <n v="0.158"/>
    <n v="38497"/>
    <n v="79.5"/>
    <n v="129.9"/>
    <x v="65"/>
    <n v="59.6"/>
    <x v="263"/>
    <n v="0"/>
  </r>
  <r>
    <x v="6"/>
    <n v="7"/>
    <x v="1"/>
    <x v="4"/>
    <n v="5"/>
    <x v="0"/>
    <x v="0"/>
    <n v="1"/>
    <n v="821"/>
    <x v="300"/>
    <x v="300"/>
    <n v="279196"/>
    <n v="0.28999999999999998"/>
    <x v="99"/>
    <n v="5.4"/>
    <n v="155"/>
    <n v="1.383"/>
    <n v="0.16500000000000001"/>
    <n v="37504"/>
    <n v="79.5"/>
    <n v="129"/>
    <x v="66"/>
    <n v="61.7"/>
    <x v="264"/>
    <n v="0"/>
  </r>
  <r>
    <x v="6"/>
    <n v="7"/>
    <x v="1"/>
    <x v="4"/>
    <n v="5"/>
    <x v="1"/>
    <x v="0"/>
    <n v="2"/>
    <n v="9320"/>
    <x v="301"/>
    <x v="301"/>
    <n v="1109569"/>
    <n v="0.84"/>
    <x v="99"/>
    <n v="5.4"/>
    <n v="155"/>
    <n v="1.383"/>
    <n v="0.16500000000000001"/>
    <n v="37504"/>
    <n v="79.5"/>
    <n v="129"/>
    <x v="66"/>
    <n v="61.7"/>
    <x v="265"/>
    <n v="0"/>
  </r>
  <r>
    <x v="6"/>
    <n v="7"/>
    <x v="1"/>
    <x v="4"/>
    <n v="5"/>
    <x v="2"/>
    <x v="0"/>
    <n v="3"/>
    <n v="5665"/>
    <x v="302"/>
    <x v="302"/>
    <n v="465133"/>
    <n v="1.22"/>
    <x v="99"/>
    <n v="5.4"/>
    <n v="155"/>
    <n v="1.383"/>
    <n v="0.16500000000000001"/>
    <n v="37504"/>
    <n v="79.5"/>
    <n v="129"/>
    <x v="66"/>
    <n v="61.7"/>
    <x v="266"/>
    <n v="0"/>
  </r>
  <r>
    <x v="6"/>
    <n v="7"/>
    <x v="1"/>
    <x v="5"/>
    <n v="6"/>
    <x v="0"/>
    <x v="0"/>
    <n v="1"/>
    <n v="1144"/>
    <x v="303"/>
    <x v="303"/>
    <n v="284125"/>
    <n v="0.4"/>
    <x v="100"/>
    <n v="6.1"/>
    <n v="162"/>
    <n v="1.36"/>
    <n v="0.17100000000000001"/>
    <n v="36410"/>
    <n v="79.900000000000006"/>
    <n v="129"/>
    <x v="67"/>
    <n v="64.599999999999994"/>
    <x v="267"/>
    <n v="0"/>
  </r>
  <r>
    <x v="6"/>
    <n v="7"/>
    <x v="1"/>
    <x v="5"/>
    <n v="6"/>
    <x v="1"/>
    <x v="0"/>
    <n v="2"/>
    <n v="13170"/>
    <x v="304"/>
    <x v="304"/>
    <n v="1145210"/>
    <n v="1.1499999999999999"/>
    <x v="100"/>
    <n v="6.1"/>
    <n v="162"/>
    <n v="1.36"/>
    <n v="0.17100000000000001"/>
    <n v="36410"/>
    <n v="79.900000000000006"/>
    <n v="129"/>
    <x v="67"/>
    <n v="64.599999999999994"/>
    <x v="268"/>
    <n v="0"/>
  </r>
  <r>
    <x v="6"/>
    <n v="7"/>
    <x v="1"/>
    <x v="5"/>
    <n v="6"/>
    <x v="2"/>
    <x v="0"/>
    <n v="3"/>
    <n v="7823"/>
    <x v="305"/>
    <x v="305"/>
    <n v="469154"/>
    <n v="1.67"/>
    <x v="100"/>
    <n v="6.1"/>
    <n v="162"/>
    <n v="1.36"/>
    <n v="0.17100000000000001"/>
    <n v="36410"/>
    <n v="79.900000000000006"/>
    <n v="129"/>
    <x v="67"/>
    <n v="64.599999999999994"/>
    <x v="269"/>
    <n v="0"/>
  </r>
  <r>
    <x v="6"/>
    <n v="7"/>
    <x v="1"/>
    <x v="6"/>
    <n v="7"/>
    <x v="0"/>
    <x v="0"/>
    <n v="1"/>
    <n v="1379"/>
    <x v="306"/>
    <x v="306"/>
    <n v="300674"/>
    <n v="0.46"/>
    <x v="101"/>
    <n v="7.1"/>
    <n v="185"/>
    <n v="1.39"/>
    <n v="0.17699999999999999"/>
    <n v="37911"/>
    <n v="79.900000000000006"/>
    <n v="130.1"/>
    <x v="68"/>
    <n v="67.7"/>
    <x v="270"/>
    <n v="0"/>
  </r>
  <r>
    <x v="6"/>
    <n v="7"/>
    <x v="1"/>
    <x v="6"/>
    <n v="7"/>
    <x v="1"/>
    <x v="0"/>
    <n v="2"/>
    <n v="16016"/>
    <x v="307"/>
    <x v="307"/>
    <n v="1222633"/>
    <n v="1.31"/>
    <x v="101"/>
    <n v="7.1"/>
    <n v="185"/>
    <n v="1.39"/>
    <n v="0.17699999999999999"/>
    <n v="37911"/>
    <n v="79.900000000000006"/>
    <n v="130.1"/>
    <x v="68"/>
    <n v="67.7"/>
    <x v="271"/>
    <n v="0"/>
  </r>
  <r>
    <x v="6"/>
    <n v="7"/>
    <x v="1"/>
    <x v="6"/>
    <n v="7"/>
    <x v="2"/>
    <x v="0"/>
    <n v="3"/>
    <n v="9696"/>
    <x v="308"/>
    <x v="308"/>
    <n v="510430"/>
    <n v="1.9"/>
    <x v="101"/>
    <n v="7.1"/>
    <n v="185"/>
    <n v="1.39"/>
    <n v="0.17699999999999999"/>
    <n v="37911"/>
    <n v="79.900000000000006"/>
    <n v="130.1"/>
    <x v="68"/>
    <n v="67.7"/>
    <x v="272"/>
    <n v="0"/>
  </r>
  <r>
    <x v="6"/>
    <n v="7"/>
    <x v="1"/>
    <x v="7"/>
    <n v="8"/>
    <x v="0"/>
    <x v="0"/>
    <n v="1"/>
    <n v="1818"/>
    <x v="309"/>
    <x v="309"/>
    <n v="309235"/>
    <n v="0.59"/>
    <x v="102"/>
    <n v="8.1"/>
    <n v="217"/>
    <n v="1.4430000000000001"/>
    <n v="0.183"/>
    <n v="38071"/>
    <n v="80.3"/>
    <n v="133.1"/>
    <x v="69"/>
    <n v="69"/>
    <x v="273"/>
    <n v="0"/>
  </r>
  <r>
    <x v="6"/>
    <n v="7"/>
    <x v="1"/>
    <x v="7"/>
    <n v="8"/>
    <x v="1"/>
    <x v="0"/>
    <n v="2"/>
    <n v="21205"/>
    <x v="310"/>
    <x v="310"/>
    <n v="1262193"/>
    <n v="1.68"/>
    <x v="102"/>
    <n v="8.1"/>
    <n v="217"/>
    <n v="1.4430000000000001"/>
    <n v="0.183"/>
    <n v="38071"/>
    <n v="80.3"/>
    <n v="133.1"/>
    <x v="69"/>
    <n v="69"/>
    <x v="274"/>
    <n v="0"/>
  </r>
  <r>
    <x v="6"/>
    <n v="7"/>
    <x v="1"/>
    <x v="7"/>
    <n v="8"/>
    <x v="2"/>
    <x v="0"/>
    <n v="3"/>
    <n v="12692"/>
    <x v="311"/>
    <x v="311"/>
    <n v="521005"/>
    <n v="2.44"/>
    <x v="102"/>
    <n v="8.1"/>
    <n v="217"/>
    <n v="1.4430000000000001"/>
    <n v="0.183"/>
    <n v="38071"/>
    <n v="80.3"/>
    <n v="133.1"/>
    <x v="69"/>
    <n v="69"/>
    <x v="275"/>
    <n v="0"/>
  </r>
  <r>
    <x v="6"/>
    <n v="7"/>
    <x v="1"/>
    <x v="8"/>
    <n v="9"/>
    <x v="0"/>
    <x v="0"/>
    <n v="1"/>
    <n v="2455"/>
    <x v="312"/>
    <x v="312"/>
    <n v="326263"/>
    <n v="0.75"/>
    <x v="103"/>
    <n v="9.3000000000000007"/>
    <n v="263"/>
    <n v="1.5"/>
    <n v="0.19"/>
    <n v="39804"/>
    <n v="80.2"/>
    <n v="133.30000000000001"/>
    <x v="70"/>
    <n v="74"/>
    <x v="276"/>
    <n v="0"/>
  </r>
  <r>
    <x v="6"/>
    <n v="7"/>
    <x v="1"/>
    <x v="8"/>
    <n v="9"/>
    <x v="1"/>
    <x v="0"/>
    <n v="2"/>
    <n v="28072"/>
    <x v="313"/>
    <x v="313"/>
    <n v="1305679"/>
    <n v="2.15"/>
    <x v="103"/>
    <n v="9.3000000000000007"/>
    <n v="263"/>
    <n v="1.5"/>
    <n v="0.19"/>
    <n v="39804"/>
    <n v="80.2"/>
    <n v="133.30000000000001"/>
    <x v="70"/>
    <n v="74"/>
    <x v="277"/>
    <n v="0"/>
  </r>
  <r>
    <x v="6"/>
    <n v="7"/>
    <x v="1"/>
    <x v="8"/>
    <n v="9"/>
    <x v="2"/>
    <x v="0"/>
    <n v="3"/>
    <n v="17140"/>
    <x v="314"/>
    <x v="314"/>
    <n v="549813"/>
    <n v="3.12"/>
    <x v="103"/>
    <n v="9.3000000000000007"/>
    <n v="263"/>
    <n v="1.5"/>
    <n v="0.19"/>
    <n v="39804"/>
    <n v="80.2"/>
    <n v="133.30000000000001"/>
    <x v="70"/>
    <n v="74"/>
    <x v="278"/>
    <n v="0"/>
  </r>
  <r>
    <x v="6"/>
    <n v="7"/>
    <x v="1"/>
    <x v="9"/>
    <n v="10"/>
    <x v="0"/>
    <x v="0"/>
    <n v="1"/>
    <n v="3339"/>
    <x v="315"/>
    <x v="315"/>
    <n v="344385"/>
    <n v="0.97"/>
    <x v="104"/>
    <n v="9.6999999999999993"/>
    <n v="293"/>
    <n v="1.587"/>
    <n v="0.19700000000000001"/>
    <n v="40313"/>
    <n v="80"/>
    <n v="126.7"/>
    <x v="71"/>
    <n v="77"/>
    <x v="279"/>
    <n v="0"/>
  </r>
  <r>
    <x v="6"/>
    <n v="7"/>
    <x v="1"/>
    <x v="9"/>
    <n v="10"/>
    <x v="1"/>
    <x v="0"/>
    <n v="2"/>
    <n v="38454"/>
    <x v="316"/>
    <x v="316"/>
    <n v="1388233"/>
    <n v="2.77"/>
    <x v="104"/>
    <n v="9.6999999999999993"/>
    <n v="293"/>
    <n v="1.587"/>
    <n v="0.19700000000000001"/>
    <n v="40313"/>
    <n v="80"/>
    <n v="126.7"/>
    <x v="71"/>
    <n v="77"/>
    <x v="280"/>
    <n v="0"/>
  </r>
  <r>
    <x v="6"/>
    <n v="7"/>
    <x v="1"/>
    <x v="9"/>
    <n v="10"/>
    <x v="2"/>
    <x v="0"/>
    <n v="3"/>
    <n v="22775"/>
    <x v="317"/>
    <x v="317"/>
    <n v="567037"/>
    <n v="4.0199999999999996"/>
    <x v="104"/>
    <n v="9.6999999999999993"/>
    <n v="293"/>
    <n v="1.587"/>
    <n v="0.19700000000000001"/>
    <n v="40313"/>
    <n v="80"/>
    <n v="126.7"/>
    <x v="71"/>
    <n v="77"/>
    <x v="281"/>
    <n v="0"/>
  </r>
  <r>
    <x v="6"/>
    <n v="7"/>
    <x v="1"/>
    <x v="10"/>
    <n v="11"/>
    <x v="0"/>
    <x v="0"/>
    <n v="1"/>
    <n v="10541"/>
    <x v="318"/>
    <x v="318"/>
    <n v="243277"/>
    <n v="4.33"/>
    <x v="105"/>
    <n v="11.1"/>
    <n v="344"/>
    <n v="1.7070000000000001"/>
    <n v="0.20100000000000001"/>
    <n v="40154"/>
    <n v="81.099999999999994"/>
    <n v="119.1"/>
    <x v="72"/>
    <n v="78.5"/>
    <x v="282"/>
    <n v="0"/>
  </r>
  <r>
    <x v="6"/>
    <n v="7"/>
    <x v="1"/>
    <x v="10"/>
    <n v="11"/>
    <x v="1"/>
    <x v="0"/>
    <n v="2"/>
    <n v="121288"/>
    <x v="319"/>
    <x v="319"/>
    <n v="979706"/>
    <n v="12.38"/>
    <x v="105"/>
    <n v="11.1"/>
    <n v="344"/>
    <n v="1.7070000000000001"/>
    <n v="0.20100000000000001"/>
    <n v="40154"/>
    <n v="81.099999999999994"/>
    <n v="119.1"/>
    <x v="72"/>
    <n v="78.5"/>
    <x v="283"/>
    <n v="0"/>
  </r>
  <r>
    <x v="6"/>
    <n v="7"/>
    <x v="1"/>
    <x v="10"/>
    <n v="11"/>
    <x v="2"/>
    <x v="0"/>
    <n v="3"/>
    <n v="71591"/>
    <x v="320"/>
    <x v="320"/>
    <n v="398814"/>
    <n v="17.95"/>
    <x v="105"/>
    <n v="11.1"/>
    <n v="344"/>
    <n v="1.7070000000000001"/>
    <n v="0.20100000000000001"/>
    <n v="40154"/>
    <n v="81.099999999999994"/>
    <n v="119.1"/>
    <x v="72"/>
    <n v="78.5"/>
    <x v="284"/>
    <n v="0"/>
  </r>
  <r>
    <x v="6"/>
    <n v="7"/>
    <x v="1"/>
    <x v="11"/>
    <n v="12"/>
    <x v="0"/>
    <x v="0"/>
    <n v="1"/>
    <n v="15680"/>
    <x v="321"/>
    <x v="321"/>
    <n v="243874"/>
    <n v="6.43"/>
    <x v="106"/>
    <n v="12.9"/>
    <n v="360"/>
    <n v="1.893"/>
    <n v="0.20899999999999999"/>
    <n v="41488"/>
    <n v="81"/>
    <n v="114.8"/>
    <x v="73"/>
    <n v="81.2"/>
    <x v="285"/>
    <n v="0"/>
  </r>
  <r>
    <x v="6"/>
    <n v="7"/>
    <x v="1"/>
    <x v="11"/>
    <n v="12"/>
    <x v="1"/>
    <x v="0"/>
    <n v="2"/>
    <n v="179712"/>
    <x v="322"/>
    <x v="322"/>
    <n v="978288"/>
    <n v="18.37"/>
    <x v="106"/>
    <n v="12.9"/>
    <n v="360"/>
    <n v="1.893"/>
    <n v="0.20899999999999999"/>
    <n v="41488"/>
    <n v="81"/>
    <n v="114.8"/>
    <x v="73"/>
    <n v="81.2"/>
    <x v="286"/>
    <n v="0"/>
  </r>
  <r>
    <x v="6"/>
    <n v="7"/>
    <x v="1"/>
    <x v="11"/>
    <n v="12"/>
    <x v="2"/>
    <x v="0"/>
    <n v="3"/>
    <n v="109212"/>
    <x v="323"/>
    <x v="323"/>
    <n v="410008"/>
    <n v="26.64"/>
    <x v="106"/>
    <n v="12.9"/>
    <n v="360"/>
    <n v="1.893"/>
    <n v="0.20899999999999999"/>
    <n v="41488"/>
    <n v="81"/>
    <n v="114.8"/>
    <x v="73"/>
    <n v="81.2"/>
    <x v="287"/>
    <n v="0"/>
  </r>
  <r>
    <x v="6"/>
    <n v="7"/>
    <x v="1"/>
    <x v="12"/>
    <n v="13"/>
    <x v="0"/>
    <x v="0"/>
    <n v="1"/>
    <n v="17823"/>
    <x v="324"/>
    <x v="324"/>
    <n v="234338"/>
    <n v="7.61"/>
    <x v="107"/>
    <n v="15.5"/>
    <n v="400"/>
    <n v="1.97"/>
    <n v="0.218"/>
    <n v="41146"/>
    <n v="81.3"/>
    <n v="116.9"/>
    <x v="74"/>
    <n v="82.6"/>
    <x v="288"/>
    <n v="0"/>
  </r>
  <r>
    <x v="6"/>
    <n v="7"/>
    <x v="1"/>
    <x v="12"/>
    <n v="13"/>
    <x v="1"/>
    <x v="0"/>
    <n v="2"/>
    <n v="204996"/>
    <x v="325"/>
    <x v="325"/>
    <n v="943377"/>
    <n v="21.73"/>
    <x v="107"/>
    <n v="15.5"/>
    <n v="400"/>
    <n v="1.97"/>
    <n v="0.218"/>
    <n v="41146"/>
    <n v="81.3"/>
    <n v="116.9"/>
    <x v="74"/>
    <n v="82.6"/>
    <x v="289"/>
    <n v="0"/>
  </r>
  <r>
    <x v="6"/>
    <n v="7"/>
    <x v="1"/>
    <x v="12"/>
    <n v="13"/>
    <x v="2"/>
    <x v="0"/>
    <n v="3"/>
    <n v="124817"/>
    <x v="326"/>
    <x v="326"/>
    <n v="396137"/>
    <n v="31.51"/>
    <x v="107"/>
    <n v="15.5"/>
    <n v="400"/>
    <n v="1.97"/>
    <n v="0.218"/>
    <n v="41146"/>
    <n v="81.3"/>
    <n v="116.9"/>
    <x v="74"/>
    <n v="82.6"/>
    <x v="290"/>
    <n v="0"/>
  </r>
  <r>
    <x v="6"/>
    <n v="7"/>
    <x v="1"/>
    <x v="13"/>
    <n v="14"/>
    <x v="0"/>
    <x v="0"/>
    <n v="1"/>
    <n v="20625"/>
    <x v="327"/>
    <x v="327"/>
    <n v="266891"/>
    <n v="7.73"/>
    <x v="108"/>
    <n v="17.5"/>
    <n v="427"/>
    <n v="1.9830000000000001"/>
    <n v="0.23"/>
    <n v="42556"/>
    <n v="81.3"/>
    <n v="115.7"/>
    <x v="75"/>
    <n v="86.5"/>
    <x v="291"/>
    <n v="0"/>
  </r>
  <r>
    <x v="6"/>
    <n v="7"/>
    <x v="1"/>
    <x v="13"/>
    <n v="14"/>
    <x v="1"/>
    <x v="0"/>
    <n v="2"/>
    <n v="232594"/>
    <x v="328"/>
    <x v="328"/>
    <n v="1053415"/>
    <n v="22.08"/>
    <x v="108"/>
    <n v="17.5"/>
    <n v="427"/>
    <n v="1.9830000000000001"/>
    <n v="0.23"/>
    <n v="42556"/>
    <n v="81.3"/>
    <n v="115.7"/>
    <x v="75"/>
    <n v="86.5"/>
    <x v="292"/>
    <n v="0"/>
  </r>
  <r>
    <x v="6"/>
    <n v="7"/>
    <x v="1"/>
    <x v="13"/>
    <n v="14"/>
    <x v="2"/>
    <x v="0"/>
    <n v="3"/>
    <n v="140065"/>
    <x v="329"/>
    <x v="329"/>
    <n v="437484"/>
    <n v="32.020000000000003"/>
    <x v="108"/>
    <n v="17.5"/>
    <n v="427"/>
    <n v="1.9830000000000001"/>
    <n v="0.23"/>
    <n v="42556"/>
    <n v="81.3"/>
    <n v="115.7"/>
    <x v="75"/>
    <n v="86.5"/>
    <x v="293"/>
    <n v="0"/>
  </r>
  <r>
    <x v="6"/>
    <n v="7"/>
    <x v="1"/>
    <x v="14"/>
    <n v="15"/>
    <x v="0"/>
    <x v="0"/>
    <n v="1"/>
    <n v="24008"/>
    <x v="330"/>
    <x v="330"/>
    <n v="277151"/>
    <n v="8.66"/>
    <x v="109"/>
    <n v="19.7"/>
    <n v="464"/>
    <n v="1.9"/>
    <n v="0.24"/>
    <n v="44045"/>
    <n v="81.3"/>
    <n v="113.6"/>
    <x v="76"/>
    <n v="87.9"/>
    <x v="294"/>
    <n v="0"/>
  </r>
  <r>
    <x v="6"/>
    <n v="7"/>
    <x v="1"/>
    <x v="14"/>
    <n v="15"/>
    <x v="1"/>
    <x v="0"/>
    <n v="2"/>
    <n v="274535"/>
    <x v="331"/>
    <x v="331"/>
    <n v="1109232"/>
    <n v="24.75"/>
    <x v="109"/>
    <n v="19.7"/>
    <n v="464"/>
    <n v="1.9"/>
    <n v="0.24"/>
    <n v="44045"/>
    <n v="81.3"/>
    <n v="113.6"/>
    <x v="76"/>
    <n v="87.9"/>
    <x v="295"/>
    <n v="0"/>
  </r>
  <r>
    <x v="6"/>
    <n v="7"/>
    <x v="1"/>
    <x v="14"/>
    <n v="15"/>
    <x v="2"/>
    <x v="0"/>
    <n v="3"/>
    <n v="162489"/>
    <x v="332"/>
    <x v="332"/>
    <n v="452773"/>
    <n v="35.89"/>
    <x v="109"/>
    <n v="19.7"/>
    <n v="464"/>
    <n v="1.9"/>
    <n v="0.24"/>
    <n v="44045"/>
    <n v="81.3"/>
    <n v="113.6"/>
    <x v="76"/>
    <n v="87.9"/>
    <x v="296"/>
    <n v="0"/>
  </r>
  <r>
    <x v="6"/>
    <n v="7"/>
    <x v="1"/>
    <x v="15"/>
    <n v="16"/>
    <x v="0"/>
    <x v="0"/>
    <n v="1"/>
    <n v="25621"/>
    <x v="333"/>
    <x v="333"/>
    <n v="285062"/>
    <n v="8.99"/>
    <x v="110"/>
    <n v="20.399999999999999"/>
    <n v="483"/>
    <n v="1.84"/>
    <n v="0.251"/>
    <n v="46571"/>
    <n v="81.400000000000006"/>
    <n v="112.4"/>
    <x v="77"/>
    <n v="89"/>
    <x v="297"/>
    <n v="0"/>
  </r>
  <r>
    <x v="6"/>
    <n v="7"/>
    <x v="1"/>
    <x v="15"/>
    <n v="16"/>
    <x v="1"/>
    <x v="0"/>
    <n v="2"/>
    <n v="297573"/>
    <x v="334"/>
    <x v="334"/>
    <n v="1158775"/>
    <n v="25.68"/>
    <x v="110"/>
    <n v="20.399999999999999"/>
    <n v="483"/>
    <n v="1.84"/>
    <n v="0.251"/>
    <n v="46571"/>
    <n v="81.400000000000006"/>
    <n v="112.4"/>
    <x v="77"/>
    <n v="89"/>
    <x v="298"/>
    <n v="0"/>
  </r>
  <r>
    <x v="6"/>
    <n v="7"/>
    <x v="1"/>
    <x v="15"/>
    <n v="16"/>
    <x v="2"/>
    <x v="0"/>
    <n v="3"/>
    <n v="179243"/>
    <x v="335"/>
    <x v="335"/>
    <n v="481369"/>
    <n v="37.24"/>
    <x v="110"/>
    <n v="20.399999999999999"/>
    <n v="483"/>
    <n v="1.84"/>
    <n v="0.251"/>
    <n v="46571"/>
    <n v="81.400000000000006"/>
    <n v="112.4"/>
    <x v="77"/>
    <n v="89"/>
    <x v="299"/>
    <n v="0"/>
  </r>
  <r>
    <x v="7"/>
    <n v="8"/>
    <x v="1"/>
    <x v="0"/>
    <n v="1"/>
    <x v="0"/>
    <x v="0"/>
    <n v="1"/>
    <n v="15"/>
    <x v="336"/>
    <x v="336"/>
    <n v="440164"/>
    <n v="0"/>
    <x v="111"/>
    <n v="3"/>
    <n v="131"/>
    <n v="1.52"/>
    <n v="0.27"/>
    <n v="41778"/>
    <n v="73.8"/>
    <n v="155"/>
    <x v="0"/>
    <n v="54.6"/>
    <x v="0"/>
    <n v="0"/>
  </r>
  <r>
    <x v="7"/>
    <n v="8"/>
    <x v="1"/>
    <x v="0"/>
    <n v="1"/>
    <x v="1"/>
    <x v="0"/>
    <n v="2"/>
    <n v="173"/>
    <x v="337"/>
    <x v="337"/>
    <n v="1725526"/>
    <n v="0.01"/>
    <x v="111"/>
    <n v="3"/>
    <n v="131"/>
    <n v="1.52"/>
    <n v="0.27"/>
    <n v="41778"/>
    <n v="73.8"/>
    <n v="155"/>
    <x v="0"/>
    <n v="54.6"/>
    <x v="0"/>
    <n v="0"/>
  </r>
  <r>
    <x v="7"/>
    <n v="8"/>
    <x v="1"/>
    <x v="0"/>
    <n v="1"/>
    <x v="2"/>
    <x v="0"/>
    <n v="3"/>
    <n v="105"/>
    <x v="338"/>
    <x v="338"/>
    <n v="726211"/>
    <n v="0.01"/>
    <x v="111"/>
    <n v="3"/>
    <n v="131"/>
    <n v="1.52"/>
    <n v="0.27"/>
    <n v="41778"/>
    <n v="73.8"/>
    <n v="155"/>
    <x v="0"/>
    <n v="54.6"/>
    <x v="0"/>
    <n v="0"/>
  </r>
  <r>
    <x v="7"/>
    <n v="8"/>
    <x v="1"/>
    <x v="1"/>
    <n v="2"/>
    <x v="0"/>
    <x v="0"/>
    <n v="1"/>
    <n v="90"/>
    <x v="339"/>
    <x v="339"/>
    <n v="430311"/>
    <n v="0.02"/>
    <x v="112"/>
    <n v="4.0999999999999996"/>
    <n v="142"/>
    <n v="1.5169999999999999"/>
    <n v="0.27600000000000002"/>
    <n v="41787"/>
    <n v="74.2"/>
    <n v="155.19999999999999"/>
    <x v="78"/>
    <n v="56.2"/>
    <x v="33"/>
    <n v="0"/>
  </r>
  <r>
    <x v="7"/>
    <n v="8"/>
    <x v="1"/>
    <x v="1"/>
    <n v="2"/>
    <x v="1"/>
    <x v="0"/>
    <n v="2"/>
    <n v="1046"/>
    <x v="340"/>
    <x v="340"/>
    <n v="1743746"/>
    <n v="0.06"/>
    <x v="112"/>
    <n v="4.0999999999999996"/>
    <n v="142"/>
    <n v="1.5169999999999999"/>
    <n v="0.27600000000000002"/>
    <n v="41787"/>
    <n v="74.2"/>
    <n v="155.19999999999999"/>
    <x v="78"/>
    <n v="56.2"/>
    <x v="33"/>
    <n v="0"/>
  </r>
  <r>
    <x v="7"/>
    <n v="8"/>
    <x v="1"/>
    <x v="1"/>
    <n v="2"/>
    <x v="2"/>
    <x v="0"/>
    <n v="3"/>
    <n v="626"/>
    <x v="341"/>
    <x v="341"/>
    <n v="719084"/>
    <n v="0.09"/>
    <x v="112"/>
    <n v="4.0999999999999996"/>
    <n v="142"/>
    <n v="1.5169999999999999"/>
    <n v="0.27600000000000002"/>
    <n v="41787"/>
    <n v="74.2"/>
    <n v="155.19999999999999"/>
    <x v="78"/>
    <n v="56.2"/>
    <x v="33"/>
    <n v="0"/>
  </r>
  <r>
    <x v="7"/>
    <n v="8"/>
    <x v="1"/>
    <x v="2"/>
    <n v="3"/>
    <x v="0"/>
    <x v="0"/>
    <n v="1"/>
    <n v="153"/>
    <x v="342"/>
    <x v="342"/>
    <n v="435878"/>
    <n v="0.04"/>
    <x v="113"/>
    <n v="5.5"/>
    <n v="151"/>
    <n v="1.5129999999999999"/>
    <n v="0.28299999999999997"/>
    <n v="41677"/>
    <n v="74.900000000000006"/>
    <n v="155.5"/>
    <x v="79"/>
    <n v="58.9"/>
    <x v="300"/>
    <n v="0"/>
  </r>
  <r>
    <x v="7"/>
    <n v="8"/>
    <x v="1"/>
    <x v="2"/>
    <n v="3"/>
    <x v="1"/>
    <x v="0"/>
    <n v="2"/>
    <n v="1746"/>
    <x v="343"/>
    <x v="343"/>
    <n v="1746380"/>
    <n v="0.1"/>
    <x v="113"/>
    <n v="5.5"/>
    <n v="151"/>
    <n v="1.5129999999999999"/>
    <n v="0.28299999999999997"/>
    <n v="41677"/>
    <n v="74.900000000000006"/>
    <n v="155.5"/>
    <x v="79"/>
    <n v="58.9"/>
    <x v="301"/>
    <n v="0"/>
  </r>
  <r>
    <x v="7"/>
    <n v="8"/>
    <x v="1"/>
    <x v="2"/>
    <n v="3"/>
    <x v="2"/>
    <x v="0"/>
    <n v="3"/>
    <n v="1060"/>
    <x v="344"/>
    <x v="344"/>
    <n v="731199"/>
    <n v="0.14000000000000001"/>
    <x v="113"/>
    <n v="5.5"/>
    <n v="151"/>
    <n v="1.5129999999999999"/>
    <n v="0.28299999999999997"/>
    <n v="41677"/>
    <n v="74.900000000000006"/>
    <n v="155.5"/>
    <x v="79"/>
    <n v="58.9"/>
    <x v="302"/>
    <n v="0"/>
  </r>
  <r>
    <x v="7"/>
    <n v="8"/>
    <x v="1"/>
    <x v="3"/>
    <n v="4"/>
    <x v="0"/>
    <x v="0"/>
    <n v="1"/>
    <n v="400"/>
    <x v="345"/>
    <x v="345"/>
    <n v="439758"/>
    <n v="0.09"/>
    <x v="114"/>
    <n v="6"/>
    <n v="147"/>
    <n v="1.4870000000000001"/>
    <n v="0.28999999999999998"/>
    <n v="41903"/>
    <n v="74.599999999999994"/>
    <n v="156.4"/>
    <x v="80"/>
    <n v="62.6"/>
    <x v="303"/>
    <n v="0"/>
  </r>
  <r>
    <x v="7"/>
    <n v="8"/>
    <x v="1"/>
    <x v="3"/>
    <n v="4"/>
    <x v="1"/>
    <x v="0"/>
    <n v="2"/>
    <n v="4565"/>
    <x v="346"/>
    <x v="346"/>
    <n v="1755894"/>
    <n v="0.26"/>
    <x v="114"/>
    <n v="6"/>
    <n v="147"/>
    <n v="1.4870000000000001"/>
    <n v="0.28999999999999998"/>
    <n v="41903"/>
    <n v="74.599999999999994"/>
    <n v="156.4"/>
    <x v="80"/>
    <n v="62.6"/>
    <x v="304"/>
    <n v="0"/>
  </r>
  <r>
    <x v="7"/>
    <n v="8"/>
    <x v="1"/>
    <x v="3"/>
    <n v="4"/>
    <x v="2"/>
    <x v="0"/>
    <n v="3"/>
    <n v="2738"/>
    <x v="347"/>
    <x v="347"/>
    <n v="726247"/>
    <n v="0.38"/>
    <x v="114"/>
    <n v="6"/>
    <n v="147"/>
    <n v="1.4870000000000001"/>
    <n v="0.28999999999999998"/>
    <n v="41903"/>
    <n v="74.599999999999994"/>
    <n v="156.4"/>
    <x v="80"/>
    <n v="62.6"/>
    <x v="305"/>
    <n v="0"/>
  </r>
  <r>
    <x v="7"/>
    <n v="8"/>
    <x v="1"/>
    <x v="4"/>
    <n v="5"/>
    <x v="0"/>
    <x v="0"/>
    <n v="1"/>
    <n v="718"/>
    <x v="348"/>
    <x v="348"/>
    <n v="456133"/>
    <n v="0.16"/>
    <x v="115"/>
    <n v="6.4"/>
    <n v="166"/>
    <n v="1.45"/>
    <n v="0.29799999999999999"/>
    <n v="41929"/>
    <n v="74.7"/>
    <n v="157.1"/>
    <x v="81"/>
    <n v="62.9"/>
    <x v="306"/>
    <n v="0"/>
  </r>
  <r>
    <x v="7"/>
    <n v="8"/>
    <x v="1"/>
    <x v="4"/>
    <n v="5"/>
    <x v="1"/>
    <x v="0"/>
    <n v="2"/>
    <n v="8131"/>
    <x v="349"/>
    <x v="349"/>
    <n v="1806814"/>
    <n v="0.45"/>
    <x v="115"/>
    <n v="6.4"/>
    <n v="166"/>
    <n v="1.45"/>
    <n v="0.29799999999999999"/>
    <n v="41929"/>
    <n v="74.7"/>
    <n v="157.1"/>
    <x v="81"/>
    <n v="62.9"/>
    <x v="307"/>
    <n v="0"/>
  </r>
  <r>
    <x v="7"/>
    <n v="8"/>
    <x v="1"/>
    <x v="4"/>
    <n v="5"/>
    <x v="2"/>
    <x v="0"/>
    <n v="3"/>
    <n v="4953"/>
    <x v="350"/>
    <x v="350"/>
    <n v="759140"/>
    <n v="0.65"/>
    <x v="115"/>
    <n v="6.4"/>
    <n v="166"/>
    <n v="1.45"/>
    <n v="0.29799999999999999"/>
    <n v="41929"/>
    <n v="74.7"/>
    <n v="157.1"/>
    <x v="81"/>
    <n v="62.9"/>
    <x v="308"/>
    <n v="0"/>
  </r>
  <r>
    <x v="7"/>
    <n v="8"/>
    <x v="1"/>
    <x v="5"/>
    <n v="6"/>
    <x v="0"/>
    <x v="0"/>
    <n v="1"/>
    <n v="954"/>
    <x v="351"/>
    <x v="351"/>
    <n v="470161"/>
    <n v="0.2"/>
    <x v="116"/>
    <n v="7.9"/>
    <n v="178"/>
    <n v="1.44"/>
    <n v="0.30399999999999999"/>
    <n v="41618"/>
    <n v="75"/>
    <n v="160.5"/>
    <x v="82"/>
    <n v="64.599999999999994"/>
    <x v="309"/>
    <n v="0"/>
  </r>
  <r>
    <x v="7"/>
    <n v="8"/>
    <x v="1"/>
    <x v="5"/>
    <n v="6"/>
    <x v="1"/>
    <x v="0"/>
    <n v="2"/>
    <n v="11100"/>
    <x v="352"/>
    <x v="352"/>
    <n v="1913871"/>
    <n v="0.57999999999999996"/>
    <x v="116"/>
    <n v="7.9"/>
    <n v="178"/>
    <n v="1.44"/>
    <n v="0.30399999999999999"/>
    <n v="41618"/>
    <n v="75"/>
    <n v="160.5"/>
    <x v="82"/>
    <n v="64.599999999999994"/>
    <x v="310"/>
    <n v="0"/>
  </r>
  <r>
    <x v="7"/>
    <n v="8"/>
    <x v="1"/>
    <x v="5"/>
    <n v="6"/>
    <x v="2"/>
    <x v="0"/>
    <n v="3"/>
    <n v="6727"/>
    <x v="353"/>
    <x v="353"/>
    <n v="799859"/>
    <n v="0.84"/>
    <x v="116"/>
    <n v="7.9"/>
    <n v="178"/>
    <n v="1.44"/>
    <n v="0.30399999999999999"/>
    <n v="41618"/>
    <n v="75"/>
    <n v="160.5"/>
    <x v="82"/>
    <n v="64.599999999999994"/>
    <x v="311"/>
    <n v="0"/>
  </r>
  <r>
    <x v="7"/>
    <n v="8"/>
    <x v="1"/>
    <x v="6"/>
    <n v="7"/>
    <x v="0"/>
    <x v="0"/>
    <n v="1"/>
    <n v="1277"/>
    <x v="354"/>
    <x v="354"/>
    <n v="499762"/>
    <n v="0.26"/>
    <x v="117"/>
    <n v="10.1"/>
    <n v="203"/>
    <n v="1.427"/>
    <n v="0.308"/>
    <n v="43358"/>
    <n v="75.7"/>
    <n v="163.80000000000001"/>
    <x v="83"/>
    <n v="66.400000000000006"/>
    <x v="312"/>
    <n v="0"/>
  </r>
  <r>
    <x v="7"/>
    <n v="8"/>
    <x v="1"/>
    <x v="6"/>
    <n v="7"/>
    <x v="1"/>
    <x v="0"/>
    <n v="2"/>
    <n v="14829"/>
    <x v="355"/>
    <x v="355"/>
    <n v="2031433"/>
    <n v="0.73"/>
    <x v="117"/>
    <n v="10.1"/>
    <n v="203"/>
    <n v="1.427"/>
    <n v="0.308"/>
    <n v="43358"/>
    <n v="75.7"/>
    <n v="163.80000000000001"/>
    <x v="83"/>
    <n v="66.400000000000006"/>
    <x v="313"/>
    <n v="0"/>
  </r>
  <r>
    <x v="7"/>
    <n v="8"/>
    <x v="1"/>
    <x v="6"/>
    <n v="7"/>
    <x v="2"/>
    <x v="0"/>
    <n v="3"/>
    <n v="8984"/>
    <x v="356"/>
    <x v="356"/>
    <n v="848753"/>
    <n v="1.06"/>
    <x v="117"/>
    <n v="10.1"/>
    <n v="203"/>
    <n v="1.427"/>
    <n v="0.308"/>
    <n v="43358"/>
    <n v="75.7"/>
    <n v="163.80000000000001"/>
    <x v="83"/>
    <n v="66.400000000000006"/>
    <x v="314"/>
    <n v="0"/>
  </r>
  <r>
    <x v="7"/>
    <n v="8"/>
    <x v="1"/>
    <x v="7"/>
    <n v="8"/>
    <x v="0"/>
    <x v="0"/>
    <n v="1"/>
    <n v="2405"/>
    <x v="357"/>
    <x v="357"/>
    <n v="532644"/>
    <n v="0.45"/>
    <x v="118"/>
    <n v="10"/>
    <n v="230"/>
    <n v="1.427"/>
    <n v="0.317"/>
    <n v="43778"/>
    <n v="76.3"/>
    <n v="166.9"/>
    <x v="84"/>
    <n v="70.7"/>
    <x v="315"/>
    <n v="0"/>
  </r>
  <r>
    <x v="7"/>
    <n v="8"/>
    <x v="1"/>
    <x v="7"/>
    <n v="8"/>
    <x v="1"/>
    <x v="0"/>
    <n v="2"/>
    <n v="27265"/>
    <x v="358"/>
    <x v="358"/>
    <n v="2113543"/>
    <n v="1.29"/>
    <x v="118"/>
    <n v="10"/>
    <n v="230"/>
    <n v="1.427"/>
    <n v="0.317"/>
    <n v="43778"/>
    <n v="76.3"/>
    <n v="166.9"/>
    <x v="84"/>
    <n v="70.7"/>
    <x v="316"/>
    <n v="0"/>
  </r>
  <r>
    <x v="7"/>
    <n v="8"/>
    <x v="1"/>
    <x v="7"/>
    <n v="8"/>
    <x v="2"/>
    <x v="0"/>
    <n v="3"/>
    <n v="16927"/>
    <x v="359"/>
    <x v="359"/>
    <n v="904940"/>
    <n v="1.87"/>
    <x v="118"/>
    <n v="10"/>
    <n v="230"/>
    <n v="1.427"/>
    <n v="0.317"/>
    <n v="43778"/>
    <n v="76.3"/>
    <n v="166.9"/>
    <x v="84"/>
    <n v="70.7"/>
    <x v="317"/>
    <n v="0"/>
  </r>
  <r>
    <x v="7"/>
    <n v="8"/>
    <x v="1"/>
    <x v="8"/>
    <n v="9"/>
    <x v="0"/>
    <x v="0"/>
    <n v="1"/>
    <n v="3437"/>
    <x v="360"/>
    <x v="360"/>
    <n v="542615"/>
    <n v="0.63"/>
    <x v="119"/>
    <n v="12.7"/>
    <n v="259"/>
    <n v="1.44"/>
    <n v="0.32500000000000001"/>
    <n v="45142"/>
    <n v="76.3"/>
    <n v="166.5"/>
    <x v="85"/>
    <n v="72.7"/>
    <x v="318"/>
    <n v="0"/>
  </r>
  <r>
    <x v="7"/>
    <n v="8"/>
    <x v="1"/>
    <x v="8"/>
    <n v="9"/>
    <x v="1"/>
    <x v="0"/>
    <n v="2"/>
    <n v="38831"/>
    <x v="361"/>
    <x v="361"/>
    <n v="2145356"/>
    <n v="1.81"/>
    <x v="119"/>
    <n v="12.7"/>
    <n v="259"/>
    <n v="1.44"/>
    <n v="0.32500000000000001"/>
    <n v="45142"/>
    <n v="76.3"/>
    <n v="166.5"/>
    <x v="85"/>
    <n v="72.7"/>
    <x v="319"/>
    <n v="0"/>
  </r>
  <r>
    <x v="7"/>
    <n v="8"/>
    <x v="1"/>
    <x v="8"/>
    <n v="9"/>
    <x v="2"/>
    <x v="0"/>
    <n v="3"/>
    <n v="23306"/>
    <x v="362"/>
    <x v="362"/>
    <n v="888024"/>
    <n v="2.62"/>
    <x v="119"/>
    <n v="12.7"/>
    <n v="259"/>
    <n v="1.44"/>
    <n v="0.32500000000000001"/>
    <n v="45142"/>
    <n v="76.3"/>
    <n v="166.5"/>
    <x v="85"/>
    <n v="72.7"/>
    <x v="320"/>
    <n v="0"/>
  </r>
  <r>
    <x v="7"/>
    <n v="8"/>
    <x v="1"/>
    <x v="9"/>
    <n v="10"/>
    <x v="0"/>
    <x v="0"/>
    <n v="1"/>
    <n v="5577"/>
    <x v="363"/>
    <x v="363"/>
    <n v="527653"/>
    <n v="1.06"/>
    <x v="120"/>
    <n v="14.7"/>
    <n v="304"/>
    <n v="1.5429999999999999"/>
    <n v="0.33800000000000002"/>
    <n v="46222"/>
    <n v="76.8"/>
    <n v="159.4"/>
    <x v="86"/>
    <n v="74.8"/>
    <x v="321"/>
    <n v="0"/>
  </r>
  <r>
    <x v="7"/>
    <n v="8"/>
    <x v="1"/>
    <x v="9"/>
    <n v="10"/>
    <x v="1"/>
    <x v="0"/>
    <n v="2"/>
    <n v="63521"/>
    <x v="364"/>
    <x v="364"/>
    <n v="2103342"/>
    <n v="3.02"/>
    <x v="120"/>
    <n v="14.7"/>
    <n v="304"/>
    <n v="1.5429999999999999"/>
    <n v="0.33800000000000002"/>
    <n v="46222"/>
    <n v="76.8"/>
    <n v="159.4"/>
    <x v="86"/>
    <n v="74.8"/>
    <x v="322"/>
    <n v="0"/>
  </r>
  <r>
    <x v="7"/>
    <n v="8"/>
    <x v="1"/>
    <x v="9"/>
    <n v="10"/>
    <x v="2"/>
    <x v="0"/>
    <n v="3"/>
    <n v="38679"/>
    <x v="365"/>
    <x v="365"/>
    <n v="883289"/>
    <n v="4.38"/>
    <x v="120"/>
    <n v="14.7"/>
    <n v="304"/>
    <n v="1.5429999999999999"/>
    <n v="0.33800000000000002"/>
    <n v="46222"/>
    <n v="76.8"/>
    <n v="159.4"/>
    <x v="86"/>
    <n v="74.8"/>
    <x v="323"/>
    <n v="0"/>
  </r>
  <r>
    <x v="7"/>
    <n v="8"/>
    <x v="1"/>
    <x v="10"/>
    <n v="11"/>
    <x v="0"/>
    <x v="0"/>
    <n v="1"/>
    <n v="20289"/>
    <x v="366"/>
    <x v="366"/>
    <n v="440489"/>
    <n v="4.6100000000000003"/>
    <x v="121"/>
    <n v="14.8"/>
    <n v="360"/>
    <n v="1.7030000000000001"/>
    <n v="0.35699999999999998"/>
    <n v="47086"/>
    <n v="77.5"/>
    <n v="155.80000000000001"/>
    <x v="87"/>
    <n v="79.3"/>
    <x v="324"/>
    <n v="0"/>
  </r>
  <r>
    <x v="7"/>
    <n v="8"/>
    <x v="1"/>
    <x v="10"/>
    <n v="11"/>
    <x v="1"/>
    <x v="0"/>
    <n v="2"/>
    <n v="230506"/>
    <x v="367"/>
    <x v="367"/>
    <n v="1751568"/>
    <n v="13.16"/>
    <x v="121"/>
    <n v="14.8"/>
    <n v="360"/>
    <n v="1.7030000000000001"/>
    <n v="0.35699999999999998"/>
    <n v="47086"/>
    <n v="77.5"/>
    <n v="155.80000000000001"/>
    <x v="87"/>
    <n v="79.3"/>
    <x v="325"/>
    <n v="0"/>
  </r>
  <r>
    <x v="7"/>
    <n v="8"/>
    <x v="1"/>
    <x v="10"/>
    <n v="11"/>
    <x v="2"/>
    <x v="0"/>
    <n v="3"/>
    <n v="138036"/>
    <x v="368"/>
    <x v="368"/>
    <n v="723384"/>
    <n v="19.079999999999998"/>
    <x v="121"/>
    <n v="14.8"/>
    <n v="360"/>
    <n v="1.7030000000000001"/>
    <n v="0.35699999999999998"/>
    <n v="47086"/>
    <n v="77.5"/>
    <n v="155.80000000000001"/>
    <x v="87"/>
    <n v="79.3"/>
    <x v="326"/>
    <n v="0"/>
  </r>
  <r>
    <x v="7"/>
    <n v="8"/>
    <x v="1"/>
    <x v="11"/>
    <n v="12"/>
    <x v="0"/>
    <x v="0"/>
    <n v="1"/>
    <n v="35700"/>
    <x v="369"/>
    <x v="369"/>
    <n v="392004"/>
    <n v="9.11"/>
    <x v="122"/>
    <n v="17.8"/>
    <n v="370"/>
    <n v="1.887"/>
    <n v="0.376"/>
    <n v="48190"/>
    <n v="77.7"/>
    <n v="151.1"/>
    <x v="88"/>
    <n v="80.5"/>
    <x v="327"/>
    <n v="0"/>
  </r>
  <r>
    <x v="7"/>
    <n v="8"/>
    <x v="1"/>
    <x v="11"/>
    <n v="12"/>
    <x v="1"/>
    <x v="0"/>
    <n v="2"/>
    <n v="402316"/>
    <x v="370"/>
    <x v="370"/>
    <n v="1546179"/>
    <n v="26.02"/>
    <x v="122"/>
    <n v="17.8"/>
    <n v="370"/>
    <n v="1.887"/>
    <n v="0.376"/>
    <n v="48190"/>
    <n v="77.7"/>
    <n v="151.1"/>
    <x v="88"/>
    <n v="80.5"/>
    <x v="328"/>
    <n v="0"/>
  </r>
  <r>
    <x v="7"/>
    <n v="8"/>
    <x v="1"/>
    <x v="11"/>
    <n v="12"/>
    <x v="2"/>
    <x v="0"/>
    <n v="3"/>
    <n v="248912"/>
    <x v="371"/>
    <x v="371"/>
    <n v="659736"/>
    <n v="37.729999999999997"/>
    <x v="122"/>
    <n v="17.8"/>
    <n v="370"/>
    <n v="1.887"/>
    <n v="0.376"/>
    <n v="48190"/>
    <n v="77.7"/>
    <n v="151.1"/>
    <x v="88"/>
    <n v="80.5"/>
    <x v="329"/>
    <n v="0"/>
  </r>
  <r>
    <x v="7"/>
    <n v="8"/>
    <x v="1"/>
    <x v="12"/>
    <n v="13"/>
    <x v="0"/>
    <x v="0"/>
    <n v="1"/>
    <n v="41741"/>
    <x v="372"/>
    <x v="372"/>
    <n v="391399"/>
    <n v="10.66"/>
    <x v="123"/>
    <n v="17.3"/>
    <n v="404"/>
    <n v="1.99"/>
    <n v="0.37903999999999999"/>
    <n v="48110"/>
    <n v="78.2"/>
    <n v="150.9"/>
    <x v="89"/>
    <n v="82"/>
    <x v="330"/>
    <n v="0"/>
  </r>
  <r>
    <x v="7"/>
    <n v="8"/>
    <x v="1"/>
    <x v="12"/>
    <n v="13"/>
    <x v="1"/>
    <x v="0"/>
    <n v="2"/>
    <n v="482805"/>
    <x v="373"/>
    <x v="373"/>
    <n v="1584526"/>
    <n v="30.47"/>
    <x v="123"/>
    <n v="17.3"/>
    <n v="404"/>
    <n v="1.99"/>
    <n v="0.37903999999999999"/>
    <n v="48110"/>
    <n v="78.2"/>
    <n v="150.9"/>
    <x v="89"/>
    <n v="82"/>
    <x v="331"/>
    <n v="0"/>
  </r>
  <r>
    <x v="7"/>
    <n v="8"/>
    <x v="1"/>
    <x v="12"/>
    <n v="13"/>
    <x v="2"/>
    <x v="1"/>
    <n v="4"/>
    <n v="289692"/>
    <x v="374"/>
    <x v="374"/>
    <n v="655686"/>
    <n v="44.18"/>
    <x v="123"/>
    <n v="17.3"/>
    <n v="404"/>
    <n v="1.99"/>
    <n v="0.37903999999999999"/>
    <n v="48110"/>
    <n v="78.2"/>
    <n v="150.9"/>
    <x v="89"/>
    <n v="82"/>
    <x v="332"/>
    <n v="0"/>
  </r>
  <r>
    <x v="7"/>
    <n v="8"/>
    <x v="1"/>
    <x v="13"/>
    <n v="14"/>
    <x v="0"/>
    <x v="0"/>
    <n v="1"/>
    <n v="40750"/>
    <x v="375"/>
    <x v="375"/>
    <n v="438525"/>
    <n v="9.2899999999999991"/>
    <x v="124"/>
    <n v="20.5"/>
    <n v="439"/>
    <n v="2.0070000000000001"/>
    <n v="0.37903999999999999"/>
    <n v="50125"/>
    <n v="77.7"/>
    <n v="145.69999999999999"/>
    <x v="90"/>
    <n v="85.9"/>
    <x v="333"/>
    <n v="0"/>
  </r>
  <r>
    <x v="7"/>
    <n v="8"/>
    <x v="1"/>
    <x v="13"/>
    <n v="14"/>
    <x v="1"/>
    <x v="0"/>
    <n v="2"/>
    <n v="514967"/>
    <x v="376"/>
    <x v="376"/>
    <n v="1777586"/>
    <n v="28.97"/>
    <x v="124"/>
    <n v="20.5"/>
    <n v="439"/>
    <n v="2.0070000000000001"/>
    <n v="0.37903999999999999"/>
    <n v="50125"/>
    <n v="77.7"/>
    <n v="145.69999999999999"/>
    <x v="90"/>
    <n v="85.9"/>
    <x v="334"/>
    <n v="0"/>
  </r>
  <r>
    <x v="7"/>
    <n v="8"/>
    <x v="1"/>
    <x v="13"/>
    <n v="14"/>
    <x v="2"/>
    <x v="1"/>
    <n v="4"/>
    <n v="305853"/>
    <x v="377"/>
    <x v="377"/>
    <n v="716619"/>
    <n v="42.68"/>
    <x v="124"/>
    <n v="20.5"/>
    <n v="439"/>
    <n v="2.0070000000000001"/>
    <n v="0.37903999999999999"/>
    <n v="50125"/>
    <n v="77.7"/>
    <n v="145.69999999999999"/>
    <x v="90"/>
    <n v="85.9"/>
    <x v="335"/>
    <n v="0"/>
  </r>
  <r>
    <x v="7"/>
    <n v="8"/>
    <x v="1"/>
    <x v="14"/>
    <n v="15"/>
    <x v="0"/>
    <x v="0"/>
    <n v="1"/>
    <n v="44989"/>
    <x v="378"/>
    <x v="378"/>
    <n v="414916"/>
    <n v="10.84"/>
    <x v="125"/>
    <n v="21.3"/>
    <n v="465"/>
    <n v="1.9330000000000001"/>
    <n v="0.379"/>
    <n v="52064"/>
    <n v="78.3"/>
    <n v="141"/>
    <x v="0"/>
    <n v="87.1"/>
    <x v="336"/>
    <n v="0"/>
  </r>
  <r>
    <x v="7"/>
    <n v="8"/>
    <x v="1"/>
    <x v="14"/>
    <n v="15"/>
    <x v="1"/>
    <x v="0"/>
    <n v="2"/>
    <n v="516118"/>
    <x v="379"/>
    <x v="379"/>
    <n v="1665972"/>
    <n v="30.98"/>
    <x v="125"/>
    <n v="21.3"/>
    <n v="465"/>
    <n v="1.9330000000000001"/>
    <n v="0.379"/>
    <n v="52064"/>
    <n v="78.3"/>
    <n v="141"/>
    <x v="0"/>
    <n v="87.1"/>
    <x v="337"/>
    <n v="0"/>
  </r>
  <r>
    <x v="7"/>
    <n v="8"/>
    <x v="1"/>
    <x v="14"/>
    <n v="15"/>
    <x v="2"/>
    <x v="1"/>
    <n v="4"/>
    <n v="311491"/>
    <x v="380"/>
    <x v="380"/>
    <n v="693420"/>
    <n v="44.92"/>
    <x v="125"/>
    <n v="21.3"/>
    <n v="465"/>
    <n v="1.9330000000000001"/>
    <n v="0.379"/>
    <n v="52064"/>
    <n v="78.3"/>
    <n v="141"/>
    <x v="0"/>
    <n v="87.1"/>
    <x v="338"/>
    <n v="0"/>
  </r>
  <r>
    <x v="7"/>
    <n v="8"/>
    <x v="1"/>
    <x v="15"/>
    <n v="16"/>
    <x v="0"/>
    <x v="0"/>
    <n v="1"/>
    <n v="48491"/>
    <x v="381"/>
    <x v="381"/>
    <n v="433223"/>
    <n v="11.19"/>
    <x v="126"/>
    <n v="24.6"/>
    <n v="486"/>
    <n v="1.85"/>
    <n v="0.373"/>
    <n v="54204"/>
    <n v="78.099999999999994"/>
    <n v="136.5"/>
    <x v="0"/>
    <n v="90"/>
    <x v="339"/>
    <n v="0"/>
  </r>
  <r>
    <x v="7"/>
    <n v="8"/>
    <x v="1"/>
    <x v="15"/>
    <n v="16"/>
    <x v="1"/>
    <x v="0"/>
    <n v="2"/>
    <n v="549850"/>
    <x v="382"/>
    <x v="382"/>
    <n v="1719357"/>
    <n v="31.98"/>
    <x v="126"/>
    <n v="24.6"/>
    <n v="486"/>
    <n v="1.85"/>
    <n v="0.373"/>
    <n v="54204"/>
    <n v="78.099999999999994"/>
    <n v="136.5"/>
    <x v="0"/>
    <n v="90"/>
    <x v="340"/>
    <n v="0"/>
  </r>
  <r>
    <x v="7"/>
    <n v="8"/>
    <x v="1"/>
    <x v="15"/>
    <n v="16"/>
    <x v="2"/>
    <x v="1"/>
    <n v="4"/>
    <n v="335891"/>
    <x v="383"/>
    <x v="383"/>
    <n v="724355"/>
    <n v="46.37"/>
    <x v="126"/>
    <n v="24.6"/>
    <n v="486"/>
    <n v="1.85"/>
    <n v="0.373"/>
    <n v="54204"/>
    <n v="78.099999999999994"/>
    <n v="136.5"/>
    <x v="0"/>
    <n v="90"/>
    <x v="341"/>
    <n v="0"/>
  </r>
  <r>
    <x v="8"/>
    <n v="9"/>
    <x v="4"/>
    <x v="0"/>
    <n v="1"/>
    <x v="0"/>
    <x v="0"/>
    <n v="1"/>
    <n v="6"/>
    <x v="384"/>
    <x v="384"/>
    <n v="454878"/>
    <n v="0"/>
    <x v="0"/>
    <n v="0"/>
    <n v="107"/>
    <n v="0.77"/>
    <n v="6.7000000000000004E-2"/>
    <n v="1359"/>
    <n v="30.9"/>
    <n v="166.9"/>
    <x v="0"/>
    <n v="19.484000000000002"/>
    <x v="0"/>
    <n v="0"/>
  </r>
  <r>
    <x v="8"/>
    <n v="9"/>
    <x v="4"/>
    <x v="0"/>
    <n v="1"/>
    <x v="1"/>
    <x v="0"/>
    <n v="2"/>
    <n v="79"/>
    <x v="385"/>
    <x v="385"/>
    <n v="1789481"/>
    <n v="0"/>
    <x v="0"/>
    <n v="0"/>
    <n v="107"/>
    <n v="0.77"/>
    <n v="6.7000000000000004E-2"/>
    <n v="1359"/>
    <n v="30.9"/>
    <n v="166.9"/>
    <x v="0"/>
    <n v="19.484000000000002"/>
    <x v="0"/>
    <n v="0"/>
  </r>
  <r>
    <x v="8"/>
    <n v="9"/>
    <x v="4"/>
    <x v="0"/>
    <n v="1"/>
    <x v="2"/>
    <x v="0"/>
    <n v="3"/>
    <n v="51"/>
    <x v="386"/>
    <x v="386"/>
    <n v="748106"/>
    <n v="0.01"/>
    <x v="0"/>
    <n v="0"/>
    <n v="107"/>
    <n v="0.77"/>
    <n v="6.7000000000000004E-2"/>
    <n v="1359"/>
    <n v="30.9"/>
    <n v="166.9"/>
    <x v="0"/>
    <n v="19.484000000000002"/>
    <x v="0"/>
    <n v="0"/>
  </r>
  <r>
    <x v="8"/>
    <n v="9"/>
    <x v="4"/>
    <x v="1"/>
    <n v="2"/>
    <x v="0"/>
    <x v="0"/>
    <n v="1"/>
    <n v="17"/>
    <x v="387"/>
    <x v="387"/>
    <n v="473999"/>
    <n v="0"/>
    <x v="127"/>
    <n v="1"/>
    <n v="119"/>
    <n v="0.82"/>
    <n v="7.0999999999999994E-2"/>
    <n v="1402"/>
    <n v="31.4"/>
    <n v="177.4"/>
    <x v="91"/>
    <n v="19.8"/>
    <x v="342"/>
    <n v="0"/>
  </r>
  <r>
    <x v="8"/>
    <n v="9"/>
    <x v="4"/>
    <x v="1"/>
    <n v="2"/>
    <x v="1"/>
    <x v="0"/>
    <n v="2"/>
    <n v="186"/>
    <x v="388"/>
    <x v="388"/>
    <n v="1863459"/>
    <n v="0.01"/>
    <x v="127"/>
    <n v="1"/>
    <n v="119"/>
    <n v="0.82"/>
    <n v="7.0999999999999994E-2"/>
    <n v="1402"/>
    <n v="31.4"/>
    <n v="177.4"/>
    <x v="91"/>
    <n v="19.8"/>
    <x v="343"/>
    <n v="0"/>
  </r>
  <r>
    <x v="8"/>
    <n v="9"/>
    <x v="4"/>
    <x v="1"/>
    <n v="2"/>
    <x v="2"/>
    <x v="0"/>
    <n v="3"/>
    <n v="114"/>
    <x v="389"/>
    <x v="389"/>
    <n v="784885"/>
    <n v="0.01"/>
    <x v="127"/>
    <n v="1"/>
    <n v="119"/>
    <n v="0.82"/>
    <n v="7.0999999999999994E-2"/>
    <n v="1402"/>
    <n v="31.4"/>
    <n v="177.4"/>
    <x v="91"/>
    <n v="19.8"/>
    <x v="344"/>
    <n v="0"/>
  </r>
  <r>
    <x v="8"/>
    <n v="9"/>
    <x v="4"/>
    <x v="2"/>
    <n v="3"/>
    <x v="0"/>
    <x v="0"/>
    <n v="1"/>
    <n v="16"/>
    <x v="390"/>
    <x v="390"/>
    <n v="470604"/>
    <n v="0"/>
    <x v="128"/>
    <n v="1.9"/>
    <n v="136"/>
    <n v="0.87"/>
    <n v="7.3999999999999996E-2"/>
    <n v="1463"/>
    <n v="31.6"/>
    <n v="190.1"/>
    <x v="92"/>
    <n v="19.5"/>
    <x v="345"/>
    <n v="0"/>
  </r>
  <r>
    <x v="8"/>
    <n v="9"/>
    <x v="4"/>
    <x v="2"/>
    <n v="3"/>
    <x v="1"/>
    <x v="0"/>
    <n v="2"/>
    <n v="188"/>
    <x v="391"/>
    <x v="391"/>
    <n v="1881906"/>
    <n v="0.01"/>
    <x v="128"/>
    <n v="1.9"/>
    <n v="136"/>
    <n v="0.87"/>
    <n v="7.3999999999999996E-2"/>
    <n v="1463"/>
    <n v="31.6"/>
    <n v="190.1"/>
    <x v="92"/>
    <n v="19.5"/>
    <x v="346"/>
    <n v="0"/>
  </r>
  <r>
    <x v="8"/>
    <n v="9"/>
    <x v="4"/>
    <x v="2"/>
    <n v="3"/>
    <x v="2"/>
    <x v="0"/>
    <n v="3"/>
    <n v="112"/>
    <x v="392"/>
    <x v="392"/>
    <n v="774722"/>
    <n v="0.01"/>
    <x v="128"/>
    <n v="1.9"/>
    <n v="136"/>
    <n v="0.87"/>
    <n v="7.3999999999999996E-2"/>
    <n v="1463"/>
    <n v="31.6"/>
    <n v="190.1"/>
    <x v="92"/>
    <n v="19.5"/>
    <x v="347"/>
    <n v="0"/>
  </r>
  <r>
    <x v="8"/>
    <n v="9"/>
    <x v="4"/>
    <x v="3"/>
    <n v="4"/>
    <x v="0"/>
    <x v="0"/>
    <n v="1"/>
    <n v="17"/>
    <x v="393"/>
    <x v="393"/>
    <n v="494751"/>
    <n v="0"/>
    <x v="129"/>
    <n v="2.9"/>
    <n v="135"/>
    <n v="0.91"/>
    <n v="7.4999999999999997E-2"/>
    <n v="1500"/>
    <n v="32.1"/>
    <n v="200.3"/>
    <x v="93"/>
    <n v="21.6"/>
    <x v="348"/>
    <n v="0"/>
  </r>
  <r>
    <x v="8"/>
    <n v="9"/>
    <x v="4"/>
    <x v="3"/>
    <n v="4"/>
    <x v="1"/>
    <x v="0"/>
    <n v="2"/>
    <n v="194"/>
    <x v="394"/>
    <x v="394"/>
    <n v="1942351"/>
    <n v="0.01"/>
    <x v="129"/>
    <n v="2.9"/>
    <n v="135"/>
    <n v="0.91"/>
    <n v="7.4999999999999997E-2"/>
    <n v="1500"/>
    <n v="32.1"/>
    <n v="200.3"/>
    <x v="93"/>
    <n v="21.6"/>
    <x v="349"/>
    <n v="0"/>
  </r>
  <r>
    <x v="8"/>
    <n v="9"/>
    <x v="4"/>
    <x v="3"/>
    <n v="4"/>
    <x v="2"/>
    <x v="0"/>
    <n v="3"/>
    <n v="118"/>
    <x v="395"/>
    <x v="395"/>
    <n v="810774"/>
    <n v="0.01"/>
    <x v="129"/>
    <n v="2.9"/>
    <n v="135"/>
    <n v="0.91"/>
    <n v="7.4999999999999997E-2"/>
    <n v="1500"/>
    <n v="32.1"/>
    <n v="200.3"/>
    <x v="93"/>
    <n v="21.6"/>
    <x v="350"/>
    <n v="0"/>
  </r>
  <r>
    <x v="8"/>
    <n v="9"/>
    <x v="4"/>
    <x v="4"/>
    <n v="5"/>
    <x v="0"/>
    <x v="0"/>
    <n v="1"/>
    <n v="68"/>
    <x v="396"/>
    <x v="396"/>
    <n v="489166"/>
    <n v="0.01"/>
    <x v="130"/>
    <n v="3.8"/>
    <n v="141"/>
    <n v="0.95"/>
    <n v="7.6999999999999999E-2"/>
    <n v="1557"/>
    <n v="32.6"/>
    <n v="212.4"/>
    <x v="94"/>
    <n v="23.8"/>
    <x v="351"/>
    <n v="0"/>
  </r>
  <r>
    <x v="8"/>
    <n v="9"/>
    <x v="4"/>
    <x v="4"/>
    <n v="5"/>
    <x v="1"/>
    <x v="0"/>
    <n v="2"/>
    <n v="789"/>
    <x v="397"/>
    <x v="397"/>
    <n v="1971728"/>
    <n v="0.04"/>
    <x v="130"/>
    <n v="3.8"/>
    <n v="141"/>
    <n v="0.95"/>
    <n v="7.6999999999999999E-2"/>
    <n v="1557"/>
    <n v="32.6"/>
    <n v="212.4"/>
    <x v="94"/>
    <n v="23.8"/>
    <x v="33"/>
    <n v="0"/>
  </r>
  <r>
    <x v="8"/>
    <n v="9"/>
    <x v="4"/>
    <x v="4"/>
    <n v="5"/>
    <x v="2"/>
    <x v="0"/>
    <n v="3"/>
    <n v="484"/>
    <x v="398"/>
    <x v="398"/>
    <n v="834345"/>
    <n v="0.06"/>
    <x v="130"/>
    <n v="3.8"/>
    <n v="141"/>
    <n v="0.95"/>
    <n v="7.6999999999999999E-2"/>
    <n v="1557"/>
    <n v="32.6"/>
    <n v="212.4"/>
    <x v="94"/>
    <n v="23.8"/>
    <x v="33"/>
    <n v="0"/>
  </r>
  <r>
    <x v="8"/>
    <n v="9"/>
    <x v="4"/>
    <x v="5"/>
    <n v="6"/>
    <x v="0"/>
    <x v="0"/>
    <n v="1"/>
    <n v="91"/>
    <x v="399"/>
    <x v="399"/>
    <n v="520388"/>
    <n v="0.02"/>
    <x v="131"/>
    <n v="4.5999999999999996"/>
    <n v="158"/>
    <n v="0.97699999999999998"/>
    <n v="7.9000000000000001E-2"/>
    <n v="1599"/>
    <n v="32.9"/>
    <n v="221.9"/>
    <x v="95"/>
    <n v="24.9"/>
    <x v="352"/>
    <n v="0"/>
  </r>
  <r>
    <x v="8"/>
    <n v="9"/>
    <x v="4"/>
    <x v="5"/>
    <n v="6"/>
    <x v="1"/>
    <x v="0"/>
    <n v="2"/>
    <n v="1028"/>
    <x v="400"/>
    <x v="400"/>
    <n v="2055371"/>
    <n v="0.05"/>
    <x v="131"/>
    <n v="4.5999999999999996"/>
    <n v="158"/>
    <n v="0.97699999999999998"/>
    <n v="7.9000000000000001E-2"/>
    <n v="1599"/>
    <n v="32.9"/>
    <n v="221.9"/>
    <x v="95"/>
    <n v="24.9"/>
    <x v="353"/>
    <n v="0"/>
  </r>
  <r>
    <x v="8"/>
    <n v="9"/>
    <x v="4"/>
    <x v="5"/>
    <n v="6"/>
    <x v="2"/>
    <x v="0"/>
    <n v="3"/>
    <n v="624"/>
    <x v="401"/>
    <x v="401"/>
    <n v="861252"/>
    <n v="7.0000000000000007E-2"/>
    <x v="131"/>
    <n v="4.5999999999999996"/>
    <n v="158"/>
    <n v="0.97699999999999998"/>
    <n v="7.9000000000000001E-2"/>
    <n v="1599"/>
    <n v="32.9"/>
    <n v="221.9"/>
    <x v="95"/>
    <n v="24.9"/>
    <x v="354"/>
    <n v="0"/>
  </r>
  <r>
    <x v="8"/>
    <n v="9"/>
    <x v="4"/>
    <x v="6"/>
    <n v="7"/>
    <x v="0"/>
    <x v="0"/>
    <n v="1"/>
    <n v="156"/>
    <x v="402"/>
    <x v="402"/>
    <n v="557221"/>
    <n v="0.03"/>
    <x v="132"/>
    <n v="6.5"/>
    <n v="171"/>
    <n v="1.0129999999999999"/>
    <n v="0.08"/>
    <n v="1738"/>
    <n v="33.299999999999997"/>
    <n v="236.6"/>
    <x v="96"/>
    <n v="27.3"/>
    <x v="355"/>
    <n v="0"/>
  </r>
  <r>
    <x v="8"/>
    <n v="9"/>
    <x v="4"/>
    <x v="6"/>
    <n v="7"/>
    <x v="1"/>
    <x v="0"/>
    <n v="2"/>
    <n v="1787"/>
    <x v="403"/>
    <x v="403"/>
    <n v="2233195"/>
    <n v="0.08"/>
    <x v="132"/>
    <n v="6.5"/>
    <n v="171"/>
    <n v="1.0129999999999999"/>
    <n v="0.08"/>
    <n v="1738"/>
    <n v="33.299999999999997"/>
    <n v="236.6"/>
    <x v="96"/>
    <n v="27.3"/>
    <x v="356"/>
    <n v="0"/>
  </r>
  <r>
    <x v="8"/>
    <n v="9"/>
    <x v="4"/>
    <x v="6"/>
    <n v="7"/>
    <x v="2"/>
    <x v="0"/>
    <n v="3"/>
    <n v="1094"/>
    <x v="404"/>
    <x v="404"/>
    <n v="943490"/>
    <n v="0.12"/>
    <x v="132"/>
    <n v="6.5"/>
    <n v="171"/>
    <n v="1.0129999999999999"/>
    <n v="0.08"/>
    <n v="1738"/>
    <n v="33.299999999999997"/>
    <n v="236.6"/>
    <x v="96"/>
    <n v="27.3"/>
    <x v="357"/>
    <n v="0"/>
  </r>
  <r>
    <x v="8"/>
    <n v="9"/>
    <x v="4"/>
    <x v="7"/>
    <n v="8"/>
    <x v="0"/>
    <x v="0"/>
    <n v="1"/>
    <n v="213"/>
    <x v="405"/>
    <x v="405"/>
    <n v="609217"/>
    <n v="0.03"/>
    <x v="133"/>
    <n v="8.8000000000000007"/>
    <n v="200"/>
    <n v="1.0269999999999999"/>
    <n v="0.08"/>
    <n v="1879"/>
    <n v="33.700000000000003"/>
    <n v="247.3"/>
    <x v="97"/>
    <n v="31.7"/>
    <x v="358"/>
    <n v="0"/>
  </r>
  <r>
    <x v="8"/>
    <n v="9"/>
    <x v="4"/>
    <x v="7"/>
    <n v="8"/>
    <x v="1"/>
    <x v="0"/>
    <n v="2"/>
    <n v="2375"/>
    <x v="406"/>
    <x v="406"/>
    <n v="2375098"/>
    <n v="0.1"/>
    <x v="133"/>
    <n v="8.8000000000000007"/>
    <n v="200"/>
    <n v="1.0269999999999999"/>
    <n v="0.08"/>
    <n v="1879"/>
    <n v="33.700000000000003"/>
    <n v="247.3"/>
    <x v="97"/>
    <n v="31.7"/>
    <x v="359"/>
    <n v="0"/>
  </r>
  <r>
    <x v="8"/>
    <n v="9"/>
    <x v="4"/>
    <x v="7"/>
    <n v="8"/>
    <x v="2"/>
    <x v="0"/>
    <n v="3"/>
    <n v="1459"/>
    <x v="407"/>
    <x v="407"/>
    <n v="1006235"/>
    <n v="0.14000000000000001"/>
    <x v="133"/>
    <n v="8.8000000000000007"/>
    <n v="200"/>
    <n v="1.0269999999999999"/>
    <n v="0.08"/>
    <n v="1879"/>
    <n v="33.700000000000003"/>
    <n v="247.3"/>
    <x v="97"/>
    <n v="31.7"/>
    <x v="360"/>
    <n v="0"/>
  </r>
  <r>
    <x v="8"/>
    <n v="9"/>
    <x v="4"/>
    <x v="8"/>
    <n v="9"/>
    <x v="0"/>
    <x v="0"/>
    <n v="1"/>
    <n v="242"/>
    <x v="408"/>
    <x v="408"/>
    <n v="575630"/>
    <n v="0.04"/>
    <x v="134"/>
    <n v="10.199999999999999"/>
    <n v="247"/>
    <n v="1.0629999999999999"/>
    <n v="0.08"/>
    <n v="2026"/>
    <n v="34.1"/>
    <n v="259.2"/>
    <x v="98"/>
    <n v="32"/>
    <x v="361"/>
    <n v="0"/>
  </r>
  <r>
    <x v="8"/>
    <n v="9"/>
    <x v="4"/>
    <x v="8"/>
    <n v="9"/>
    <x v="1"/>
    <x v="0"/>
    <n v="2"/>
    <n v="2747"/>
    <x v="409"/>
    <x v="409"/>
    <n v="2288819"/>
    <n v="0.12"/>
    <x v="134"/>
    <n v="10.199999999999999"/>
    <n v="247"/>
    <n v="1.0629999999999999"/>
    <n v="0.08"/>
    <n v="2026"/>
    <n v="34.1"/>
    <n v="259.2"/>
    <x v="98"/>
    <n v="32"/>
    <x v="362"/>
    <n v="0"/>
  </r>
  <r>
    <x v="8"/>
    <n v="9"/>
    <x v="4"/>
    <x v="8"/>
    <n v="9"/>
    <x v="2"/>
    <x v="0"/>
    <n v="3"/>
    <n v="1682"/>
    <x v="410"/>
    <x v="410"/>
    <n v="966883"/>
    <n v="0.17"/>
    <x v="134"/>
    <n v="10.199999999999999"/>
    <n v="247"/>
    <n v="1.0629999999999999"/>
    <n v="0.08"/>
    <n v="2026"/>
    <n v="34.1"/>
    <n v="259.2"/>
    <x v="98"/>
    <n v="32"/>
    <x v="363"/>
    <n v="0"/>
  </r>
  <r>
    <x v="8"/>
    <n v="9"/>
    <x v="4"/>
    <x v="9"/>
    <n v="10"/>
    <x v="0"/>
    <x v="0"/>
    <n v="1"/>
    <n v="322"/>
    <x v="411"/>
    <x v="411"/>
    <n v="575783"/>
    <n v="0.06"/>
    <x v="135"/>
    <n v="13.1"/>
    <n v="272"/>
    <n v="1.087"/>
    <n v="0.08"/>
    <n v="2090"/>
    <n v="34.4"/>
    <n v="250.1"/>
    <x v="99"/>
    <n v="37.299999999999997"/>
    <x v="184"/>
    <n v="0"/>
  </r>
  <r>
    <x v="8"/>
    <n v="9"/>
    <x v="4"/>
    <x v="9"/>
    <n v="10"/>
    <x v="1"/>
    <x v="0"/>
    <n v="2"/>
    <n v="3668"/>
    <x v="412"/>
    <x v="412"/>
    <n v="2292792"/>
    <n v="0.16"/>
    <x v="135"/>
    <n v="13.1"/>
    <n v="272"/>
    <n v="1.087"/>
    <n v="0.08"/>
    <n v="2090"/>
    <n v="34.4"/>
    <n v="250.1"/>
    <x v="99"/>
    <n v="37.299999999999997"/>
    <x v="364"/>
    <n v="0"/>
  </r>
  <r>
    <x v="8"/>
    <n v="9"/>
    <x v="4"/>
    <x v="9"/>
    <n v="10"/>
    <x v="2"/>
    <x v="0"/>
    <n v="3"/>
    <n v="2232"/>
    <x v="413"/>
    <x v="413"/>
    <n v="961967"/>
    <n v="0.23"/>
    <x v="135"/>
    <n v="13.1"/>
    <n v="272"/>
    <n v="1.087"/>
    <n v="0.08"/>
    <n v="2090"/>
    <n v="34.4"/>
    <n v="250.1"/>
    <x v="99"/>
    <n v="37.299999999999997"/>
    <x v="365"/>
    <n v="0"/>
  </r>
  <r>
    <x v="8"/>
    <n v="9"/>
    <x v="4"/>
    <x v="10"/>
    <n v="11"/>
    <x v="0"/>
    <x v="0"/>
    <n v="1"/>
    <n v="250"/>
    <x v="414"/>
    <x v="414"/>
    <n v="446392"/>
    <n v="0.06"/>
    <x v="136"/>
    <n v="14.4"/>
    <n v="320"/>
    <n v="1.1299999999999999"/>
    <n v="8.1000000000000003E-2"/>
    <n v="2215"/>
    <n v="34.9"/>
    <n v="250.7"/>
    <x v="100"/>
    <n v="40.9"/>
    <x v="366"/>
    <n v="0"/>
  </r>
  <r>
    <x v="8"/>
    <n v="9"/>
    <x v="4"/>
    <x v="10"/>
    <n v="11"/>
    <x v="1"/>
    <x v="0"/>
    <n v="2"/>
    <n v="2876"/>
    <x v="415"/>
    <x v="415"/>
    <n v="1797514"/>
    <n v="0.16"/>
    <x v="136"/>
    <n v="14.4"/>
    <n v="320"/>
    <n v="1.1299999999999999"/>
    <n v="8.1000000000000003E-2"/>
    <n v="2215"/>
    <n v="34.9"/>
    <n v="250.7"/>
    <x v="100"/>
    <n v="40.9"/>
    <x v="367"/>
    <n v="0"/>
  </r>
  <r>
    <x v="8"/>
    <n v="9"/>
    <x v="4"/>
    <x v="10"/>
    <n v="11"/>
    <x v="2"/>
    <x v="0"/>
    <n v="3"/>
    <n v="1739"/>
    <x v="416"/>
    <x v="416"/>
    <n v="749586"/>
    <n v="0.23"/>
    <x v="136"/>
    <n v="14.4"/>
    <n v="320"/>
    <n v="1.1299999999999999"/>
    <n v="8.1000000000000003E-2"/>
    <n v="2215"/>
    <n v="34.9"/>
    <n v="250.7"/>
    <x v="100"/>
    <n v="40.9"/>
    <x v="368"/>
    <n v="0"/>
  </r>
  <r>
    <x v="8"/>
    <n v="9"/>
    <x v="4"/>
    <x v="11"/>
    <n v="12"/>
    <x v="0"/>
    <x v="0"/>
    <n v="1"/>
    <n v="763"/>
    <x v="417"/>
    <x v="417"/>
    <n v="558797"/>
    <n v="0.14000000000000001"/>
    <x v="137"/>
    <n v="17.100000000000001"/>
    <n v="339"/>
    <n v="1.1930000000000001"/>
    <n v="8.1000000000000003E-2"/>
    <n v="2292"/>
    <n v="35.200000000000003"/>
    <n v="253.2"/>
    <x v="101"/>
    <n v="43.2"/>
    <x v="369"/>
    <n v="0"/>
  </r>
  <r>
    <x v="8"/>
    <n v="9"/>
    <x v="4"/>
    <x v="11"/>
    <n v="12"/>
    <x v="1"/>
    <x v="0"/>
    <n v="2"/>
    <n v="8716"/>
    <x v="418"/>
    <x v="418"/>
    <n v="2234928"/>
    <n v="0.39"/>
    <x v="137"/>
    <n v="17.100000000000001"/>
    <n v="339"/>
    <n v="1.1930000000000001"/>
    <n v="8.1000000000000003E-2"/>
    <n v="2292"/>
    <n v="35.200000000000003"/>
    <n v="253.2"/>
    <x v="101"/>
    <n v="43.2"/>
    <x v="370"/>
    <n v="0"/>
  </r>
  <r>
    <x v="8"/>
    <n v="9"/>
    <x v="4"/>
    <x v="11"/>
    <n v="12"/>
    <x v="2"/>
    <x v="0"/>
    <n v="3"/>
    <n v="5310"/>
    <x v="419"/>
    <x v="419"/>
    <n v="938955"/>
    <n v="0.56999999999999995"/>
    <x v="137"/>
    <n v="17.100000000000001"/>
    <n v="339"/>
    <n v="1.1930000000000001"/>
    <n v="8.1000000000000003E-2"/>
    <n v="2292"/>
    <n v="35.200000000000003"/>
    <n v="253.2"/>
    <x v="101"/>
    <n v="43.2"/>
    <x v="371"/>
    <n v="0"/>
  </r>
  <r>
    <x v="8"/>
    <n v="9"/>
    <x v="4"/>
    <x v="12"/>
    <n v="13"/>
    <x v="0"/>
    <x v="0"/>
    <n v="1"/>
    <n v="2539"/>
    <x v="420"/>
    <x v="420"/>
    <n v="718377"/>
    <n v="0.35"/>
    <x v="138"/>
    <n v="20.100000000000001"/>
    <n v="362"/>
    <n v="1.2270000000000001"/>
    <n v="8.5000000000000006E-2"/>
    <n v="2394"/>
    <n v="35.6"/>
    <n v="272.7"/>
    <x v="102"/>
    <n v="47.4"/>
    <x v="372"/>
    <n v="0"/>
  </r>
  <r>
    <x v="8"/>
    <n v="9"/>
    <x v="4"/>
    <x v="12"/>
    <n v="13"/>
    <x v="1"/>
    <x v="0"/>
    <n v="2"/>
    <n v="29722"/>
    <x v="421"/>
    <x v="421"/>
    <n v="2942739"/>
    <n v="1.01"/>
    <x v="138"/>
    <n v="20.100000000000001"/>
    <n v="362"/>
    <n v="1.2270000000000001"/>
    <n v="8.5000000000000006E-2"/>
    <n v="2394"/>
    <n v="35.6"/>
    <n v="272.7"/>
    <x v="102"/>
    <n v="47.4"/>
    <x v="373"/>
    <n v="0"/>
  </r>
  <r>
    <x v="8"/>
    <n v="9"/>
    <x v="4"/>
    <x v="12"/>
    <n v="13"/>
    <x v="2"/>
    <x v="0"/>
    <n v="3"/>
    <n v="17745"/>
    <x v="422"/>
    <x v="422"/>
    <n v="1211675"/>
    <n v="1.46"/>
    <x v="138"/>
    <n v="20.100000000000001"/>
    <n v="362"/>
    <n v="1.2270000000000001"/>
    <n v="8.5000000000000006E-2"/>
    <n v="2394"/>
    <n v="35.6"/>
    <n v="272.7"/>
    <x v="102"/>
    <n v="47.4"/>
    <x v="374"/>
    <n v="0"/>
  </r>
  <r>
    <x v="8"/>
    <n v="9"/>
    <x v="4"/>
    <x v="13"/>
    <n v="14"/>
    <x v="0"/>
    <x v="0"/>
    <n v="1"/>
    <n v="4196"/>
    <x v="423"/>
    <x v="423"/>
    <n v="753948"/>
    <n v="0.56000000000000005"/>
    <x v="139"/>
    <n v="23"/>
    <n v="392"/>
    <n v="1.2729999999999999"/>
    <n v="8.7999999999999995E-2"/>
    <n v="2587"/>
    <n v="36.1"/>
    <n v="288.8"/>
    <x v="103"/>
    <n v="51.8"/>
    <x v="375"/>
    <n v="0"/>
  </r>
  <r>
    <x v="8"/>
    <n v="9"/>
    <x v="4"/>
    <x v="13"/>
    <n v="14"/>
    <x v="1"/>
    <x v="0"/>
    <n v="2"/>
    <n v="48242"/>
    <x v="424"/>
    <x v="424"/>
    <n v="3034070"/>
    <n v="1.59"/>
    <x v="139"/>
    <n v="23"/>
    <n v="392"/>
    <n v="1.2729999999999999"/>
    <n v="8.7999999999999995E-2"/>
    <n v="2587"/>
    <n v="36.1"/>
    <n v="288.8"/>
    <x v="103"/>
    <n v="51.8"/>
    <x v="376"/>
    <n v="0"/>
  </r>
  <r>
    <x v="8"/>
    <n v="9"/>
    <x v="4"/>
    <x v="13"/>
    <n v="14"/>
    <x v="2"/>
    <x v="0"/>
    <n v="3"/>
    <n v="28669"/>
    <x v="425"/>
    <x v="425"/>
    <n v="1243505"/>
    <n v="2.31"/>
    <x v="139"/>
    <n v="23"/>
    <n v="392"/>
    <n v="1.2729999999999999"/>
    <n v="8.7999999999999995E-2"/>
    <n v="2587"/>
    <n v="36.1"/>
    <n v="288.8"/>
    <x v="103"/>
    <n v="51.8"/>
    <x v="377"/>
    <n v="0"/>
  </r>
  <r>
    <x v="8"/>
    <n v="9"/>
    <x v="4"/>
    <x v="14"/>
    <n v="15"/>
    <x v="0"/>
    <x v="0"/>
    <n v="1"/>
    <n v="6134"/>
    <x v="426"/>
    <x v="426"/>
    <n v="818990"/>
    <n v="0.75"/>
    <x v="140"/>
    <n v="29"/>
    <n v="415"/>
    <n v="1.2529999999999999"/>
    <n v="0.09"/>
    <n v="2750"/>
    <n v="36.1"/>
    <n v="306.2"/>
    <x v="104"/>
    <n v="52.9"/>
    <x v="378"/>
    <n v="0"/>
  </r>
  <r>
    <x v="8"/>
    <n v="9"/>
    <x v="4"/>
    <x v="14"/>
    <n v="15"/>
    <x v="1"/>
    <x v="0"/>
    <n v="2"/>
    <n v="68707"/>
    <x v="427"/>
    <x v="427"/>
    <n v="3210622"/>
    <n v="2.14"/>
    <x v="140"/>
    <n v="29"/>
    <n v="415"/>
    <n v="1.2529999999999999"/>
    <n v="0.09"/>
    <n v="2750"/>
    <n v="36.1"/>
    <n v="306.2"/>
    <x v="104"/>
    <n v="52.9"/>
    <x v="319"/>
    <n v="0"/>
  </r>
  <r>
    <x v="8"/>
    <n v="9"/>
    <x v="4"/>
    <x v="14"/>
    <n v="15"/>
    <x v="2"/>
    <x v="0"/>
    <n v="3"/>
    <n v="41665"/>
    <x v="428"/>
    <x v="428"/>
    <n v="1342726"/>
    <n v="3.1"/>
    <x v="140"/>
    <n v="29"/>
    <n v="415"/>
    <n v="1.2529999999999999"/>
    <n v="0.09"/>
    <n v="2750"/>
    <n v="36.1"/>
    <n v="306.2"/>
    <x v="104"/>
    <n v="52.9"/>
    <x v="379"/>
    <n v="0"/>
  </r>
  <r>
    <x v="8"/>
    <n v="9"/>
    <x v="4"/>
    <x v="15"/>
    <n v="16"/>
    <x v="0"/>
    <x v="0"/>
    <n v="1"/>
    <n v="9164"/>
    <x v="429"/>
    <x v="429"/>
    <n v="820768"/>
    <n v="1.1200000000000001"/>
    <x v="141"/>
    <n v="31.1"/>
    <n v="436"/>
    <n v="1.24"/>
    <n v="9.0999999999999998E-2"/>
    <n v="2934"/>
    <n v="36.5"/>
    <n v="329"/>
    <x v="105"/>
    <n v="58.3"/>
    <x v="380"/>
    <n v="0"/>
  </r>
  <r>
    <x v="8"/>
    <n v="9"/>
    <x v="4"/>
    <x v="15"/>
    <n v="16"/>
    <x v="1"/>
    <x v="0"/>
    <n v="2"/>
    <n v="106863"/>
    <x v="430"/>
    <x v="430"/>
    <n v="3349949"/>
    <n v="3.19"/>
    <x v="141"/>
    <n v="31.1"/>
    <n v="436"/>
    <n v="1.24"/>
    <n v="9.0999999999999998E-2"/>
    <n v="2934"/>
    <n v="36.5"/>
    <n v="329"/>
    <x v="105"/>
    <n v="58.3"/>
    <x v="381"/>
    <n v="0"/>
  </r>
  <r>
    <x v="8"/>
    <n v="9"/>
    <x v="4"/>
    <x v="15"/>
    <n v="16"/>
    <x v="2"/>
    <x v="0"/>
    <n v="3"/>
    <n v="65242"/>
    <x v="431"/>
    <x v="431"/>
    <n v="1410479"/>
    <n v="4.63"/>
    <x v="141"/>
    <n v="31.1"/>
    <n v="436"/>
    <n v="1.24"/>
    <n v="9.0999999999999998E-2"/>
    <n v="2934"/>
    <n v="36.5"/>
    <n v="329"/>
    <x v="105"/>
    <n v="58.3"/>
    <x v="382"/>
    <n v="0"/>
  </r>
  <r>
    <x v="9"/>
    <n v="10"/>
    <x v="4"/>
    <x v="0"/>
    <n v="1"/>
    <x v="0"/>
    <x v="0"/>
    <n v="1"/>
    <n v="5"/>
    <x v="432"/>
    <x v="432"/>
    <n v="115724"/>
    <n v="0"/>
    <x v="0"/>
    <n v="0"/>
    <n v="108"/>
    <n v="0.4829"/>
    <n v="6.6989999999999994E-2"/>
    <n v="3118"/>
    <n v="49.9"/>
    <n v="108.3"/>
    <x v="0"/>
    <n v="19.484000000000002"/>
    <x v="0"/>
    <n v="0"/>
  </r>
  <r>
    <x v="9"/>
    <n v="10"/>
    <x v="4"/>
    <x v="0"/>
    <n v="1"/>
    <x v="1"/>
    <x v="0"/>
    <n v="2"/>
    <n v="15"/>
    <x v="433"/>
    <x v="433"/>
    <n v="461188"/>
    <n v="0"/>
    <x v="0"/>
    <n v="0"/>
    <n v="108"/>
    <n v="0.4829"/>
    <n v="6.6989999999999994E-2"/>
    <n v="3118"/>
    <n v="49.9"/>
    <n v="108.3"/>
    <x v="0"/>
    <n v="19.484000000000002"/>
    <x v="0"/>
    <n v="0"/>
  </r>
  <r>
    <x v="9"/>
    <n v="10"/>
    <x v="4"/>
    <x v="0"/>
    <n v="1"/>
    <x v="2"/>
    <x v="0"/>
    <n v="3"/>
    <n v="10"/>
    <x v="434"/>
    <x v="434"/>
    <n v="187872"/>
    <n v="0.01"/>
    <x v="0"/>
    <n v="0"/>
    <n v="108"/>
    <n v="0.4829"/>
    <n v="6.6989999999999994E-2"/>
    <n v="3118"/>
    <n v="49.9"/>
    <n v="108.3"/>
    <x v="0"/>
    <n v="19.484000000000002"/>
    <x v="0"/>
    <n v="0"/>
  </r>
  <r>
    <x v="9"/>
    <n v="10"/>
    <x v="4"/>
    <x v="1"/>
    <n v="2"/>
    <x v="0"/>
    <x v="0"/>
    <n v="1"/>
    <n v="5"/>
    <x v="435"/>
    <x v="435"/>
    <n v="143168"/>
    <n v="0"/>
    <x v="142"/>
    <n v="1"/>
    <n v="115"/>
    <n v="0.4829"/>
    <n v="6.6989999999999994E-2"/>
    <n v="3145"/>
    <n v="50.6"/>
    <n v="108.6"/>
    <x v="106"/>
    <n v="19.484000000000002"/>
    <x v="0"/>
    <n v="0"/>
  </r>
  <r>
    <x v="9"/>
    <n v="10"/>
    <x v="4"/>
    <x v="1"/>
    <n v="2"/>
    <x v="1"/>
    <x v="0"/>
    <n v="2"/>
    <n v="15"/>
    <x v="436"/>
    <x v="436"/>
    <n v="557631"/>
    <n v="0"/>
    <x v="142"/>
    <n v="1"/>
    <n v="115"/>
    <n v="0.4829"/>
    <n v="6.6989999999999994E-2"/>
    <n v="3145"/>
    <n v="50.6"/>
    <n v="108.6"/>
    <x v="106"/>
    <n v="19.484000000000002"/>
    <x v="0"/>
    <n v="0"/>
  </r>
  <r>
    <x v="9"/>
    <n v="10"/>
    <x v="4"/>
    <x v="1"/>
    <n v="2"/>
    <x v="2"/>
    <x v="0"/>
    <n v="3"/>
    <n v="10"/>
    <x v="437"/>
    <x v="437"/>
    <n v="234792"/>
    <n v="0"/>
    <x v="142"/>
    <n v="1"/>
    <n v="115"/>
    <n v="0.4829"/>
    <n v="6.6989999999999994E-2"/>
    <n v="3145"/>
    <n v="50.6"/>
    <n v="108.6"/>
    <x v="106"/>
    <n v="19.484000000000002"/>
    <x v="0"/>
    <n v="0"/>
  </r>
  <r>
    <x v="9"/>
    <n v="10"/>
    <x v="4"/>
    <x v="2"/>
    <n v="3"/>
    <x v="0"/>
    <x v="0"/>
    <n v="1"/>
    <n v="5"/>
    <x v="438"/>
    <x v="438"/>
    <n v="162169"/>
    <n v="0"/>
    <x v="143"/>
    <n v="2"/>
    <n v="129"/>
    <n v="0.4829"/>
    <n v="6.6989999999999994E-2"/>
    <n v="3110"/>
    <n v="51.4"/>
    <n v="111.9"/>
    <x v="107"/>
    <n v="19.484000000000002"/>
    <x v="0"/>
    <n v="0"/>
  </r>
  <r>
    <x v="9"/>
    <n v="10"/>
    <x v="4"/>
    <x v="2"/>
    <n v="3"/>
    <x v="1"/>
    <x v="0"/>
    <n v="2"/>
    <n v="15"/>
    <x v="439"/>
    <x v="439"/>
    <n v="655860"/>
    <n v="0"/>
    <x v="143"/>
    <n v="2"/>
    <n v="129"/>
    <n v="0.4829"/>
    <n v="6.6989999999999994E-2"/>
    <n v="3110"/>
    <n v="51.4"/>
    <n v="111.9"/>
    <x v="107"/>
    <n v="19.484000000000002"/>
    <x v="0"/>
    <n v="0"/>
  </r>
  <r>
    <x v="9"/>
    <n v="10"/>
    <x v="4"/>
    <x v="2"/>
    <n v="3"/>
    <x v="2"/>
    <x v="0"/>
    <n v="3"/>
    <n v="10"/>
    <x v="440"/>
    <x v="440"/>
    <n v="271346"/>
    <n v="0"/>
    <x v="143"/>
    <n v="2"/>
    <n v="129"/>
    <n v="0.4829"/>
    <n v="6.6989999999999994E-2"/>
    <n v="3110"/>
    <n v="51.4"/>
    <n v="111.9"/>
    <x v="107"/>
    <n v="19.484000000000002"/>
    <x v="0"/>
    <n v="0"/>
  </r>
  <r>
    <x v="9"/>
    <n v="10"/>
    <x v="4"/>
    <x v="3"/>
    <n v="4"/>
    <x v="0"/>
    <x v="0"/>
    <n v="1"/>
    <n v="5"/>
    <x v="441"/>
    <x v="441"/>
    <n v="185609"/>
    <n v="0"/>
    <x v="144"/>
    <n v="3.3"/>
    <n v="138"/>
    <n v="0.4829"/>
    <n v="6.6989999999999994E-2"/>
    <n v="3285"/>
    <n v="52"/>
    <n v="118"/>
    <x v="108"/>
    <n v="19.899999999999999"/>
    <x v="0"/>
    <n v="0"/>
  </r>
  <r>
    <x v="9"/>
    <n v="10"/>
    <x v="4"/>
    <x v="3"/>
    <n v="4"/>
    <x v="1"/>
    <x v="0"/>
    <n v="2"/>
    <n v="30"/>
    <x v="442"/>
    <x v="442"/>
    <n v="739613"/>
    <n v="0"/>
    <x v="144"/>
    <n v="3.3"/>
    <n v="138"/>
    <n v="0.4829"/>
    <n v="6.6989999999999994E-2"/>
    <n v="3285"/>
    <n v="52"/>
    <n v="118"/>
    <x v="108"/>
    <n v="19.899999999999999"/>
    <x v="383"/>
    <n v="0"/>
  </r>
  <r>
    <x v="9"/>
    <n v="10"/>
    <x v="4"/>
    <x v="3"/>
    <n v="4"/>
    <x v="2"/>
    <x v="0"/>
    <n v="3"/>
    <n v="17"/>
    <x v="443"/>
    <x v="443"/>
    <n v="311055"/>
    <n v="0.01"/>
    <x v="144"/>
    <n v="3.3"/>
    <n v="138"/>
    <n v="0.4829"/>
    <n v="6.6989999999999994E-2"/>
    <n v="3285"/>
    <n v="52"/>
    <n v="118"/>
    <x v="108"/>
    <n v="19.899999999999999"/>
    <x v="384"/>
    <n v="0"/>
  </r>
  <r>
    <x v="9"/>
    <n v="10"/>
    <x v="4"/>
    <x v="4"/>
    <n v="5"/>
    <x v="0"/>
    <x v="0"/>
    <n v="1"/>
    <n v="6"/>
    <x v="444"/>
    <x v="444"/>
    <n v="165965"/>
    <n v="0"/>
    <x v="145"/>
    <n v="4.0999999999999996"/>
    <n v="146"/>
    <n v="0.48299999999999998"/>
    <n v="6.8000000000000005E-2"/>
    <n v="3299"/>
    <n v="52.6"/>
    <n v="124.9"/>
    <x v="109"/>
    <n v="21"/>
    <x v="385"/>
    <n v="0"/>
  </r>
  <r>
    <x v="9"/>
    <n v="10"/>
    <x v="4"/>
    <x v="4"/>
    <n v="5"/>
    <x v="1"/>
    <x v="0"/>
    <n v="2"/>
    <n v="67"/>
    <x v="445"/>
    <x v="445"/>
    <n v="669489"/>
    <n v="0.01"/>
    <x v="145"/>
    <n v="4.0999999999999996"/>
    <n v="146"/>
    <n v="0.48299999999999998"/>
    <n v="6.8000000000000005E-2"/>
    <n v="3299"/>
    <n v="52.6"/>
    <n v="124.9"/>
    <x v="109"/>
    <n v="21"/>
    <x v="386"/>
    <n v="0"/>
  </r>
  <r>
    <x v="9"/>
    <n v="10"/>
    <x v="4"/>
    <x v="4"/>
    <n v="5"/>
    <x v="2"/>
    <x v="0"/>
    <n v="3"/>
    <n v="41"/>
    <x v="446"/>
    <x v="446"/>
    <n v="280911"/>
    <n v="0.01"/>
    <x v="145"/>
    <n v="4.0999999999999996"/>
    <n v="146"/>
    <n v="0.48299999999999998"/>
    <n v="6.8000000000000005E-2"/>
    <n v="3299"/>
    <n v="52.6"/>
    <n v="124.9"/>
    <x v="109"/>
    <n v="21"/>
    <x v="387"/>
    <n v="0"/>
  </r>
  <r>
    <x v="9"/>
    <n v="10"/>
    <x v="4"/>
    <x v="5"/>
    <n v="6"/>
    <x v="0"/>
    <x v="0"/>
    <n v="1"/>
    <n v="5"/>
    <x v="447"/>
    <x v="447"/>
    <n v="157070"/>
    <n v="0"/>
    <x v="146"/>
    <n v="4.8"/>
    <n v="154"/>
    <n v="0.51300000000000001"/>
    <n v="7.0999999999999994E-2"/>
    <n v="3341"/>
    <n v="53.9"/>
    <n v="130.80000000000001"/>
    <x v="110"/>
    <n v="21.8"/>
    <x v="0"/>
    <n v="0"/>
  </r>
  <r>
    <x v="9"/>
    <n v="10"/>
    <x v="4"/>
    <x v="5"/>
    <n v="6"/>
    <x v="1"/>
    <x v="0"/>
    <n v="2"/>
    <n v="62"/>
    <x v="448"/>
    <x v="448"/>
    <n v="619792"/>
    <n v="0.01"/>
    <x v="146"/>
    <n v="4.8"/>
    <n v="154"/>
    <n v="0.51300000000000001"/>
    <n v="7.0999999999999994E-2"/>
    <n v="3341"/>
    <n v="53.9"/>
    <n v="130.80000000000001"/>
    <x v="110"/>
    <n v="21.8"/>
    <x v="388"/>
    <n v="0"/>
  </r>
  <r>
    <x v="9"/>
    <n v="10"/>
    <x v="4"/>
    <x v="5"/>
    <n v="6"/>
    <x v="2"/>
    <x v="0"/>
    <n v="3"/>
    <n v="38"/>
    <x v="449"/>
    <x v="449"/>
    <n v="259641"/>
    <n v="0.01"/>
    <x v="146"/>
    <n v="4.8"/>
    <n v="154"/>
    <n v="0.51300000000000001"/>
    <n v="7.0999999999999994E-2"/>
    <n v="3341"/>
    <n v="53.9"/>
    <n v="130.80000000000001"/>
    <x v="110"/>
    <n v="21.8"/>
    <x v="389"/>
    <n v="0"/>
  </r>
  <r>
    <x v="9"/>
    <n v="10"/>
    <x v="4"/>
    <x v="6"/>
    <n v="7"/>
    <x v="0"/>
    <x v="0"/>
    <n v="1"/>
    <n v="11"/>
    <x v="450"/>
    <x v="450"/>
    <n v="155079"/>
    <n v="0.01"/>
    <x v="127"/>
    <n v="5.9"/>
    <n v="170"/>
    <n v="0.55300000000000005"/>
    <n v="7.1999999999999995E-2"/>
    <n v="3554"/>
    <n v="54.3"/>
    <n v="137.19999999999999"/>
    <x v="111"/>
    <n v="24.6"/>
    <x v="390"/>
    <n v="0"/>
  </r>
  <r>
    <x v="9"/>
    <n v="10"/>
    <x v="4"/>
    <x v="6"/>
    <n v="7"/>
    <x v="1"/>
    <x v="0"/>
    <n v="2"/>
    <n v="121"/>
    <x v="451"/>
    <x v="451"/>
    <n v="606377"/>
    <n v="0.02"/>
    <x v="127"/>
    <n v="5.9"/>
    <n v="170"/>
    <n v="0.55300000000000005"/>
    <n v="7.1999999999999995E-2"/>
    <n v="3554"/>
    <n v="54.3"/>
    <n v="137.19999999999999"/>
    <x v="111"/>
    <n v="24.6"/>
    <x v="391"/>
    <n v="0"/>
  </r>
  <r>
    <x v="9"/>
    <n v="10"/>
    <x v="4"/>
    <x v="6"/>
    <n v="7"/>
    <x v="2"/>
    <x v="0"/>
    <n v="3"/>
    <n v="75"/>
    <x v="452"/>
    <x v="452"/>
    <n v="257226"/>
    <n v="0.03"/>
    <x v="127"/>
    <n v="5.9"/>
    <n v="170"/>
    <n v="0.55300000000000005"/>
    <n v="7.1999999999999995E-2"/>
    <n v="3554"/>
    <n v="54.3"/>
    <n v="137.19999999999999"/>
    <x v="111"/>
    <n v="24.6"/>
    <x v="392"/>
    <n v="0"/>
  </r>
  <r>
    <x v="9"/>
    <n v="10"/>
    <x v="4"/>
    <x v="7"/>
    <n v="8"/>
    <x v="0"/>
    <x v="0"/>
    <n v="1"/>
    <n v="11"/>
    <x v="453"/>
    <x v="453"/>
    <n v="160021"/>
    <n v="0.01"/>
    <x v="147"/>
    <n v="7.4"/>
    <n v="192"/>
    <n v="0.59699999999999998"/>
    <n v="7.4999999999999997E-2"/>
    <n v="3719"/>
    <n v="55.2"/>
    <n v="143.9"/>
    <x v="112"/>
    <n v="26.3"/>
    <x v="243"/>
    <n v="0"/>
  </r>
  <r>
    <x v="9"/>
    <n v="10"/>
    <x v="4"/>
    <x v="7"/>
    <n v="8"/>
    <x v="1"/>
    <x v="0"/>
    <n v="2"/>
    <n v="132"/>
    <x v="454"/>
    <x v="454"/>
    <n v="660317"/>
    <n v="0.02"/>
    <x v="147"/>
    <n v="7.4"/>
    <n v="192"/>
    <n v="0.59699999999999998"/>
    <n v="7.4999999999999997E-2"/>
    <n v="3719"/>
    <n v="55.2"/>
    <n v="143.9"/>
    <x v="112"/>
    <n v="26.3"/>
    <x v="393"/>
    <n v="0"/>
  </r>
  <r>
    <x v="9"/>
    <n v="10"/>
    <x v="4"/>
    <x v="7"/>
    <n v="8"/>
    <x v="2"/>
    <x v="0"/>
    <n v="3"/>
    <n v="78"/>
    <x v="455"/>
    <x v="455"/>
    <n v="267974"/>
    <n v="0.03"/>
    <x v="147"/>
    <n v="7.4"/>
    <n v="192"/>
    <n v="0.59699999999999998"/>
    <n v="7.4999999999999997E-2"/>
    <n v="3719"/>
    <n v="55.2"/>
    <n v="143.9"/>
    <x v="112"/>
    <n v="26.3"/>
    <x v="394"/>
    <n v="0"/>
  </r>
  <r>
    <x v="9"/>
    <n v="10"/>
    <x v="4"/>
    <x v="8"/>
    <n v="9"/>
    <x v="0"/>
    <x v="0"/>
    <n v="1"/>
    <n v="17"/>
    <x v="456"/>
    <x v="456"/>
    <n v="159240"/>
    <n v="0.01"/>
    <x v="148"/>
    <n v="8.6999999999999993"/>
    <n v="239"/>
    <n v="0.64700000000000002"/>
    <n v="7.4999999999999997E-2"/>
    <n v="3880"/>
    <n v="55.4"/>
    <n v="150.5"/>
    <x v="113"/>
    <n v="26.6"/>
    <x v="139"/>
    <n v="0"/>
  </r>
  <r>
    <x v="9"/>
    <n v="10"/>
    <x v="4"/>
    <x v="8"/>
    <n v="9"/>
    <x v="1"/>
    <x v="0"/>
    <n v="2"/>
    <n v="194"/>
    <x v="457"/>
    <x v="457"/>
    <n v="646847"/>
    <n v="0.03"/>
    <x v="148"/>
    <n v="8.6999999999999993"/>
    <n v="239"/>
    <n v="0.64700000000000002"/>
    <n v="7.4999999999999997E-2"/>
    <n v="3880"/>
    <n v="55.4"/>
    <n v="150.5"/>
    <x v="113"/>
    <n v="26.6"/>
    <x v="395"/>
    <n v="0"/>
  </r>
  <r>
    <x v="9"/>
    <n v="10"/>
    <x v="4"/>
    <x v="8"/>
    <n v="9"/>
    <x v="2"/>
    <x v="0"/>
    <n v="3"/>
    <n v="116"/>
    <x v="458"/>
    <x v="458"/>
    <n v="267285"/>
    <n v="0.04"/>
    <x v="148"/>
    <n v="8.6999999999999993"/>
    <n v="239"/>
    <n v="0.64700000000000002"/>
    <n v="7.4999999999999997E-2"/>
    <n v="3880"/>
    <n v="55.4"/>
    <n v="150.5"/>
    <x v="113"/>
    <n v="26.6"/>
    <x v="154"/>
    <n v="0"/>
  </r>
  <r>
    <x v="9"/>
    <n v="10"/>
    <x v="4"/>
    <x v="9"/>
    <n v="10"/>
    <x v="0"/>
    <x v="0"/>
    <n v="1"/>
    <n v="41"/>
    <x v="459"/>
    <x v="459"/>
    <n v="148128"/>
    <n v="0.03"/>
    <x v="149"/>
    <n v="9.8000000000000007"/>
    <n v="273"/>
    <n v="0.71"/>
    <n v="7.8E-2"/>
    <n v="4059"/>
    <n v="56"/>
    <n v="145.30000000000001"/>
    <x v="114"/>
    <n v="30.2"/>
    <x v="396"/>
    <n v="0"/>
  </r>
  <r>
    <x v="9"/>
    <n v="10"/>
    <x v="4"/>
    <x v="9"/>
    <n v="10"/>
    <x v="1"/>
    <x v="0"/>
    <n v="2"/>
    <n v="468"/>
    <x v="460"/>
    <x v="460"/>
    <n v="585086"/>
    <n v="0.08"/>
    <x v="149"/>
    <n v="9.8000000000000007"/>
    <n v="273"/>
    <n v="0.71"/>
    <n v="7.8E-2"/>
    <n v="4059"/>
    <n v="56"/>
    <n v="145.30000000000001"/>
    <x v="114"/>
    <n v="30.2"/>
    <x v="397"/>
    <n v="0"/>
  </r>
  <r>
    <x v="9"/>
    <n v="10"/>
    <x v="4"/>
    <x v="9"/>
    <n v="10"/>
    <x v="2"/>
    <x v="0"/>
    <n v="3"/>
    <n v="293"/>
    <x v="461"/>
    <x v="461"/>
    <n v="252591"/>
    <n v="0.12"/>
    <x v="149"/>
    <n v="9.8000000000000007"/>
    <n v="273"/>
    <n v="0.71"/>
    <n v="7.8E-2"/>
    <n v="4059"/>
    <n v="56"/>
    <n v="145.30000000000001"/>
    <x v="114"/>
    <n v="30.2"/>
    <x v="398"/>
    <n v="0"/>
  </r>
  <r>
    <x v="9"/>
    <n v="10"/>
    <x v="4"/>
    <x v="10"/>
    <n v="11"/>
    <x v="0"/>
    <x v="0"/>
    <n v="1"/>
    <n v="25"/>
    <x v="462"/>
    <x v="462"/>
    <n v="79367"/>
    <n v="0.03"/>
    <x v="150"/>
    <n v="13"/>
    <n v="294"/>
    <n v="0.77700000000000002"/>
    <n v="7.9000000000000001E-2"/>
    <n v="4376"/>
    <n v="56.6"/>
    <n v="141.1"/>
    <x v="115"/>
    <n v="32.1"/>
    <x v="399"/>
    <n v="0"/>
  </r>
  <r>
    <x v="9"/>
    <n v="10"/>
    <x v="4"/>
    <x v="10"/>
    <n v="11"/>
    <x v="1"/>
    <x v="0"/>
    <n v="2"/>
    <n v="287"/>
    <x v="463"/>
    <x v="463"/>
    <n v="319058"/>
    <n v="0.09"/>
    <x v="150"/>
    <n v="13"/>
    <n v="294"/>
    <n v="0.77700000000000002"/>
    <n v="7.9000000000000001E-2"/>
    <n v="4376"/>
    <n v="56.6"/>
    <n v="141.1"/>
    <x v="115"/>
    <n v="32.1"/>
    <x v="400"/>
    <n v="0"/>
  </r>
  <r>
    <x v="9"/>
    <n v="10"/>
    <x v="4"/>
    <x v="10"/>
    <n v="11"/>
    <x v="2"/>
    <x v="0"/>
    <n v="3"/>
    <n v="173"/>
    <x v="464"/>
    <x v="464"/>
    <n v="132618"/>
    <n v="0.13"/>
    <x v="150"/>
    <n v="13"/>
    <n v="294"/>
    <n v="0.77700000000000002"/>
    <n v="7.9000000000000001E-2"/>
    <n v="4376"/>
    <n v="56.6"/>
    <n v="141.1"/>
    <x v="115"/>
    <n v="32.1"/>
    <x v="401"/>
    <n v="0"/>
  </r>
  <r>
    <x v="9"/>
    <n v="10"/>
    <x v="4"/>
    <x v="11"/>
    <n v="12"/>
    <x v="0"/>
    <x v="0"/>
    <n v="1"/>
    <n v="108"/>
    <x v="465"/>
    <x v="465"/>
    <n v="134422"/>
    <n v="0.08"/>
    <x v="151"/>
    <n v="15.5"/>
    <n v="334"/>
    <n v="0.85"/>
    <n v="8.1000000000000003E-2"/>
    <n v="4630"/>
    <n v="57.1"/>
    <n v="138.1"/>
    <x v="116"/>
    <n v="34.6"/>
    <x v="402"/>
    <n v="0"/>
  </r>
  <r>
    <x v="9"/>
    <n v="10"/>
    <x v="4"/>
    <x v="11"/>
    <n v="12"/>
    <x v="1"/>
    <x v="0"/>
    <n v="2"/>
    <n v="1226"/>
    <x v="466"/>
    <x v="466"/>
    <n v="533052"/>
    <n v="0.23"/>
    <x v="151"/>
    <n v="15.5"/>
    <n v="334"/>
    <n v="0.85"/>
    <n v="8.1000000000000003E-2"/>
    <n v="4630"/>
    <n v="57.1"/>
    <n v="138.1"/>
    <x v="116"/>
    <n v="34.6"/>
    <x v="33"/>
    <n v="0"/>
  </r>
  <r>
    <x v="9"/>
    <n v="10"/>
    <x v="4"/>
    <x v="11"/>
    <n v="12"/>
    <x v="2"/>
    <x v="0"/>
    <n v="3"/>
    <n v="751"/>
    <x v="467"/>
    <x v="467"/>
    <n v="225223"/>
    <n v="0.33"/>
    <x v="151"/>
    <n v="15.5"/>
    <n v="334"/>
    <n v="0.85"/>
    <n v="8.1000000000000003E-2"/>
    <n v="4630"/>
    <n v="57.1"/>
    <n v="138.1"/>
    <x v="116"/>
    <n v="34.6"/>
    <x v="33"/>
    <n v="0"/>
  </r>
  <r>
    <x v="9"/>
    <n v="10"/>
    <x v="4"/>
    <x v="12"/>
    <n v="13"/>
    <x v="0"/>
    <x v="0"/>
    <n v="1"/>
    <n v="511"/>
    <x v="468"/>
    <x v="468"/>
    <n v="153772"/>
    <n v="0.33"/>
    <x v="152"/>
    <n v="19.600000000000001"/>
    <n v="359"/>
    <n v="0.89700000000000002"/>
    <n v="8.5000000000000006E-2"/>
    <n v="4808"/>
    <n v="57.4"/>
    <n v="144.1"/>
    <x v="117"/>
    <n v="39.700000000000003"/>
    <x v="33"/>
    <n v="0"/>
  </r>
  <r>
    <x v="9"/>
    <n v="10"/>
    <x v="4"/>
    <x v="12"/>
    <n v="13"/>
    <x v="1"/>
    <x v="0"/>
    <n v="2"/>
    <n v="5821"/>
    <x v="469"/>
    <x v="469"/>
    <n v="612714"/>
    <n v="0.95"/>
    <x v="152"/>
    <n v="19.600000000000001"/>
    <n v="359"/>
    <n v="0.89700000000000002"/>
    <n v="8.5000000000000006E-2"/>
    <n v="4808"/>
    <n v="57.4"/>
    <n v="144.1"/>
    <x v="117"/>
    <n v="39.700000000000003"/>
    <x v="33"/>
    <n v="0"/>
  </r>
  <r>
    <x v="9"/>
    <n v="10"/>
    <x v="4"/>
    <x v="12"/>
    <n v="13"/>
    <x v="2"/>
    <x v="0"/>
    <n v="3"/>
    <n v="3500"/>
    <x v="470"/>
    <x v="470"/>
    <n v="254070"/>
    <n v="1.38"/>
    <x v="152"/>
    <n v="19.600000000000001"/>
    <n v="359"/>
    <n v="0.89700000000000002"/>
    <n v="8.5000000000000006E-2"/>
    <n v="4808"/>
    <n v="57.4"/>
    <n v="144.1"/>
    <x v="117"/>
    <n v="39.700000000000003"/>
    <x v="33"/>
    <n v="0"/>
  </r>
  <r>
    <x v="9"/>
    <n v="10"/>
    <x v="4"/>
    <x v="13"/>
    <n v="14"/>
    <x v="0"/>
    <x v="0"/>
    <n v="1"/>
    <n v="905"/>
    <x v="471"/>
    <x v="471"/>
    <n v="153049"/>
    <n v="0.59"/>
    <x v="153"/>
    <n v="21.7"/>
    <n v="384"/>
    <n v="0.91700000000000004"/>
    <n v="8.6999999999999994E-2"/>
    <n v="4960"/>
    <n v="58.2"/>
    <n v="148.5"/>
    <x v="118"/>
    <n v="41.6"/>
    <x v="403"/>
    <n v="0"/>
  </r>
  <r>
    <x v="9"/>
    <n v="10"/>
    <x v="4"/>
    <x v="13"/>
    <n v="14"/>
    <x v="1"/>
    <x v="0"/>
    <n v="2"/>
    <n v="10302"/>
    <x v="472"/>
    <x v="472"/>
    <n v="609572"/>
    <n v="1.69"/>
    <x v="153"/>
    <n v="21.7"/>
    <n v="384"/>
    <n v="0.91700000000000004"/>
    <n v="8.6999999999999994E-2"/>
    <n v="4960"/>
    <n v="58.2"/>
    <n v="148.5"/>
    <x v="118"/>
    <n v="41.6"/>
    <x v="404"/>
    <n v="0"/>
  </r>
  <r>
    <x v="9"/>
    <n v="10"/>
    <x v="4"/>
    <x v="13"/>
    <n v="14"/>
    <x v="2"/>
    <x v="0"/>
    <n v="3"/>
    <n v="6052"/>
    <x v="473"/>
    <x v="473"/>
    <n v="246987"/>
    <n v="2.4500000000000002"/>
    <x v="153"/>
    <n v="21.7"/>
    <n v="384"/>
    <n v="0.91700000000000004"/>
    <n v="8.6999999999999994E-2"/>
    <n v="4960"/>
    <n v="58.2"/>
    <n v="148.5"/>
    <x v="118"/>
    <n v="41.6"/>
    <x v="405"/>
    <n v="0"/>
  </r>
  <r>
    <x v="9"/>
    <n v="10"/>
    <x v="4"/>
    <x v="14"/>
    <n v="15"/>
    <x v="0"/>
    <x v="0"/>
    <n v="1"/>
    <n v="1517"/>
    <x v="474"/>
    <x v="474"/>
    <n v="155364"/>
    <n v="0.98"/>
    <x v="154"/>
    <n v="25.6"/>
    <n v="406"/>
    <n v="0.88700000000000001"/>
    <n v="8.7999999999999995E-2"/>
    <n v="5087"/>
    <n v="58.8"/>
    <n v="151.1"/>
    <x v="119"/>
    <n v="44.7"/>
    <x v="406"/>
    <n v="0"/>
  </r>
  <r>
    <x v="9"/>
    <n v="10"/>
    <x v="4"/>
    <x v="14"/>
    <n v="15"/>
    <x v="1"/>
    <x v="0"/>
    <n v="2"/>
    <n v="17555"/>
    <x v="475"/>
    <x v="475"/>
    <n v="629215"/>
    <n v="2.79"/>
    <x v="154"/>
    <n v="25.6"/>
    <n v="406"/>
    <n v="0.88700000000000001"/>
    <n v="8.7999999999999995E-2"/>
    <n v="5087"/>
    <n v="58.8"/>
    <n v="151.1"/>
    <x v="119"/>
    <n v="44.7"/>
    <x v="407"/>
    <n v="0"/>
  </r>
  <r>
    <x v="9"/>
    <n v="10"/>
    <x v="4"/>
    <x v="14"/>
    <n v="15"/>
    <x v="2"/>
    <x v="0"/>
    <n v="3"/>
    <n v="10544"/>
    <x v="476"/>
    <x v="476"/>
    <n v="260632"/>
    <n v="4.05"/>
    <x v="154"/>
    <n v="25.6"/>
    <n v="406"/>
    <n v="0.88700000000000001"/>
    <n v="8.7999999999999995E-2"/>
    <n v="5087"/>
    <n v="58.8"/>
    <n v="151.1"/>
    <x v="119"/>
    <n v="44.7"/>
    <x v="408"/>
    <n v="0"/>
  </r>
  <r>
    <x v="9"/>
    <n v="10"/>
    <x v="4"/>
    <x v="15"/>
    <n v="16"/>
    <x v="0"/>
    <x v="0"/>
    <n v="1"/>
    <n v="2166"/>
    <x v="477"/>
    <x v="477"/>
    <n v="158678"/>
    <n v="1.37"/>
    <x v="155"/>
    <n v="29.7"/>
    <n v="429"/>
    <n v="0.85"/>
    <n v="8.5999999999999993E-2"/>
    <n v="5253"/>
    <n v="59.1"/>
    <n v="154.69999999999999"/>
    <x v="120"/>
    <n v="48.7"/>
    <x v="409"/>
    <n v="0"/>
  </r>
  <r>
    <x v="9"/>
    <n v="10"/>
    <x v="4"/>
    <x v="15"/>
    <n v="16"/>
    <x v="1"/>
    <x v="0"/>
    <n v="2"/>
    <n v="25097"/>
    <x v="478"/>
    <x v="478"/>
    <n v="643512"/>
    <n v="3.9"/>
    <x v="155"/>
    <n v="29.7"/>
    <n v="429"/>
    <n v="0.85"/>
    <n v="8.5999999999999993E-2"/>
    <n v="5253"/>
    <n v="59.1"/>
    <n v="154.69999999999999"/>
    <x v="120"/>
    <n v="48.7"/>
    <x v="156"/>
    <n v="0"/>
  </r>
  <r>
    <x v="9"/>
    <n v="10"/>
    <x v="4"/>
    <x v="15"/>
    <n v="16"/>
    <x v="2"/>
    <x v="0"/>
    <n v="3"/>
    <n v="14956"/>
    <x v="479"/>
    <x v="479"/>
    <n v="264477"/>
    <n v="5.65"/>
    <x v="155"/>
    <n v="29.7"/>
    <n v="429"/>
    <n v="0.85"/>
    <n v="8.5999999999999993E-2"/>
    <n v="5253"/>
    <n v="59.1"/>
    <n v="154.69999999999999"/>
    <x v="120"/>
    <n v="48.7"/>
    <x v="410"/>
    <n v="0"/>
  </r>
  <r>
    <x v="10"/>
    <n v="11"/>
    <x v="1"/>
    <x v="0"/>
    <n v="1"/>
    <x v="0"/>
    <x v="0"/>
    <n v="1"/>
    <n v="7"/>
    <x v="480"/>
    <x v="480"/>
    <n v="289126"/>
    <n v="0"/>
    <x v="156"/>
    <n v="2.1"/>
    <n v="123"/>
    <n v="1.48"/>
    <n v="0.22600000000000001"/>
    <n v="35991"/>
    <n v="68.5"/>
    <n v="110.6"/>
    <x v="0"/>
    <n v="49.7"/>
    <x v="0"/>
    <n v="0"/>
  </r>
  <r>
    <x v="10"/>
    <n v="11"/>
    <x v="1"/>
    <x v="0"/>
    <n v="1"/>
    <x v="1"/>
    <x v="0"/>
    <n v="2"/>
    <n v="102"/>
    <x v="481"/>
    <x v="481"/>
    <n v="1193749"/>
    <n v="0.01"/>
    <x v="156"/>
    <n v="2.1"/>
    <n v="123"/>
    <n v="1.48"/>
    <n v="0.22600000000000001"/>
    <n v="35991"/>
    <n v="68.5"/>
    <n v="110.6"/>
    <x v="0"/>
    <n v="49.7"/>
    <x v="0"/>
    <n v="0"/>
  </r>
  <r>
    <x v="10"/>
    <n v="11"/>
    <x v="1"/>
    <x v="0"/>
    <n v="1"/>
    <x v="2"/>
    <x v="0"/>
    <n v="3"/>
    <n v="54"/>
    <x v="482"/>
    <x v="482"/>
    <n v="487960"/>
    <n v="0.01"/>
    <x v="156"/>
    <n v="2.1"/>
    <n v="123"/>
    <n v="1.48"/>
    <n v="0.22600000000000001"/>
    <n v="35991"/>
    <n v="68.5"/>
    <n v="110.6"/>
    <x v="0"/>
    <n v="49.7"/>
    <x v="0"/>
    <n v="0"/>
  </r>
  <r>
    <x v="10"/>
    <n v="11"/>
    <x v="1"/>
    <x v="1"/>
    <n v="2"/>
    <x v="0"/>
    <x v="0"/>
    <n v="1"/>
    <n v="18"/>
    <x v="483"/>
    <x v="483"/>
    <n v="259102"/>
    <n v="0.01"/>
    <x v="157"/>
    <n v="2.7"/>
    <n v="130"/>
    <n v="1.5129999999999999"/>
    <n v="0.22700000000000001"/>
    <n v="33736"/>
    <n v="68.8"/>
    <n v="107.6"/>
    <x v="121"/>
    <n v="51.4"/>
    <x v="411"/>
    <n v="0"/>
  </r>
  <r>
    <x v="10"/>
    <n v="11"/>
    <x v="1"/>
    <x v="1"/>
    <n v="2"/>
    <x v="1"/>
    <x v="0"/>
    <n v="2"/>
    <n v="207"/>
    <x v="484"/>
    <x v="484"/>
    <n v="1034141"/>
    <n v="0.02"/>
    <x v="157"/>
    <n v="2.7"/>
    <n v="130"/>
    <n v="1.5129999999999999"/>
    <n v="0.22700000000000001"/>
    <n v="33736"/>
    <n v="68.8"/>
    <n v="107.6"/>
    <x v="121"/>
    <n v="51.4"/>
    <x v="412"/>
    <n v="0"/>
  </r>
  <r>
    <x v="10"/>
    <n v="11"/>
    <x v="1"/>
    <x v="1"/>
    <n v="2"/>
    <x v="2"/>
    <x v="0"/>
    <n v="3"/>
    <n v="122"/>
    <x v="485"/>
    <x v="485"/>
    <n v="420418"/>
    <n v="0.03"/>
    <x v="157"/>
    <n v="2.7"/>
    <n v="130"/>
    <n v="1.5129999999999999"/>
    <n v="0.22700000000000001"/>
    <n v="33736"/>
    <n v="68.8"/>
    <n v="107.6"/>
    <x v="121"/>
    <n v="51.4"/>
    <x v="413"/>
    <n v="0"/>
  </r>
  <r>
    <x v="10"/>
    <n v="11"/>
    <x v="1"/>
    <x v="2"/>
    <n v="3"/>
    <x v="0"/>
    <x v="0"/>
    <n v="1"/>
    <n v="24"/>
    <x v="486"/>
    <x v="486"/>
    <n v="227193"/>
    <n v="0.01"/>
    <x v="158"/>
    <n v="3.3"/>
    <n v="146"/>
    <n v="1.5269999999999999"/>
    <n v="0.23100000000000001"/>
    <n v="33628"/>
    <n v="68.400000000000006"/>
    <n v="105.7"/>
    <x v="122"/>
    <n v="53"/>
    <x v="414"/>
    <n v="0"/>
  </r>
  <r>
    <x v="10"/>
    <n v="11"/>
    <x v="1"/>
    <x v="2"/>
    <n v="3"/>
    <x v="1"/>
    <x v="0"/>
    <n v="2"/>
    <n v="271"/>
    <x v="487"/>
    <x v="487"/>
    <n v="904906"/>
    <n v="0.03"/>
    <x v="158"/>
    <n v="3.3"/>
    <n v="146"/>
    <n v="1.5269999999999999"/>
    <n v="0.23100000000000001"/>
    <n v="33628"/>
    <n v="68.400000000000006"/>
    <n v="105.7"/>
    <x v="122"/>
    <n v="53"/>
    <x v="415"/>
    <n v="0"/>
  </r>
  <r>
    <x v="10"/>
    <n v="11"/>
    <x v="1"/>
    <x v="2"/>
    <n v="3"/>
    <x v="2"/>
    <x v="0"/>
    <n v="3"/>
    <n v="166"/>
    <x v="488"/>
    <x v="488"/>
    <n v="381360"/>
    <n v="0.04"/>
    <x v="158"/>
    <n v="3.3"/>
    <n v="146"/>
    <n v="1.5269999999999999"/>
    <n v="0.23100000000000001"/>
    <n v="33628"/>
    <n v="68.400000000000006"/>
    <n v="105.7"/>
    <x v="122"/>
    <n v="53"/>
    <x v="416"/>
    <n v="0"/>
  </r>
  <r>
    <x v="10"/>
    <n v="11"/>
    <x v="1"/>
    <x v="3"/>
    <n v="4"/>
    <x v="0"/>
    <x v="0"/>
    <n v="1"/>
    <n v="54"/>
    <x v="489"/>
    <x v="489"/>
    <n v="191146"/>
    <n v="0.03"/>
    <x v="159"/>
    <n v="3.7"/>
    <n v="153"/>
    <n v="1.53"/>
    <n v="0.23899999999999999"/>
    <n v="33153"/>
    <n v="68.8"/>
    <n v="105.1"/>
    <x v="123"/>
    <n v="54.6"/>
    <x v="417"/>
    <n v="0"/>
  </r>
  <r>
    <x v="10"/>
    <n v="11"/>
    <x v="1"/>
    <x v="3"/>
    <n v="4"/>
    <x v="1"/>
    <x v="0"/>
    <n v="2"/>
    <n v="605"/>
    <x v="490"/>
    <x v="490"/>
    <n v="755676"/>
    <n v="0.08"/>
    <x v="159"/>
    <n v="3.7"/>
    <n v="153"/>
    <n v="1.53"/>
    <n v="0.23899999999999999"/>
    <n v="33153"/>
    <n v="68.8"/>
    <n v="105.1"/>
    <x v="123"/>
    <n v="54.6"/>
    <x v="418"/>
    <n v="0"/>
  </r>
  <r>
    <x v="10"/>
    <n v="11"/>
    <x v="1"/>
    <x v="3"/>
    <n v="4"/>
    <x v="2"/>
    <x v="0"/>
    <n v="3"/>
    <n v="379"/>
    <x v="491"/>
    <x v="491"/>
    <n v="326582"/>
    <n v="0.12"/>
    <x v="159"/>
    <n v="3.7"/>
    <n v="153"/>
    <n v="1.53"/>
    <n v="0.23899999999999999"/>
    <n v="33153"/>
    <n v="68.8"/>
    <n v="105.1"/>
    <x v="123"/>
    <n v="54.6"/>
    <x v="419"/>
    <n v="0"/>
  </r>
  <r>
    <x v="10"/>
    <n v="11"/>
    <x v="1"/>
    <x v="4"/>
    <n v="5"/>
    <x v="0"/>
    <x v="0"/>
    <n v="1"/>
    <n v="76"/>
    <x v="492"/>
    <x v="492"/>
    <n v="216461"/>
    <n v="0.04"/>
    <x v="160"/>
    <n v="4.4000000000000004"/>
    <n v="154"/>
    <n v="1.5469999999999999"/>
    <n v="0.24399999999999999"/>
    <n v="31584"/>
    <n v="68.900000000000006"/>
    <n v="101.7"/>
    <x v="124"/>
    <n v="56.4"/>
    <x v="420"/>
    <n v="0"/>
  </r>
  <r>
    <x v="10"/>
    <n v="11"/>
    <x v="1"/>
    <x v="4"/>
    <n v="5"/>
    <x v="1"/>
    <x v="0"/>
    <n v="2"/>
    <n v="867"/>
    <x v="493"/>
    <x v="493"/>
    <n v="866886"/>
    <n v="0.1"/>
    <x v="160"/>
    <n v="4.4000000000000004"/>
    <n v="154"/>
    <n v="1.5469999999999999"/>
    <n v="0.24399999999999999"/>
    <n v="31584"/>
    <n v="68.900000000000006"/>
    <n v="101.7"/>
    <x v="124"/>
    <n v="56.4"/>
    <x v="421"/>
    <n v="0"/>
  </r>
  <r>
    <x v="10"/>
    <n v="11"/>
    <x v="1"/>
    <x v="4"/>
    <n v="5"/>
    <x v="2"/>
    <x v="0"/>
    <n v="3"/>
    <n v="525"/>
    <x v="494"/>
    <x v="494"/>
    <n v="362005"/>
    <n v="0.15"/>
    <x v="160"/>
    <n v="4.4000000000000004"/>
    <n v="154"/>
    <n v="1.5469999999999999"/>
    <n v="0.24399999999999999"/>
    <n v="31584"/>
    <n v="68.900000000000006"/>
    <n v="101.7"/>
    <x v="124"/>
    <n v="56.4"/>
    <x v="422"/>
    <n v="0"/>
  </r>
  <r>
    <x v="10"/>
    <n v="11"/>
    <x v="1"/>
    <x v="5"/>
    <n v="6"/>
    <x v="0"/>
    <x v="0"/>
    <n v="1"/>
    <n v="108"/>
    <x v="495"/>
    <x v="495"/>
    <n v="238347"/>
    <n v="0.05"/>
    <x v="161"/>
    <n v="5.5"/>
    <n v="175"/>
    <n v="1.5629999999999999"/>
    <n v="0.251"/>
    <n v="29917"/>
    <n v="69.099999999999994"/>
    <n v="100"/>
    <x v="125"/>
    <n v="57.5"/>
    <x v="423"/>
    <n v="0"/>
  </r>
  <r>
    <x v="10"/>
    <n v="11"/>
    <x v="1"/>
    <x v="5"/>
    <n v="6"/>
    <x v="1"/>
    <x v="0"/>
    <n v="2"/>
    <n v="1239"/>
    <x v="496"/>
    <x v="496"/>
    <n v="953355"/>
    <n v="0.13"/>
    <x v="161"/>
    <n v="5.5"/>
    <n v="175"/>
    <n v="1.5629999999999999"/>
    <n v="0.251"/>
    <n v="29917"/>
    <n v="69.099999999999994"/>
    <n v="100"/>
    <x v="125"/>
    <n v="57.5"/>
    <x v="318"/>
    <n v="0"/>
  </r>
  <r>
    <x v="10"/>
    <n v="11"/>
    <x v="1"/>
    <x v="5"/>
    <n v="6"/>
    <x v="2"/>
    <x v="0"/>
    <n v="3"/>
    <n v="753"/>
    <x v="497"/>
    <x v="497"/>
    <n v="399285"/>
    <n v="0.19"/>
    <x v="161"/>
    <n v="5.5"/>
    <n v="175"/>
    <n v="1.5629999999999999"/>
    <n v="0.251"/>
    <n v="29917"/>
    <n v="69.099999999999994"/>
    <n v="100"/>
    <x v="125"/>
    <n v="57.5"/>
    <x v="424"/>
    <n v="0"/>
  </r>
  <r>
    <x v="10"/>
    <n v="11"/>
    <x v="1"/>
    <x v="6"/>
    <n v="7"/>
    <x v="0"/>
    <x v="0"/>
    <n v="1"/>
    <n v="136"/>
    <x v="498"/>
    <x v="498"/>
    <n v="277779"/>
    <n v="0.05"/>
    <x v="162"/>
    <n v="5.9"/>
    <n v="191"/>
    <n v="1.577"/>
    <n v="0.252"/>
    <n v="31725"/>
    <n v="69.400000000000006"/>
    <n v="99.2"/>
    <x v="126"/>
    <n v="60.2"/>
    <x v="425"/>
    <n v="0"/>
  </r>
  <r>
    <x v="10"/>
    <n v="11"/>
    <x v="1"/>
    <x v="6"/>
    <n v="7"/>
    <x v="1"/>
    <x v="0"/>
    <n v="2"/>
    <n v="1534"/>
    <x v="499"/>
    <x v="499"/>
    <n v="1095816"/>
    <n v="0.14000000000000001"/>
    <x v="162"/>
    <n v="5.9"/>
    <n v="191"/>
    <n v="1.577"/>
    <n v="0.252"/>
    <n v="31725"/>
    <n v="69.400000000000006"/>
    <n v="99.2"/>
    <x v="126"/>
    <n v="60.2"/>
    <x v="426"/>
    <n v="0"/>
  </r>
  <r>
    <x v="10"/>
    <n v="11"/>
    <x v="1"/>
    <x v="6"/>
    <n v="7"/>
    <x v="2"/>
    <x v="0"/>
    <n v="3"/>
    <n v="924"/>
    <x v="500"/>
    <x v="500"/>
    <n v="454942"/>
    <n v="0.2"/>
    <x v="162"/>
    <n v="5.9"/>
    <n v="191"/>
    <n v="1.577"/>
    <n v="0.252"/>
    <n v="31725"/>
    <n v="69.400000000000006"/>
    <n v="99.2"/>
    <x v="126"/>
    <n v="60.2"/>
    <x v="427"/>
    <n v="0"/>
  </r>
  <r>
    <x v="10"/>
    <n v="11"/>
    <x v="1"/>
    <x v="7"/>
    <n v="8"/>
    <x v="0"/>
    <x v="0"/>
    <n v="1"/>
    <n v="319"/>
    <x v="501"/>
    <x v="501"/>
    <n v="294321"/>
    <n v="0.11"/>
    <x v="163"/>
    <n v="7"/>
    <n v="223"/>
    <n v="1.5669999999999999"/>
    <n v="0.25800000000000001"/>
    <n v="31490"/>
    <n v="69.8"/>
    <n v="99.2"/>
    <x v="127"/>
    <n v="61.5"/>
    <x v="428"/>
    <n v="0"/>
  </r>
  <r>
    <x v="10"/>
    <n v="11"/>
    <x v="1"/>
    <x v="7"/>
    <n v="8"/>
    <x v="1"/>
    <x v="0"/>
    <n v="2"/>
    <n v="3768"/>
    <x v="502"/>
    <x v="502"/>
    <n v="1215333"/>
    <n v="0.31"/>
    <x v="163"/>
    <n v="7"/>
    <n v="223"/>
    <n v="1.5669999999999999"/>
    <n v="0.25800000000000001"/>
    <n v="31490"/>
    <n v="69.8"/>
    <n v="99.2"/>
    <x v="127"/>
    <n v="61.5"/>
    <x v="429"/>
    <n v="0"/>
  </r>
  <r>
    <x v="10"/>
    <n v="11"/>
    <x v="1"/>
    <x v="7"/>
    <n v="8"/>
    <x v="2"/>
    <x v="0"/>
    <n v="3"/>
    <n v="2280"/>
    <x v="503"/>
    <x v="503"/>
    <n v="507163"/>
    <n v="0.45"/>
    <x v="163"/>
    <n v="7"/>
    <n v="223"/>
    <n v="1.5669999999999999"/>
    <n v="0.25800000000000001"/>
    <n v="31490"/>
    <n v="69.8"/>
    <n v="99.2"/>
    <x v="127"/>
    <n v="61.5"/>
    <x v="430"/>
    <n v="0"/>
  </r>
  <r>
    <x v="10"/>
    <n v="11"/>
    <x v="1"/>
    <x v="8"/>
    <n v="9"/>
    <x v="0"/>
    <x v="0"/>
    <n v="1"/>
    <n v="520"/>
    <x v="504"/>
    <x v="504"/>
    <n v="291088"/>
    <n v="0.18"/>
    <x v="164"/>
    <n v="7.6"/>
    <n v="262"/>
    <n v="1.593"/>
    <n v="0.25900000000000001"/>
    <n v="32673"/>
    <n v="70.3"/>
    <n v="97.1"/>
    <x v="128"/>
    <n v="66.099999999999994"/>
    <x v="431"/>
    <n v="0"/>
  </r>
  <r>
    <x v="10"/>
    <n v="11"/>
    <x v="1"/>
    <x v="8"/>
    <n v="9"/>
    <x v="1"/>
    <x v="0"/>
    <n v="2"/>
    <n v="5963"/>
    <x v="505"/>
    <x v="505"/>
    <n v="1169121"/>
    <n v="0.51"/>
    <x v="164"/>
    <n v="7.6"/>
    <n v="262"/>
    <n v="1.593"/>
    <n v="0.25900000000000001"/>
    <n v="32673"/>
    <n v="70.3"/>
    <n v="97.1"/>
    <x v="128"/>
    <n v="66.099999999999994"/>
    <x v="432"/>
    <n v="0"/>
  </r>
  <r>
    <x v="10"/>
    <n v="11"/>
    <x v="1"/>
    <x v="8"/>
    <n v="9"/>
    <x v="2"/>
    <x v="0"/>
    <n v="3"/>
    <n v="3565"/>
    <x v="506"/>
    <x v="506"/>
    <n v="482068"/>
    <n v="0.74"/>
    <x v="164"/>
    <n v="7.6"/>
    <n v="262"/>
    <n v="1.593"/>
    <n v="0.25900000000000001"/>
    <n v="32673"/>
    <n v="70.3"/>
    <n v="97.1"/>
    <x v="128"/>
    <n v="66.099999999999994"/>
    <x v="433"/>
    <n v="0"/>
  </r>
  <r>
    <x v="10"/>
    <n v="11"/>
    <x v="1"/>
    <x v="9"/>
    <n v="10"/>
    <x v="0"/>
    <x v="0"/>
    <n v="1"/>
    <n v="905"/>
    <x v="507"/>
    <x v="507"/>
    <n v="290399"/>
    <n v="0.31"/>
    <x v="165"/>
    <n v="7.6"/>
    <n v="299"/>
    <n v="1.653"/>
    <n v="0.26700000000000002"/>
    <n v="32947"/>
    <n v="70.400000000000006"/>
    <n v="90.5"/>
    <x v="129"/>
    <n v="68.3"/>
    <x v="434"/>
    <n v="0"/>
  </r>
  <r>
    <x v="10"/>
    <n v="11"/>
    <x v="1"/>
    <x v="9"/>
    <n v="10"/>
    <x v="1"/>
    <x v="0"/>
    <n v="2"/>
    <n v="10387"/>
    <x v="508"/>
    <x v="508"/>
    <n v="1167111"/>
    <n v="0.89"/>
    <x v="165"/>
    <n v="7.6"/>
    <n v="299"/>
    <n v="1.653"/>
    <n v="0.26700000000000002"/>
    <n v="32947"/>
    <n v="70.400000000000006"/>
    <n v="90.5"/>
    <x v="129"/>
    <n v="68.3"/>
    <x v="435"/>
    <n v="0"/>
  </r>
  <r>
    <x v="10"/>
    <n v="11"/>
    <x v="1"/>
    <x v="9"/>
    <n v="10"/>
    <x v="2"/>
    <x v="0"/>
    <n v="3"/>
    <n v="6225"/>
    <x v="509"/>
    <x v="509"/>
    <n v="482394"/>
    <n v="1.29"/>
    <x v="165"/>
    <n v="7.6"/>
    <n v="299"/>
    <n v="1.653"/>
    <n v="0.26700000000000002"/>
    <n v="32947"/>
    <n v="70.400000000000006"/>
    <n v="90.5"/>
    <x v="129"/>
    <n v="68.3"/>
    <x v="436"/>
    <n v="0"/>
  </r>
  <r>
    <x v="10"/>
    <n v="11"/>
    <x v="1"/>
    <x v="10"/>
    <n v="11"/>
    <x v="0"/>
    <x v="0"/>
    <n v="1"/>
    <n v="3323"/>
    <x v="510"/>
    <x v="510"/>
    <n v="204180"/>
    <n v="1.63"/>
    <x v="166"/>
    <n v="11.1"/>
    <n v="345"/>
    <n v="1.79"/>
    <n v="0.29499999999999998"/>
    <n v="32676"/>
    <n v="71.5"/>
    <n v="86.5"/>
    <x v="130"/>
    <n v="72.599999999999994"/>
    <x v="437"/>
    <n v="0"/>
  </r>
  <r>
    <x v="10"/>
    <n v="11"/>
    <x v="1"/>
    <x v="10"/>
    <n v="11"/>
    <x v="1"/>
    <x v="0"/>
    <n v="2"/>
    <n v="37366"/>
    <x v="511"/>
    <x v="511"/>
    <n v="803567"/>
    <n v="4.6500000000000004"/>
    <x v="166"/>
    <n v="11.1"/>
    <n v="345"/>
    <n v="1.79"/>
    <n v="0.29499999999999998"/>
    <n v="32676"/>
    <n v="71.5"/>
    <n v="86.5"/>
    <x v="130"/>
    <n v="72.599999999999994"/>
    <x v="438"/>
    <n v="0"/>
  </r>
  <r>
    <x v="10"/>
    <n v="11"/>
    <x v="1"/>
    <x v="10"/>
    <n v="11"/>
    <x v="2"/>
    <x v="0"/>
    <n v="3"/>
    <n v="22713"/>
    <x v="512"/>
    <x v="512"/>
    <n v="336867"/>
    <n v="6.74"/>
    <x v="166"/>
    <n v="11.1"/>
    <n v="345"/>
    <n v="1.79"/>
    <n v="0.29499999999999998"/>
    <n v="32676"/>
    <n v="71.5"/>
    <n v="86.5"/>
    <x v="130"/>
    <n v="72.599999999999994"/>
    <x v="439"/>
    <n v="0"/>
  </r>
  <r>
    <x v="10"/>
    <n v="11"/>
    <x v="1"/>
    <x v="11"/>
    <n v="12"/>
    <x v="0"/>
    <x v="0"/>
    <n v="1"/>
    <n v="7689"/>
    <x v="513"/>
    <x v="513"/>
    <n v="221222"/>
    <n v="3.48"/>
    <x v="167"/>
    <n v="12.4"/>
    <n v="377"/>
    <n v="1.96"/>
    <n v="0.34899999999999998"/>
    <n v="33894"/>
    <n v="71.2"/>
    <n v="84.6"/>
    <x v="131"/>
    <n v="73.599999999999994"/>
    <x v="440"/>
    <n v="0"/>
  </r>
  <r>
    <x v="10"/>
    <n v="11"/>
    <x v="1"/>
    <x v="11"/>
    <n v="12"/>
    <x v="1"/>
    <x v="0"/>
    <n v="2"/>
    <n v="88829"/>
    <x v="514"/>
    <x v="514"/>
    <n v="894551"/>
    <n v="9.93"/>
    <x v="167"/>
    <n v="12.4"/>
    <n v="377"/>
    <n v="1.96"/>
    <n v="0.34899999999999998"/>
    <n v="33894"/>
    <n v="71.2"/>
    <n v="84.6"/>
    <x v="131"/>
    <n v="73.599999999999994"/>
    <x v="441"/>
    <n v="0"/>
  </r>
  <r>
    <x v="10"/>
    <n v="11"/>
    <x v="1"/>
    <x v="11"/>
    <n v="12"/>
    <x v="2"/>
    <x v="0"/>
    <n v="3"/>
    <n v="53160"/>
    <x v="515"/>
    <x v="515"/>
    <n v="369202"/>
    <n v="14.4"/>
    <x v="167"/>
    <n v="12.4"/>
    <n v="377"/>
    <n v="1.96"/>
    <n v="0.34899999999999998"/>
    <n v="33894"/>
    <n v="71.2"/>
    <n v="84.6"/>
    <x v="131"/>
    <n v="73.599999999999994"/>
    <x v="442"/>
    <n v="0"/>
  </r>
  <r>
    <x v="10"/>
    <n v="11"/>
    <x v="1"/>
    <x v="12"/>
    <n v="13"/>
    <x v="0"/>
    <x v="0"/>
    <n v="1"/>
    <n v="5797"/>
    <x v="516"/>
    <x v="516"/>
    <n v="198848"/>
    <n v="2.92"/>
    <x v="168"/>
    <n v="13.2"/>
    <n v="400"/>
    <n v="2.0430000000000001"/>
    <n v="0.37903999999999999"/>
    <n v="34398"/>
    <n v="71.099999999999994"/>
    <n v="87.5"/>
    <x v="132"/>
    <n v="77.8"/>
    <x v="443"/>
    <n v="0"/>
  </r>
  <r>
    <x v="10"/>
    <n v="11"/>
    <x v="1"/>
    <x v="12"/>
    <n v="13"/>
    <x v="1"/>
    <x v="0"/>
    <n v="2"/>
    <n v="65788"/>
    <x v="517"/>
    <x v="517"/>
    <n v="789769"/>
    <n v="8.33"/>
    <x v="168"/>
    <n v="13.2"/>
    <n v="400"/>
    <n v="2.0430000000000001"/>
    <n v="0.37903999999999999"/>
    <n v="34398"/>
    <n v="71.099999999999994"/>
    <n v="87.5"/>
    <x v="132"/>
    <n v="77.8"/>
    <x v="444"/>
    <n v="0"/>
  </r>
  <r>
    <x v="10"/>
    <n v="11"/>
    <x v="1"/>
    <x v="12"/>
    <n v="13"/>
    <x v="2"/>
    <x v="0"/>
    <n v="3"/>
    <n v="42110"/>
    <x v="518"/>
    <x v="518"/>
    <n v="326432"/>
    <n v="12.9"/>
    <x v="168"/>
    <n v="13.2"/>
    <n v="400"/>
    <n v="2.0430000000000001"/>
    <n v="0.37903999999999999"/>
    <n v="34398"/>
    <n v="71.099999999999994"/>
    <n v="87.5"/>
    <x v="132"/>
    <n v="77.8"/>
    <x v="445"/>
    <n v="0"/>
  </r>
  <r>
    <x v="10"/>
    <n v="11"/>
    <x v="1"/>
    <x v="13"/>
    <n v="14"/>
    <x v="0"/>
    <x v="0"/>
    <n v="1"/>
    <n v="6759"/>
    <x v="519"/>
    <x v="519"/>
    <n v="230722"/>
    <n v="2.93"/>
    <x v="169"/>
    <n v="16.100000000000001"/>
    <n v="433"/>
    <n v="2.0529999999999999"/>
    <n v="0.37903999999999999"/>
    <n v="35756"/>
    <n v="71.3"/>
    <n v="86.8"/>
    <x v="133"/>
    <n v="78.900000000000006"/>
    <x v="446"/>
    <n v="0"/>
  </r>
  <r>
    <x v="10"/>
    <n v="11"/>
    <x v="1"/>
    <x v="13"/>
    <n v="14"/>
    <x v="1"/>
    <x v="0"/>
    <n v="2"/>
    <n v="77963"/>
    <x v="520"/>
    <x v="520"/>
    <n v="931455"/>
    <n v="8.3699999999999992"/>
    <x v="169"/>
    <n v="16.100000000000001"/>
    <n v="433"/>
    <n v="2.0529999999999999"/>
    <n v="0.37903999999999999"/>
    <n v="35756"/>
    <n v="71.3"/>
    <n v="86.8"/>
    <x v="133"/>
    <n v="78.900000000000006"/>
    <x v="447"/>
    <n v="0"/>
  </r>
  <r>
    <x v="10"/>
    <n v="11"/>
    <x v="1"/>
    <x v="13"/>
    <n v="14"/>
    <x v="2"/>
    <x v="0"/>
    <n v="3"/>
    <n v="47092"/>
    <x v="521"/>
    <x v="521"/>
    <n v="388018"/>
    <n v="12.14"/>
    <x v="169"/>
    <n v="16.100000000000001"/>
    <n v="433"/>
    <n v="2.0529999999999999"/>
    <n v="0.37903999999999999"/>
    <n v="35756"/>
    <n v="71.3"/>
    <n v="86.8"/>
    <x v="133"/>
    <n v="78.900000000000006"/>
    <x v="448"/>
    <n v="0"/>
  </r>
  <r>
    <x v="10"/>
    <n v="11"/>
    <x v="1"/>
    <x v="14"/>
    <n v="15"/>
    <x v="0"/>
    <x v="0"/>
    <n v="1"/>
    <n v="8175"/>
    <x v="522"/>
    <x v="522"/>
    <n v="241542"/>
    <n v="3.38"/>
    <x v="170"/>
    <n v="17.600000000000001"/>
    <n v="462"/>
    <n v="1.9630000000000001"/>
    <n v="0.35199999999999998"/>
    <n v="37218"/>
    <n v="71.8"/>
    <n v="84.9"/>
    <x v="134"/>
    <n v="82.7"/>
    <x v="449"/>
    <n v="0"/>
  </r>
  <r>
    <x v="10"/>
    <n v="11"/>
    <x v="1"/>
    <x v="14"/>
    <n v="15"/>
    <x v="1"/>
    <x v="0"/>
    <n v="2"/>
    <n v="92430"/>
    <x v="523"/>
    <x v="523"/>
    <n v="955846"/>
    <n v="9.67"/>
    <x v="170"/>
    <n v="17.600000000000001"/>
    <n v="462"/>
    <n v="1.9630000000000001"/>
    <n v="0.35199999999999998"/>
    <n v="37218"/>
    <n v="71.8"/>
    <n v="84.9"/>
    <x v="134"/>
    <n v="82.7"/>
    <x v="450"/>
    <n v="0"/>
  </r>
  <r>
    <x v="10"/>
    <n v="11"/>
    <x v="1"/>
    <x v="14"/>
    <n v="15"/>
    <x v="2"/>
    <x v="0"/>
    <n v="3"/>
    <n v="57073"/>
    <x v="524"/>
    <x v="524"/>
    <n v="407042"/>
    <n v="14.02"/>
    <x v="170"/>
    <n v="17.600000000000001"/>
    <n v="462"/>
    <n v="1.9630000000000001"/>
    <n v="0.35199999999999998"/>
    <n v="37218"/>
    <n v="71.8"/>
    <n v="84.9"/>
    <x v="134"/>
    <n v="82.7"/>
    <x v="451"/>
    <n v="0"/>
  </r>
  <r>
    <x v="10"/>
    <n v="11"/>
    <x v="1"/>
    <x v="15"/>
    <n v="16"/>
    <x v="0"/>
    <x v="0"/>
    <n v="1"/>
    <n v="10080"/>
    <x v="525"/>
    <x v="525"/>
    <n v="237432"/>
    <n v="4.25"/>
    <x v="171"/>
    <n v="19.3"/>
    <n v="469"/>
    <n v="1.89"/>
    <n v="0.32600000000000001"/>
    <n v="38575"/>
    <n v="71.900000000000006"/>
    <n v="82.5"/>
    <x v="135"/>
    <n v="84.6"/>
    <x v="452"/>
    <n v="0"/>
  </r>
  <r>
    <x v="10"/>
    <n v="11"/>
    <x v="1"/>
    <x v="15"/>
    <n v="16"/>
    <x v="1"/>
    <x v="0"/>
    <n v="2"/>
    <n v="118074"/>
    <x v="526"/>
    <x v="526"/>
    <n v="973403"/>
    <n v="12.13"/>
    <x v="171"/>
    <n v="19.3"/>
    <n v="469"/>
    <n v="1.89"/>
    <n v="0.32600000000000001"/>
    <n v="38575"/>
    <n v="71.900000000000006"/>
    <n v="82.5"/>
    <x v="135"/>
    <n v="84.6"/>
    <x v="453"/>
    <n v="0"/>
  </r>
  <r>
    <x v="10"/>
    <n v="11"/>
    <x v="1"/>
    <x v="15"/>
    <n v="16"/>
    <x v="2"/>
    <x v="0"/>
    <n v="3"/>
    <n v="70098"/>
    <x v="527"/>
    <x v="527"/>
    <n v="398547"/>
    <n v="17.59"/>
    <x v="171"/>
    <n v="19.3"/>
    <n v="469"/>
    <n v="1.89"/>
    <n v="0.32600000000000001"/>
    <n v="38575"/>
    <n v="71.900000000000006"/>
    <n v="82.5"/>
    <x v="135"/>
    <n v="84.6"/>
    <x v="454"/>
    <n v="0"/>
  </r>
  <r>
    <x v="11"/>
    <n v="12"/>
    <x v="4"/>
    <x v="0"/>
    <n v="1"/>
    <x v="0"/>
    <x v="0"/>
    <n v="1"/>
    <n v="107"/>
    <x v="528"/>
    <x v="528"/>
    <n v="765614"/>
    <n v="0.01"/>
    <x v="57"/>
    <n v="9.8000000000000007"/>
    <n v="129"/>
    <n v="1.29"/>
    <n v="0.18"/>
    <n v="44864"/>
    <n v="90.3"/>
    <n v="223.2"/>
    <x v="136"/>
    <n v="48.8"/>
    <x v="0"/>
    <n v="0"/>
  </r>
  <r>
    <x v="11"/>
    <n v="12"/>
    <x v="4"/>
    <x v="0"/>
    <n v="1"/>
    <x v="1"/>
    <x v="0"/>
    <n v="2"/>
    <n v="1211"/>
    <x v="529"/>
    <x v="529"/>
    <n v="3027881"/>
    <n v="0.04"/>
    <x v="57"/>
    <n v="9.8000000000000007"/>
    <n v="129"/>
    <n v="1.29"/>
    <n v="0.18"/>
    <n v="44864"/>
    <n v="90.3"/>
    <n v="223.2"/>
    <x v="136"/>
    <n v="48.8"/>
    <x v="0"/>
    <n v="0"/>
  </r>
  <r>
    <x v="11"/>
    <n v="12"/>
    <x v="4"/>
    <x v="0"/>
    <n v="1"/>
    <x v="2"/>
    <x v="0"/>
    <n v="3"/>
    <n v="718"/>
    <x v="530"/>
    <x v="530"/>
    <n v="1237961"/>
    <n v="0.06"/>
    <x v="57"/>
    <n v="9.8000000000000007"/>
    <n v="129"/>
    <n v="1.29"/>
    <n v="0.18"/>
    <n v="44864"/>
    <n v="90.3"/>
    <n v="223.2"/>
    <x v="136"/>
    <n v="48.8"/>
    <x v="0"/>
    <n v="0"/>
  </r>
  <r>
    <x v="11"/>
    <n v="12"/>
    <x v="4"/>
    <x v="1"/>
    <n v="2"/>
    <x v="0"/>
    <x v="0"/>
    <n v="1"/>
    <n v="840"/>
    <x v="531"/>
    <x v="531"/>
    <n v="774546"/>
    <n v="0.11"/>
    <x v="172"/>
    <n v="13"/>
    <n v="129"/>
    <n v="1.26"/>
    <n v="0.19"/>
    <n v="42613"/>
    <n v="91.1"/>
    <n v="226.3"/>
    <x v="137"/>
    <n v="49.3"/>
    <x v="33"/>
    <n v="0"/>
  </r>
  <r>
    <x v="11"/>
    <n v="12"/>
    <x v="4"/>
    <x v="1"/>
    <n v="2"/>
    <x v="1"/>
    <x v="0"/>
    <n v="2"/>
    <n v="9777"/>
    <x v="532"/>
    <x v="532"/>
    <n v="3153795"/>
    <n v="0.31"/>
    <x v="172"/>
    <n v="13"/>
    <n v="129"/>
    <n v="1.26"/>
    <n v="0.19"/>
    <n v="42613"/>
    <n v="91.1"/>
    <n v="226.3"/>
    <x v="137"/>
    <n v="49.3"/>
    <x v="33"/>
    <n v="0"/>
  </r>
  <r>
    <x v="11"/>
    <n v="12"/>
    <x v="4"/>
    <x v="1"/>
    <n v="2"/>
    <x v="2"/>
    <x v="0"/>
    <n v="3"/>
    <n v="5821"/>
    <x v="533"/>
    <x v="533"/>
    <n v="1294887"/>
    <n v="0.45"/>
    <x v="172"/>
    <n v="13"/>
    <n v="129"/>
    <n v="1.26"/>
    <n v="0.19"/>
    <n v="42613"/>
    <n v="91.1"/>
    <n v="226.3"/>
    <x v="137"/>
    <n v="49.3"/>
    <x v="33"/>
    <n v="0"/>
  </r>
  <r>
    <x v="11"/>
    <n v="12"/>
    <x v="4"/>
    <x v="2"/>
    <n v="3"/>
    <x v="0"/>
    <x v="0"/>
    <n v="1"/>
    <n v="1354"/>
    <x v="534"/>
    <x v="534"/>
    <n v="805989"/>
    <n v="0.17"/>
    <x v="173"/>
    <n v="14.5"/>
    <n v="143"/>
    <n v="1.24"/>
    <n v="0.19700000000000001"/>
    <n v="40459"/>
    <n v="91.2"/>
    <n v="225.5"/>
    <x v="138"/>
    <n v="51.6"/>
    <x v="455"/>
    <n v="0"/>
  </r>
  <r>
    <x v="11"/>
    <n v="12"/>
    <x v="4"/>
    <x v="2"/>
    <n v="3"/>
    <x v="1"/>
    <x v="0"/>
    <n v="2"/>
    <n v="15367"/>
    <x v="535"/>
    <x v="535"/>
    <n v="3201501"/>
    <n v="0.48"/>
    <x v="173"/>
    <n v="14.5"/>
    <n v="143"/>
    <n v="1.24"/>
    <n v="0.19700000000000001"/>
    <n v="40459"/>
    <n v="91.2"/>
    <n v="225.5"/>
    <x v="138"/>
    <n v="51.6"/>
    <x v="456"/>
    <n v="0"/>
  </r>
  <r>
    <x v="11"/>
    <n v="12"/>
    <x v="4"/>
    <x v="2"/>
    <n v="3"/>
    <x v="2"/>
    <x v="0"/>
    <n v="3"/>
    <n v="9244"/>
    <x v="536"/>
    <x v="536"/>
    <n v="1328155"/>
    <n v="0.7"/>
    <x v="173"/>
    <n v="14.5"/>
    <n v="143"/>
    <n v="1.24"/>
    <n v="0.19700000000000001"/>
    <n v="40459"/>
    <n v="91.2"/>
    <n v="225.5"/>
    <x v="138"/>
    <n v="51.6"/>
    <x v="457"/>
    <n v="0"/>
  </r>
  <r>
    <x v="11"/>
    <n v="12"/>
    <x v="4"/>
    <x v="3"/>
    <n v="4"/>
    <x v="0"/>
    <x v="0"/>
    <n v="1"/>
    <n v="1561"/>
    <x v="537"/>
    <x v="537"/>
    <n v="825767"/>
    <n v="0.19"/>
    <x v="174"/>
    <n v="18.8"/>
    <n v="145"/>
    <n v="1.2070000000000001"/>
    <n v="0.20300000000000001"/>
    <n v="38450"/>
    <n v="91.2"/>
    <n v="219.5"/>
    <x v="139"/>
    <n v="53.1"/>
    <x v="458"/>
    <n v="0"/>
  </r>
  <r>
    <x v="11"/>
    <n v="12"/>
    <x v="4"/>
    <x v="3"/>
    <n v="4"/>
    <x v="1"/>
    <x v="0"/>
    <n v="2"/>
    <n v="17874"/>
    <x v="538"/>
    <x v="538"/>
    <n v="3309916"/>
    <n v="0.54"/>
    <x v="174"/>
    <n v="18.8"/>
    <n v="145"/>
    <n v="1.2070000000000001"/>
    <n v="0.20300000000000001"/>
    <n v="38450"/>
    <n v="91.2"/>
    <n v="219.5"/>
    <x v="139"/>
    <n v="53.1"/>
    <x v="459"/>
    <n v="0"/>
  </r>
  <r>
    <x v="11"/>
    <n v="12"/>
    <x v="4"/>
    <x v="3"/>
    <n v="4"/>
    <x v="2"/>
    <x v="0"/>
    <n v="3"/>
    <n v="10743"/>
    <x v="539"/>
    <x v="539"/>
    <n v="1372055"/>
    <n v="0.78"/>
    <x v="174"/>
    <n v="18.8"/>
    <n v="145"/>
    <n v="1.2070000000000001"/>
    <n v="0.20300000000000001"/>
    <n v="38450"/>
    <n v="91.2"/>
    <n v="219.5"/>
    <x v="139"/>
    <n v="53.1"/>
    <x v="460"/>
    <n v="0"/>
  </r>
  <r>
    <x v="11"/>
    <n v="12"/>
    <x v="4"/>
    <x v="4"/>
    <n v="5"/>
    <x v="0"/>
    <x v="0"/>
    <n v="1"/>
    <n v="1555"/>
    <x v="540"/>
    <x v="540"/>
    <n v="807559"/>
    <n v="0.19"/>
    <x v="175"/>
    <n v="20.5"/>
    <n v="156"/>
    <n v="1.1599999999999999"/>
    <n v="0.20899999999999999"/>
    <n v="36364"/>
    <n v="91.1"/>
    <n v="214.1"/>
    <x v="140"/>
    <n v="54.2"/>
    <x v="461"/>
    <n v="0"/>
  </r>
  <r>
    <x v="11"/>
    <n v="12"/>
    <x v="4"/>
    <x v="4"/>
    <n v="5"/>
    <x v="1"/>
    <x v="0"/>
    <n v="2"/>
    <n v="17334"/>
    <x v="541"/>
    <x v="541"/>
    <n v="3151569"/>
    <n v="0.55000000000000004"/>
    <x v="175"/>
    <n v="20.5"/>
    <n v="156"/>
    <n v="1.1599999999999999"/>
    <n v="0.20899999999999999"/>
    <n v="36364"/>
    <n v="91.1"/>
    <n v="214.1"/>
    <x v="140"/>
    <n v="54.2"/>
    <x v="462"/>
    <n v="0"/>
  </r>
  <r>
    <x v="11"/>
    <n v="12"/>
    <x v="4"/>
    <x v="4"/>
    <n v="5"/>
    <x v="2"/>
    <x v="0"/>
    <n v="3"/>
    <n v="10511"/>
    <x v="542"/>
    <x v="542"/>
    <n v="1317990"/>
    <n v="0.8"/>
    <x v="175"/>
    <n v="20.5"/>
    <n v="156"/>
    <n v="1.1599999999999999"/>
    <n v="0.20899999999999999"/>
    <n v="36364"/>
    <n v="91.1"/>
    <n v="214.1"/>
    <x v="140"/>
    <n v="54.2"/>
    <x v="463"/>
    <n v="0"/>
  </r>
  <r>
    <x v="11"/>
    <n v="12"/>
    <x v="4"/>
    <x v="5"/>
    <n v="6"/>
    <x v="0"/>
    <x v="0"/>
    <n v="1"/>
    <n v="1481"/>
    <x v="543"/>
    <x v="543"/>
    <n v="742535"/>
    <n v="0.2"/>
    <x v="176"/>
    <n v="24.6"/>
    <n v="170"/>
    <n v="1.1299999999999999"/>
    <n v="0.217"/>
    <n v="34987"/>
    <n v="90.9"/>
    <n v="209.6"/>
    <x v="141"/>
    <n v="55.1"/>
    <x v="464"/>
    <n v="0"/>
  </r>
  <r>
    <x v="11"/>
    <n v="12"/>
    <x v="4"/>
    <x v="5"/>
    <n v="6"/>
    <x v="1"/>
    <x v="0"/>
    <n v="2"/>
    <n v="16840"/>
    <x v="544"/>
    <x v="544"/>
    <n v="2954405"/>
    <n v="0.56999999999999995"/>
    <x v="176"/>
    <n v="24.6"/>
    <n v="170"/>
    <n v="1.1299999999999999"/>
    <n v="0.217"/>
    <n v="34987"/>
    <n v="90.9"/>
    <n v="209.6"/>
    <x v="141"/>
    <n v="55.1"/>
    <x v="465"/>
    <n v="0"/>
  </r>
  <r>
    <x v="11"/>
    <n v="12"/>
    <x v="4"/>
    <x v="5"/>
    <n v="6"/>
    <x v="2"/>
    <x v="0"/>
    <n v="3"/>
    <n v="10195"/>
    <x v="545"/>
    <x v="545"/>
    <n v="1233499"/>
    <n v="0.83"/>
    <x v="176"/>
    <n v="24.6"/>
    <n v="170"/>
    <n v="1.1299999999999999"/>
    <n v="0.217"/>
    <n v="34987"/>
    <n v="90.9"/>
    <n v="209.6"/>
    <x v="141"/>
    <n v="55.1"/>
    <x v="466"/>
    <n v="0"/>
  </r>
  <r>
    <x v="11"/>
    <n v="12"/>
    <x v="4"/>
    <x v="6"/>
    <n v="7"/>
    <x v="0"/>
    <x v="0"/>
    <n v="1"/>
    <n v="1296"/>
    <x v="546"/>
    <x v="546"/>
    <n v="771220"/>
    <n v="0.17"/>
    <x v="177"/>
    <n v="24.7"/>
    <n v="186"/>
    <n v="1.137"/>
    <n v="0.222"/>
    <n v="36638"/>
    <n v="91.5"/>
    <n v="210.7"/>
    <x v="142"/>
    <n v="56.6"/>
    <x v="467"/>
    <n v="0"/>
  </r>
  <r>
    <x v="11"/>
    <n v="12"/>
    <x v="4"/>
    <x v="6"/>
    <n v="7"/>
    <x v="1"/>
    <x v="0"/>
    <n v="2"/>
    <n v="14837"/>
    <x v="547"/>
    <x v="547"/>
    <n v="3091112"/>
    <n v="0.48"/>
    <x v="177"/>
    <n v="24.7"/>
    <n v="186"/>
    <n v="1.137"/>
    <n v="0.222"/>
    <n v="36638"/>
    <n v="91.5"/>
    <n v="210.7"/>
    <x v="142"/>
    <n v="56.6"/>
    <x v="468"/>
    <n v="0"/>
  </r>
  <r>
    <x v="11"/>
    <n v="12"/>
    <x v="4"/>
    <x v="6"/>
    <n v="7"/>
    <x v="2"/>
    <x v="0"/>
    <n v="3"/>
    <n v="9052"/>
    <x v="548"/>
    <x v="548"/>
    <n v="1300608"/>
    <n v="0.7"/>
    <x v="177"/>
    <n v="24.7"/>
    <n v="186"/>
    <n v="1.137"/>
    <n v="0.222"/>
    <n v="36638"/>
    <n v="91.5"/>
    <n v="210.7"/>
    <x v="142"/>
    <n v="56.6"/>
    <x v="469"/>
    <n v="0"/>
  </r>
  <r>
    <x v="11"/>
    <n v="12"/>
    <x v="4"/>
    <x v="7"/>
    <n v="8"/>
    <x v="0"/>
    <x v="0"/>
    <n v="1"/>
    <n v="1934"/>
    <x v="549"/>
    <x v="549"/>
    <n v="767475"/>
    <n v="0.25"/>
    <x v="178"/>
    <n v="24.4"/>
    <n v="221"/>
    <n v="1.17"/>
    <n v="0.223"/>
    <n v="37440"/>
    <n v="92"/>
    <n v="209"/>
    <x v="143"/>
    <n v="59.3"/>
    <x v="470"/>
    <n v="0"/>
  </r>
  <r>
    <x v="11"/>
    <n v="12"/>
    <x v="4"/>
    <x v="7"/>
    <n v="8"/>
    <x v="1"/>
    <x v="0"/>
    <n v="2"/>
    <n v="21625"/>
    <x v="550"/>
    <x v="550"/>
    <n v="3003440"/>
    <n v="0.72"/>
    <x v="178"/>
    <n v="24.4"/>
    <n v="221"/>
    <n v="1.17"/>
    <n v="0.223"/>
    <n v="37440"/>
    <n v="92"/>
    <n v="209"/>
    <x v="143"/>
    <n v="59.3"/>
    <x v="471"/>
    <n v="0"/>
  </r>
  <r>
    <x v="11"/>
    <n v="12"/>
    <x v="4"/>
    <x v="7"/>
    <n v="8"/>
    <x v="2"/>
    <x v="0"/>
    <n v="3"/>
    <n v="13428"/>
    <x v="551"/>
    <x v="551"/>
    <n v="1286211"/>
    <n v="1.04"/>
    <x v="178"/>
    <n v="24.4"/>
    <n v="221"/>
    <n v="1.17"/>
    <n v="0.223"/>
    <n v="37440"/>
    <n v="92"/>
    <n v="209"/>
    <x v="143"/>
    <n v="59.3"/>
    <x v="472"/>
    <n v="0"/>
  </r>
  <r>
    <x v="11"/>
    <n v="12"/>
    <x v="4"/>
    <x v="8"/>
    <n v="9"/>
    <x v="0"/>
    <x v="0"/>
    <n v="1"/>
    <n v="2592"/>
    <x v="552"/>
    <x v="552"/>
    <n v="779547"/>
    <n v="0.33"/>
    <x v="179"/>
    <n v="25.9"/>
    <n v="256"/>
    <n v="1.2130000000000001"/>
    <n v="0.221"/>
    <n v="38729"/>
    <n v="91.5"/>
    <n v="208.7"/>
    <x v="144"/>
    <n v="61.2"/>
    <x v="473"/>
    <n v="0"/>
  </r>
  <r>
    <x v="11"/>
    <n v="12"/>
    <x v="4"/>
    <x v="8"/>
    <n v="9"/>
    <x v="1"/>
    <x v="0"/>
    <n v="2"/>
    <n v="29613"/>
    <x v="553"/>
    <x v="553"/>
    <n v="3117210"/>
    <n v="0.95"/>
    <x v="179"/>
    <n v="25.9"/>
    <n v="256"/>
    <n v="1.2130000000000001"/>
    <n v="0.221"/>
    <n v="38729"/>
    <n v="91.5"/>
    <n v="208.7"/>
    <x v="144"/>
    <n v="61.2"/>
    <x v="474"/>
    <n v="0"/>
  </r>
  <r>
    <x v="11"/>
    <n v="12"/>
    <x v="4"/>
    <x v="8"/>
    <n v="9"/>
    <x v="2"/>
    <x v="0"/>
    <n v="3"/>
    <n v="18012"/>
    <x v="554"/>
    <x v="554"/>
    <n v="1307620"/>
    <n v="1.38"/>
    <x v="179"/>
    <n v="25.9"/>
    <n v="256"/>
    <n v="1.2130000000000001"/>
    <n v="0.221"/>
    <n v="38729"/>
    <n v="91.5"/>
    <n v="208.7"/>
    <x v="144"/>
    <n v="61.2"/>
    <x v="475"/>
    <n v="0"/>
  </r>
  <r>
    <x v="11"/>
    <n v="12"/>
    <x v="4"/>
    <x v="9"/>
    <n v="10"/>
    <x v="0"/>
    <x v="0"/>
    <n v="1"/>
    <n v="2200"/>
    <x v="555"/>
    <x v="555"/>
    <n v="766705"/>
    <n v="0.28999999999999998"/>
    <x v="180"/>
    <n v="29"/>
    <n v="300"/>
    <n v="1.26"/>
    <n v="0.219"/>
    <n v="40363"/>
    <n v="91.6"/>
    <n v="198.8"/>
    <x v="145"/>
    <n v="61.5"/>
    <x v="476"/>
    <n v="0"/>
  </r>
  <r>
    <x v="11"/>
    <n v="12"/>
    <x v="4"/>
    <x v="9"/>
    <n v="10"/>
    <x v="1"/>
    <x v="0"/>
    <n v="2"/>
    <n v="24820"/>
    <x v="556"/>
    <x v="556"/>
    <n v="3026787"/>
    <n v="0.82"/>
    <x v="180"/>
    <n v="29"/>
    <n v="300"/>
    <n v="1.26"/>
    <n v="0.219"/>
    <n v="40363"/>
    <n v="91.6"/>
    <n v="198.8"/>
    <x v="145"/>
    <n v="61.5"/>
    <x v="477"/>
    <n v="0"/>
  </r>
  <r>
    <x v="11"/>
    <n v="12"/>
    <x v="4"/>
    <x v="9"/>
    <n v="10"/>
    <x v="2"/>
    <x v="0"/>
    <n v="3"/>
    <n v="15095"/>
    <x v="557"/>
    <x v="557"/>
    <n v="1269526"/>
    <n v="1.19"/>
    <x v="180"/>
    <n v="29"/>
    <n v="300"/>
    <n v="1.26"/>
    <n v="0.219"/>
    <n v="40363"/>
    <n v="91.6"/>
    <n v="198.8"/>
    <x v="145"/>
    <n v="61.5"/>
    <x v="477"/>
    <n v="0"/>
  </r>
  <r>
    <x v="11"/>
    <n v="12"/>
    <x v="4"/>
    <x v="10"/>
    <n v="11"/>
    <x v="0"/>
    <x v="0"/>
    <n v="1"/>
    <n v="1560"/>
    <x v="558"/>
    <x v="558"/>
    <n v="685754"/>
    <n v="0.23"/>
    <x v="181"/>
    <n v="26"/>
    <n v="339"/>
    <n v="1.3169999999999999"/>
    <n v="0.223"/>
    <n v="38164"/>
    <n v="91.5"/>
    <n v="189.9"/>
    <x v="146"/>
    <n v="65.400000000000006"/>
    <x v="478"/>
    <n v="0"/>
  </r>
  <r>
    <x v="11"/>
    <n v="12"/>
    <x v="4"/>
    <x v="10"/>
    <n v="11"/>
    <x v="1"/>
    <x v="0"/>
    <n v="2"/>
    <n v="17835"/>
    <x v="559"/>
    <x v="559"/>
    <n v="2743835"/>
    <n v="0.65"/>
    <x v="181"/>
    <n v="26"/>
    <n v="339"/>
    <n v="1.3169999999999999"/>
    <n v="0.223"/>
    <n v="38164"/>
    <n v="91.5"/>
    <n v="189.9"/>
    <x v="146"/>
    <n v="65.400000000000006"/>
    <x v="479"/>
    <n v="0"/>
  </r>
  <r>
    <x v="11"/>
    <n v="12"/>
    <x v="4"/>
    <x v="10"/>
    <n v="11"/>
    <x v="2"/>
    <x v="0"/>
    <n v="3"/>
    <n v="10874"/>
    <x v="560"/>
    <x v="560"/>
    <n v="1153773"/>
    <n v="0.94"/>
    <x v="181"/>
    <n v="26"/>
    <n v="339"/>
    <n v="1.3169999999999999"/>
    <n v="0.223"/>
    <n v="38164"/>
    <n v="91.5"/>
    <n v="189.9"/>
    <x v="146"/>
    <n v="65.400000000000006"/>
    <x v="480"/>
    <n v="0"/>
  </r>
  <r>
    <x v="11"/>
    <n v="12"/>
    <x v="4"/>
    <x v="11"/>
    <n v="12"/>
    <x v="0"/>
    <x v="0"/>
    <n v="1"/>
    <n v="2361"/>
    <x v="561"/>
    <x v="561"/>
    <n v="667753"/>
    <n v="0.35"/>
    <x v="182"/>
    <n v="27.6"/>
    <n v="367"/>
    <n v="1.343"/>
    <n v="0.22900000000000001"/>
    <n v="35718"/>
    <n v="92.2"/>
    <n v="181.4"/>
    <x v="147"/>
    <n v="67.099999999999994"/>
    <x v="481"/>
    <n v="0"/>
  </r>
  <r>
    <x v="11"/>
    <n v="12"/>
    <x v="4"/>
    <x v="11"/>
    <n v="12"/>
    <x v="1"/>
    <x v="0"/>
    <n v="2"/>
    <n v="26962"/>
    <x v="562"/>
    <x v="562"/>
    <n v="2669522"/>
    <n v="1.01"/>
    <x v="182"/>
    <n v="27.6"/>
    <n v="367"/>
    <n v="1.343"/>
    <n v="0.22900000000000001"/>
    <n v="35718"/>
    <n v="92.2"/>
    <n v="181.4"/>
    <x v="147"/>
    <n v="67.099999999999994"/>
    <x v="482"/>
    <n v="0"/>
  </r>
  <r>
    <x v="11"/>
    <n v="12"/>
    <x v="4"/>
    <x v="11"/>
    <n v="12"/>
    <x v="2"/>
    <x v="0"/>
    <n v="3"/>
    <n v="16370"/>
    <x v="563"/>
    <x v="563"/>
    <n v="1117755"/>
    <n v="1.46"/>
    <x v="182"/>
    <n v="27.6"/>
    <n v="367"/>
    <n v="1.343"/>
    <n v="0.22900000000000001"/>
    <n v="35718"/>
    <n v="92.2"/>
    <n v="181.4"/>
    <x v="147"/>
    <n v="67.099999999999994"/>
    <x v="483"/>
    <n v="0"/>
  </r>
  <r>
    <x v="11"/>
    <n v="12"/>
    <x v="4"/>
    <x v="12"/>
    <n v="13"/>
    <x v="0"/>
    <x v="0"/>
    <n v="1"/>
    <n v="4727"/>
    <x v="564"/>
    <x v="564"/>
    <n v="649263"/>
    <n v="0.73"/>
    <x v="183"/>
    <n v="27.4"/>
    <n v="404"/>
    <n v="1.367"/>
    <n v="0.23799999999999999"/>
    <n v="34164"/>
    <n v="92.2"/>
    <n v="180.1"/>
    <x v="148"/>
    <n v="69.400000000000006"/>
    <x v="484"/>
    <n v="0"/>
  </r>
  <r>
    <x v="11"/>
    <n v="12"/>
    <x v="4"/>
    <x v="12"/>
    <n v="13"/>
    <x v="1"/>
    <x v="0"/>
    <n v="2"/>
    <n v="53188"/>
    <x v="565"/>
    <x v="565"/>
    <n v="2557104"/>
    <n v="2.08"/>
    <x v="183"/>
    <n v="27.4"/>
    <n v="404"/>
    <n v="1.367"/>
    <n v="0.23799999999999999"/>
    <n v="34164"/>
    <n v="92.2"/>
    <n v="180.1"/>
    <x v="148"/>
    <n v="69.400000000000006"/>
    <x v="485"/>
    <n v="0"/>
  </r>
  <r>
    <x v="11"/>
    <n v="12"/>
    <x v="4"/>
    <x v="12"/>
    <n v="13"/>
    <x v="2"/>
    <x v="0"/>
    <n v="3"/>
    <n v="31497"/>
    <x v="566"/>
    <x v="566"/>
    <n v="1044341"/>
    <n v="3.02"/>
    <x v="183"/>
    <n v="27.4"/>
    <n v="404"/>
    <n v="1.367"/>
    <n v="0.23799999999999999"/>
    <n v="34164"/>
    <n v="92.2"/>
    <n v="180.1"/>
    <x v="148"/>
    <n v="69.400000000000006"/>
    <x v="486"/>
    <n v="0"/>
  </r>
  <r>
    <x v="11"/>
    <n v="12"/>
    <x v="4"/>
    <x v="13"/>
    <n v="14"/>
    <x v="0"/>
    <x v="0"/>
    <n v="1"/>
    <n v="7876"/>
    <x v="567"/>
    <x v="567"/>
    <n v="709898"/>
    <n v="1.1100000000000001"/>
    <x v="184"/>
    <n v="32.700000000000003"/>
    <n v="428"/>
    <n v="1.367"/>
    <n v="0.24099999999999999"/>
    <n v="34086"/>
    <n v="91.5"/>
    <n v="179.8"/>
    <x v="149"/>
    <n v="73.2"/>
    <x v="487"/>
    <n v="0"/>
  </r>
  <r>
    <x v="11"/>
    <n v="12"/>
    <x v="4"/>
    <x v="13"/>
    <n v="14"/>
    <x v="1"/>
    <x v="0"/>
    <n v="2"/>
    <n v="89554"/>
    <x v="568"/>
    <x v="568"/>
    <n v="2825055"/>
    <n v="3.17"/>
    <x v="184"/>
    <n v="32.700000000000003"/>
    <n v="428"/>
    <n v="1.367"/>
    <n v="0.24099999999999999"/>
    <n v="34086"/>
    <n v="91.5"/>
    <n v="179.8"/>
    <x v="149"/>
    <n v="73.2"/>
    <x v="488"/>
    <n v="0"/>
  </r>
  <r>
    <x v="11"/>
    <n v="12"/>
    <x v="4"/>
    <x v="13"/>
    <n v="14"/>
    <x v="2"/>
    <x v="0"/>
    <n v="3"/>
    <n v="53542"/>
    <x v="569"/>
    <x v="569"/>
    <n v="1164849"/>
    <n v="4.5999999999999996"/>
    <x v="184"/>
    <n v="32.700000000000003"/>
    <n v="428"/>
    <n v="1.367"/>
    <n v="0.24099999999999999"/>
    <n v="34086"/>
    <n v="91.5"/>
    <n v="179.8"/>
    <x v="149"/>
    <n v="73.2"/>
    <x v="489"/>
    <n v="0"/>
  </r>
  <r>
    <x v="11"/>
    <n v="12"/>
    <x v="4"/>
    <x v="14"/>
    <n v="15"/>
    <x v="0"/>
    <x v="0"/>
    <n v="1"/>
    <n v="10604"/>
    <x v="570"/>
    <x v="570"/>
    <n v="721391"/>
    <n v="1.47"/>
    <x v="185"/>
    <n v="31.8"/>
    <n v="452"/>
    <n v="1.373"/>
    <n v="0.248"/>
    <n v="34337"/>
    <n v="92"/>
    <n v="176.5"/>
    <x v="150"/>
    <n v="74.900000000000006"/>
    <x v="490"/>
    <n v="0"/>
  </r>
  <r>
    <x v="11"/>
    <n v="12"/>
    <x v="4"/>
    <x v="14"/>
    <n v="15"/>
    <x v="1"/>
    <x v="0"/>
    <n v="2"/>
    <n v="121458"/>
    <x v="571"/>
    <x v="571"/>
    <n v="2891863"/>
    <n v="4.2"/>
    <x v="185"/>
    <n v="31.8"/>
    <n v="452"/>
    <n v="1.373"/>
    <n v="0.248"/>
    <n v="34337"/>
    <n v="92"/>
    <n v="176.5"/>
    <x v="150"/>
    <n v="74.900000000000006"/>
    <x v="491"/>
    <n v="0"/>
  </r>
  <r>
    <x v="11"/>
    <n v="12"/>
    <x v="4"/>
    <x v="14"/>
    <n v="15"/>
    <x v="2"/>
    <x v="0"/>
    <n v="3"/>
    <n v="75168"/>
    <x v="572"/>
    <x v="572"/>
    <n v="1234285"/>
    <n v="6.09"/>
    <x v="185"/>
    <n v="31.8"/>
    <n v="452"/>
    <n v="1.373"/>
    <n v="0.248"/>
    <n v="34337"/>
    <n v="92"/>
    <n v="176.5"/>
    <x v="150"/>
    <n v="74.900000000000006"/>
    <x v="492"/>
    <n v="0"/>
  </r>
  <r>
    <x v="11"/>
    <n v="12"/>
    <x v="4"/>
    <x v="15"/>
    <n v="16"/>
    <x v="0"/>
    <x v="0"/>
    <n v="1"/>
    <n v="14649"/>
    <x v="573"/>
    <x v="573"/>
    <n v="720371"/>
    <n v="2.0299999999999998"/>
    <x v="186"/>
    <n v="31.6"/>
    <n v="475"/>
    <n v="1.37"/>
    <n v="0.25800000000000001"/>
    <n v="35694"/>
    <n v="92.2"/>
    <n v="170.9"/>
    <x v="151"/>
    <n v="78.900000000000006"/>
    <x v="111"/>
    <n v="0"/>
  </r>
  <r>
    <x v="11"/>
    <n v="12"/>
    <x v="4"/>
    <x v="15"/>
    <n v="16"/>
    <x v="1"/>
    <x v="0"/>
    <n v="2"/>
    <n v="163344"/>
    <x v="574"/>
    <x v="574"/>
    <n v="2811435"/>
    <n v="5.81"/>
    <x v="186"/>
    <n v="31.6"/>
    <n v="475"/>
    <n v="1.37"/>
    <n v="0.25800000000000001"/>
    <n v="35694"/>
    <n v="92.2"/>
    <n v="170.9"/>
    <x v="151"/>
    <n v="78.900000000000006"/>
    <x v="493"/>
    <n v="0"/>
  </r>
  <r>
    <x v="11"/>
    <n v="12"/>
    <x v="4"/>
    <x v="15"/>
    <n v="16"/>
    <x v="2"/>
    <x v="0"/>
    <n v="3"/>
    <n v="99351"/>
    <x v="575"/>
    <x v="575"/>
    <n v="1179314"/>
    <n v="8.42"/>
    <x v="186"/>
    <n v="31.6"/>
    <n v="475"/>
    <n v="1.37"/>
    <n v="0.25800000000000001"/>
    <n v="35694"/>
    <n v="92.2"/>
    <n v="170.9"/>
    <x v="151"/>
    <n v="78.900000000000006"/>
    <x v="494"/>
    <n v="0"/>
  </r>
  <r>
    <x v="12"/>
    <n v="13"/>
    <x v="3"/>
    <x v="0"/>
    <n v="1"/>
    <x v="0"/>
    <x v="0"/>
    <n v="1"/>
    <n v="5"/>
    <x v="576"/>
    <x v="576"/>
    <n v="120723"/>
    <n v="0"/>
    <x v="0"/>
    <n v="0"/>
    <n v="118"/>
    <n v="0.71"/>
    <n v="9.1999999999999998E-2"/>
    <n v="8850"/>
    <n v="77.900000000000006"/>
    <n v="155.80000000000001"/>
    <x v="0"/>
    <n v="19.5"/>
    <x v="0"/>
    <n v="0"/>
  </r>
  <r>
    <x v="12"/>
    <n v="13"/>
    <x v="3"/>
    <x v="0"/>
    <n v="1"/>
    <x v="1"/>
    <x v="0"/>
    <n v="2"/>
    <n v="24"/>
    <x v="577"/>
    <x v="577"/>
    <n v="494426"/>
    <n v="0"/>
    <x v="0"/>
    <n v="0"/>
    <n v="118"/>
    <n v="0.71"/>
    <n v="9.1999999999999998E-2"/>
    <n v="8850"/>
    <n v="77.900000000000006"/>
    <n v="155.80000000000001"/>
    <x v="0"/>
    <n v="19.5"/>
    <x v="0"/>
    <n v="0"/>
  </r>
  <r>
    <x v="12"/>
    <n v="13"/>
    <x v="3"/>
    <x v="0"/>
    <n v="1"/>
    <x v="2"/>
    <x v="0"/>
    <n v="3"/>
    <n v="13"/>
    <x v="578"/>
    <x v="578"/>
    <n v="203776"/>
    <n v="0.01"/>
    <x v="0"/>
    <n v="0"/>
    <n v="118"/>
    <n v="0.71"/>
    <n v="9.1999999999999998E-2"/>
    <n v="8850"/>
    <n v="77.900000000000006"/>
    <n v="155.80000000000001"/>
    <x v="0"/>
    <n v="19.5"/>
    <x v="0"/>
    <n v="0"/>
  </r>
  <r>
    <x v="12"/>
    <n v="13"/>
    <x v="3"/>
    <x v="1"/>
    <n v="2"/>
    <x v="0"/>
    <x v="0"/>
    <n v="1"/>
    <n v="5"/>
    <x v="579"/>
    <x v="579"/>
    <n v="134735"/>
    <n v="0"/>
    <x v="187"/>
    <n v="2"/>
    <n v="126"/>
    <n v="0.72299999999999998"/>
    <n v="8.7999999999999995E-2"/>
    <n v="8960"/>
    <n v="77.599999999999994"/>
    <n v="157.5"/>
    <x v="0"/>
    <n v="21.5"/>
    <x v="0"/>
    <n v="0"/>
  </r>
  <r>
    <x v="12"/>
    <n v="13"/>
    <x v="3"/>
    <x v="1"/>
    <n v="2"/>
    <x v="1"/>
    <x v="0"/>
    <n v="2"/>
    <n v="55"/>
    <x v="580"/>
    <x v="580"/>
    <n v="552863"/>
    <n v="0.01"/>
    <x v="187"/>
    <n v="2"/>
    <n v="126"/>
    <n v="0.72299999999999998"/>
    <n v="8.7999999999999995E-2"/>
    <n v="8960"/>
    <n v="77.599999999999994"/>
    <n v="157.5"/>
    <x v="0"/>
    <n v="21.5"/>
    <x v="495"/>
    <n v="0"/>
  </r>
  <r>
    <x v="12"/>
    <n v="13"/>
    <x v="3"/>
    <x v="1"/>
    <n v="2"/>
    <x v="2"/>
    <x v="0"/>
    <n v="3"/>
    <n v="33"/>
    <x v="581"/>
    <x v="581"/>
    <n v="229559"/>
    <n v="0.01"/>
    <x v="187"/>
    <n v="2"/>
    <n v="126"/>
    <n v="0.72299999999999998"/>
    <n v="8.7999999999999995E-2"/>
    <n v="8960"/>
    <n v="77.599999999999994"/>
    <n v="157.5"/>
    <x v="0"/>
    <n v="21.5"/>
    <x v="496"/>
    <n v="0"/>
  </r>
  <r>
    <x v="12"/>
    <n v="13"/>
    <x v="3"/>
    <x v="2"/>
    <n v="3"/>
    <x v="0"/>
    <x v="0"/>
    <n v="1"/>
    <n v="5"/>
    <x v="582"/>
    <x v="582"/>
    <n v="147585"/>
    <n v="0"/>
    <x v="188"/>
    <n v="4.0999999999999996"/>
    <n v="124"/>
    <n v="0.747"/>
    <n v="8.4000000000000005E-2"/>
    <n v="9072"/>
    <n v="78.7"/>
    <n v="160.1"/>
    <x v="0"/>
    <n v="21.4"/>
    <x v="0"/>
    <n v="0"/>
  </r>
  <r>
    <x v="12"/>
    <n v="13"/>
    <x v="3"/>
    <x v="2"/>
    <n v="3"/>
    <x v="1"/>
    <x v="0"/>
    <n v="2"/>
    <n v="59"/>
    <x v="583"/>
    <x v="583"/>
    <n v="585245"/>
    <n v="0.01"/>
    <x v="188"/>
    <n v="4.0999999999999996"/>
    <n v="124"/>
    <n v="0.747"/>
    <n v="8.4000000000000005E-2"/>
    <n v="9072"/>
    <n v="78.7"/>
    <n v="160.1"/>
    <x v="0"/>
    <n v="21.4"/>
    <x v="497"/>
    <n v="0"/>
  </r>
  <r>
    <x v="12"/>
    <n v="13"/>
    <x v="3"/>
    <x v="2"/>
    <n v="3"/>
    <x v="2"/>
    <x v="0"/>
    <n v="3"/>
    <n v="35"/>
    <x v="584"/>
    <x v="584"/>
    <n v="244275"/>
    <n v="0.01"/>
    <x v="188"/>
    <n v="4.0999999999999996"/>
    <n v="124"/>
    <n v="0.747"/>
    <n v="8.4000000000000005E-2"/>
    <n v="9072"/>
    <n v="78.7"/>
    <n v="160.1"/>
    <x v="0"/>
    <n v="21.4"/>
    <x v="498"/>
    <n v="0"/>
  </r>
  <r>
    <x v="12"/>
    <n v="13"/>
    <x v="3"/>
    <x v="3"/>
    <n v="4"/>
    <x v="0"/>
    <x v="0"/>
    <n v="1"/>
    <n v="11"/>
    <x v="585"/>
    <x v="585"/>
    <n v="158950"/>
    <n v="0.01"/>
    <x v="189"/>
    <n v="6.2"/>
    <n v="133"/>
    <n v="0.75700000000000001"/>
    <n v="8.4000000000000005E-2"/>
    <n v="9043"/>
    <n v="78.5"/>
    <n v="164.3"/>
    <x v="0"/>
    <n v="23.1"/>
    <x v="390"/>
    <n v="0"/>
  </r>
  <r>
    <x v="12"/>
    <n v="13"/>
    <x v="3"/>
    <x v="3"/>
    <n v="4"/>
    <x v="1"/>
    <x v="0"/>
    <n v="2"/>
    <n v="125"/>
    <x v="586"/>
    <x v="586"/>
    <n v="623505"/>
    <n v="0.02"/>
    <x v="189"/>
    <n v="6.2"/>
    <n v="133"/>
    <n v="0.75700000000000001"/>
    <n v="8.4000000000000005E-2"/>
    <n v="9043"/>
    <n v="78.5"/>
    <n v="164.3"/>
    <x v="0"/>
    <n v="23.1"/>
    <x v="499"/>
    <n v="0"/>
  </r>
  <r>
    <x v="12"/>
    <n v="13"/>
    <x v="3"/>
    <x v="3"/>
    <n v="4"/>
    <x v="2"/>
    <x v="0"/>
    <n v="3"/>
    <n v="77"/>
    <x v="587"/>
    <x v="587"/>
    <n v="264311"/>
    <n v="0.03"/>
    <x v="189"/>
    <n v="6.2"/>
    <n v="133"/>
    <n v="0.75700000000000001"/>
    <n v="8.4000000000000005E-2"/>
    <n v="9043"/>
    <n v="78.5"/>
    <n v="164.3"/>
    <x v="0"/>
    <n v="23.1"/>
    <x v="500"/>
    <n v="0"/>
  </r>
  <r>
    <x v="12"/>
    <n v="13"/>
    <x v="3"/>
    <x v="4"/>
    <n v="5"/>
    <x v="0"/>
    <x v="0"/>
    <n v="1"/>
    <n v="13"/>
    <x v="588"/>
    <x v="588"/>
    <n v="181854"/>
    <n v="0.01"/>
    <x v="190"/>
    <n v="8.1999999999999993"/>
    <n v="152"/>
    <n v="0.77700000000000002"/>
    <n v="8.1000000000000003E-2"/>
    <n v="9138"/>
    <n v="78.900000000000006"/>
    <n v="167.8"/>
    <x v="0"/>
    <n v="24.4"/>
    <x v="501"/>
    <n v="0"/>
  </r>
  <r>
    <x v="12"/>
    <n v="13"/>
    <x v="3"/>
    <x v="4"/>
    <n v="5"/>
    <x v="1"/>
    <x v="0"/>
    <n v="2"/>
    <n v="146"/>
    <x v="589"/>
    <x v="589"/>
    <n v="731918"/>
    <n v="0.02"/>
    <x v="190"/>
    <n v="8.1999999999999993"/>
    <n v="152"/>
    <n v="0.77700000000000002"/>
    <n v="8.1000000000000003E-2"/>
    <n v="9138"/>
    <n v="78.900000000000006"/>
    <n v="167.8"/>
    <x v="0"/>
    <n v="24.4"/>
    <x v="502"/>
    <n v="0"/>
  </r>
  <r>
    <x v="12"/>
    <n v="13"/>
    <x v="3"/>
    <x v="4"/>
    <n v="5"/>
    <x v="2"/>
    <x v="0"/>
    <n v="3"/>
    <n v="88"/>
    <x v="590"/>
    <x v="590"/>
    <n v="304221"/>
    <n v="0.03"/>
    <x v="190"/>
    <n v="8.1999999999999993"/>
    <n v="152"/>
    <n v="0.77700000000000002"/>
    <n v="8.1000000000000003E-2"/>
    <n v="9138"/>
    <n v="78.900000000000006"/>
    <n v="167.8"/>
    <x v="0"/>
    <n v="24.4"/>
    <x v="503"/>
    <n v="0"/>
  </r>
  <r>
    <x v="12"/>
    <n v="13"/>
    <x v="3"/>
    <x v="5"/>
    <n v="6"/>
    <x v="0"/>
    <x v="0"/>
    <n v="1"/>
    <n v="14"/>
    <x v="591"/>
    <x v="591"/>
    <n v="196737"/>
    <n v="0.01"/>
    <x v="2"/>
    <n v="10.199999999999999"/>
    <n v="155"/>
    <n v="0.8"/>
    <n v="0.08"/>
    <n v="9144"/>
    <n v="79"/>
    <n v="169.1"/>
    <x v="0"/>
    <n v="24.9"/>
    <x v="504"/>
    <n v="0"/>
  </r>
  <r>
    <x v="12"/>
    <n v="13"/>
    <x v="3"/>
    <x v="5"/>
    <n v="6"/>
    <x v="1"/>
    <x v="0"/>
    <n v="2"/>
    <n v="154"/>
    <x v="592"/>
    <x v="592"/>
    <n v="772272"/>
    <n v="0.02"/>
    <x v="2"/>
    <n v="10.199999999999999"/>
    <n v="155"/>
    <n v="0.8"/>
    <n v="0.08"/>
    <n v="9144"/>
    <n v="79"/>
    <n v="169.1"/>
    <x v="0"/>
    <n v="24.9"/>
    <x v="505"/>
    <n v="0"/>
  </r>
  <r>
    <x v="12"/>
    <n v="13"/>
    <x v="3"/>
    <x v="5"/>
    <n v="6"/>
    <x v="2"/>
    <x v="0"/>
    <n v="3"/>
    <n v="95"/>
    <x v="593"/>
    <x v="593"/>
    <n v="328621"/>
    <n v="0.03"/>
    <x v="2"/>
    <n v="10.199999999999999"/>
    <n v="155"/>
    <n v="0.8"/>
    <n v="0.08"/>
    <n v="9144"/>
    <n v="79"/>
    <n v="169.1"/>
    <x v="0"/>
    <n v="24.9"/>
    <x v="506"/>
    <n v="0"/>
  </r>
  <r>
    <x v="12"/>
    <n v="13"/>
    <x v="3"/>
    <x v="6"/>
    <n v="7"/>
    <x v="0"/>
    <x v="0"/>
    <n v="1"/>
    <n v="23"/>
    <x v="594"/>
    <x v="517"/>
    <n v="217217"/>
    <n v="0.01"/>
    <x v="191"/>
    <n v="10.3"/>
    <n v="175"/>
    <n v="0.84699999999999998"/>
    <n v="7.9000000000000001E-2"/>
    <n v="9476"/>
    <n v="79.599999999999994"/>
    <n v="168.9"/>
    <x v="0"/>
    <n v="27.2"/>
    <x v="507"/>
    <n v="0"/>
  </r>
  <r>
    <x v="12"/>
    <n v="13"/>
    <x v="3"/>
    <x v="6"/>
    <n v="7"/>
    <x v="1"/>
    <x v="0"/>
    <n v="2"/>
    <n v="255"/>
    <x v="595"/>
    <x v="594"/>
    <n v="848834"/>
    <n v="0.03"/>
    <x v="191"/>
    <n v="10.3"/>
    <n v="175"/>
    <n v="0.84699999999999998"/>
    <n v="7.9000000000000001E-2"/>
    <n v="9476"/>
    <n v="79.599999999999994"/>
    <n v="168.9"/>
    <x v="0"/>
    <n v="27.2"/>
    <x v="508"/>
    <n v="0"/>
  </r>
  <r>
    <x v="12"/>
    <n v="13"/>
    <x v="3"/>
    <x v="6"/>
    <n v="7"/>
    <x v="2"/>
    <x v="0"/>
    <n v="3"/>
    <n v="154"/>
    <x v="596"/>
    <x v="595"/>
    <n v="354382"/>
    <n v="0.04"/>
    <x v="191"/>
    <n v="10.3"/>
    <n v="175"/>
    <n v="0.84699999999999998"/>
    <n v="7.9000000000000001E-2"/>
    <n v="9476"/>
    <n v="79.599999999999994"/>
    <n v="168.9"/>
    <x v="0"/>
    <n v="27.2"/>
    <x v="383"/>
    <n v="0"/>
  </r>
  <r>
    <x v="12"/>
    <n v="13"/>
    <x v="3"/>
    <x v="7"/>
    <n v="8"/>
    <x v="0"/>
    <x v="0"/>
    <n v="1"/>
    <n v="40"/>
    <x v="597"/>
    <x v="596"/>
    <n v="231138"/>
    <n v="0.02"/>
    <x v="192"/>
    <n v="11.4"/>
    <n v="201"/>
    <n v="0.89700000000000002"/>
    <n v="7.8E-2"/>
    <n v="9541"/>
    <n v="79.7"/>
    <n v="170.9"/>
    <x v="0"/>
    <n v="29"/>
    <x v="509"/>
    <n v="0"/>
  </r>
  <r>
    <x v="12"/>
    <n v="13"/>
    <x v="3"/>
    <x v="7"/>
    <n v="8"/>
    <x v="1"/>
    <x v="0"/>
    <n v="2"/>
    <n v="465"/>
    <x v="598"/>
    <x v="597"/>
    <n v="930577"/>
    <n v="0.05"/>
    <x v="192"/>
    <n v="11.4"/>
    <n v="201"/>
    <n v="0.89700000000000002"/>
    <n v="7.8E-2"/>
    <n v="9541"/>
    <n v="79.7"/>
    <n v="170.9"/>
    <x v="0"/>
    <n v="29"/>
    <x v="510"/>
    <n v="0"/>
  </r>
  <r>
    <x v="12"/>
    <n v="13"/>
    <x v="3"/>
    <x v="7"/>
    <n v="8"/>
    <x v="2"/>
    <x v="0"/>
    <n v="3"/>
    <n v="279"/>
    <x v="599"/>
    <x v="598"/>
    <n v="385225"/>
    <n v="7.0000000000000007E-2"/>
    <x v="192"/>
    <n v="11.4"/>
    <n v="201"/>
    <n v="0.89700000000000002"/>
    <n v="7.8E-2"/>
    <n v="9541"/>
    <n v="79.7"/>
    <n v="170.9"/>
    <x v="0"/>
    <n v="29"/>
    <x v="511"/>
    <n v="0"/>
  </r>
  <r>
    <x v="12"/>
    <n v="13"/>
    <x v="3"/>
    <x v="8"/>
    <n v="9"/>
    <x v="0"/>
    <x v="0"/>
    <n v="1"/>
    <n v="53"/>
    <x v="600"/>
    <x v="599"/>
    <n v="214477"/>
    <n v="0.02"/>
    <x v="193"/>
    <n v="13.2"/>
    <n v="246"/>
    <n v="0.95299999999999996"/>
    <n v="7.8E-2"/>
    <n v="9843"/>
    <n v="80.2"/>
    <n v="172.8"/>
    <x v="0"/>
    <n v="31.8"/>
    <x v="512"/>
    <n v="0"/>
  </r>
  <r>
    <x v="12"/>
    <n v="13"/>
    <x v="3"/>
    <x v="8"/>
    <n v="9"/>
    <x v="1"/>
    <x v="0"/>
    <n v="2"/>
    <n v="600"/>
    <x v="601"/>
    <x v="600"/>
    <n v="857445"/>
    <n v="7.0000000000000007E-2"/>
    <x v="193"/>
    <n v="13.2"/>
    <n v="246"/>
    <n v="0.95299999999999996"/>
    <n v="7.8E-2"/>
    <n v="9843"/>
    <n v="80.2"/>
    <n v="172.8"/>
    <x v="0"/>
    <n v="31.8"/>
    <x v="513"/>
    <n v="0"/>
  </r>
  <r>
    <x v="12"/>
    <n v="13"/>
    <x v="3"/>
    <x v="8"/>
    <n v="9"/>
    <x v="2"/>
    <x v="0"/>
    <n v="3"/>
    <n v="365"/>
    <x v="602"/>
    <x v="601"/>
    <n v="359467"/>
    <n v="0.1"/>
    <x v="193"/>
    <n v="13.2"/>
    <n v="246"/>
    <n v="0.95299999999999996"/>
    <n v="7.8E-2"/>
    <n v="9843"/>
    <n v="80.2"/>
    <n v="172.8"/>
    <x v="0"/>
    <n v="31.8"/>
    <x v="514"/>
    <n v="0"/>
  </r>
  <r>
    <x v="12"/>
    <n v="13"/>
    <x v="3"/>
    <x v="9"/>
    <n v="10"/>
    <x v="0"/>
    <x v="0"/>
    <n v="1"/>
    <n v="76"/>
    <x v="603"/>
    <x v="602"/>
    <n v="198144"/>
    <n v="0.04"/>
    <x v="194"/>
    <n v="16"/>
    <n v="277"/>
    <n v="1"/>
    <n v="7.9000000000000001E-2"/>
    <n v="10035"/>
    <n v="80.8"/>
    <n v="166.2"/>
    <x v="0"/>
    <n v="32.700000000000003"/>
    <x v="515"/>
    <n v="0"/>
  </r>
  <r>
    <x v="12"/>
    <n v="13"/>
    <x v="3"/>
    <x v="9"/>
    <n v="10"/>
    <x v="1"/>
    <x v="0"/>
    <n v="2"/>
    <n v="873"/>
    <x v="604"/>
    <x v="603"/>
    <n v="793927"/>
    <n v="0.11"/>
    <x v="194"/>
    <n v="16"/>
    <n v="277"/>
    <n v="1"/>
    <n v="7.9000000000000001E-2"/>
    <n v="10035"/>
    <n v="80.8"/>
    <n v="166.2"/>
    <x v="0"/>
    <n v="32.700000000000003"/>
    <x v="516"/>
    <n v="0"/>
  </r>
  <r>
    <x v="12"/>
    <n v="13"/>
    <x v="3"/>
    <x v="9"/>
    <n v="10"/>
    <x v="2"/>
    <x v="0"/>
    <n v="3"/>
    <n v="530"/>
    <x v="605"/>
    <x v="604"/>
    <n v="332566"/>
    <n v="0.16"/>
    <x v="194"/>
    <n v="16"/>
    <n v="277"/>
    <n v="1"/>
    <n v="7.9000000000000001E-2"/>
    <n v="10035"/>
    <n v="80.8"/>
    <n v="166.2"/>
    <x v="0"/>
    <n v="32.700000000000003"/>
    <x v="517"/>
    <n v="0"/>
  </r>
  <r>
    <x v="12"/>
    <n v="13"/>
    <x v="3"/>
    <x v="10"/>
    <n v="11"/>
    <x v="0"/>
    <x v="0"/>
    <n v="1"/>
    <n v="110"/>
    <x v="606"/>
    <x v="605"/>
    <n v="143238"/>
    <n v="0.08"/>
    <x v="195"/>
    <n v="15.1"/>
    <n v="313"/>
    <n v="1.083"/>
    <n v="8.1000000000000003E-2"/>
    <n v="10289"/>
    <n v="80.8"/>
    <n v="161.30000000000001"/>
    <x v="0"/>
    <n v="36"/>
    <x v="518"/>
    <n v="0"/>
  </r>
  <r>
    <x v="12"/>
    <n v="13"/>
    <x v="3"/>
    <x v="10"/>
    <n v="11"/>
    <x v="1"/>
    <x v="0"/>
    <n v="2"/>
    <n v="1255"/>
    <x v="607"/>
    <x v="606"/>
    <n v="570336"/>
    <n v="0.22"/>
    <x v="195"/>
    <n v="15.1"/>
    <n v="313"/>
    <n v="1.083"/>
    <n v="8.1000000000000003E-2"/>
    <n v="10289"/>
    <n v="80.8"/>
    <n v="161.30000000000001"/>
    <x v="0"/>
    <n v="36"/>
    <x v="519"/>
    <n v="0"/>
  </r>
  <r>
    <x v="12"/>
    <n v="13"/>
    <x v="3"/>
    <x v="10"/>
    <n v="11"/>
    <x v="2"/>
    <x v="0"/>
    <n v="3"/>
    <n v="763"/>
    <x v="608"/>
    <x v="607"/>
    <n v="239337"/>
    <n v="0.32"/>
    <x v="195"/>
    <n v="15.1"/>
    <n v="313"/>
    <n v="1.083"/>
    <n v="8.1000000000000003E-2"/>
    <n v="10289"/>
    <n v="80.8"/>
    <n v="161.30000000000001"/>
    <x v="0"/>
    <n v="36"/>
    <x v="520"/>
    <n v="0"/>
  </r>
  <r>
    <x v="12"/>
    <n v="13"/>
    <x v="3"/>
    <x v="11"/>
    <n v="12"/>
    <x v="0"/>
    <x v="0"/>
    <n v="1"/>
    <n v="259"/>
    <x v="609"/>
    <x v="608"/>
    <n v="150797"/>
    <n v="0.17"/>
    <x v="196"/>
    <n v="17.7"/>
    <n v="350"/>
    <n v="1.157"/>
    <n v="8.3000000000000004E-2"/>
    <n v="10806"/>
    <n v="81"/>
    <n v="158.19999999999999"/>
    <x v="0"/>
    <n v="39.200000000000003"/>
    <x v="521"/>
    <n v="0"/>
  </r>
  <r>
    <x v="12"/>
    <n v="13"/>
    <x v="3"/>
    <x v="11"/>
    <n v="12"/>
    <x v="1"/>
    <x v="0"/>
    <n v="2"/>
    <n v="3006"/>
    <x v="610"/>
    <x v="609"/>
    <n v="613486"/>
    <n v="0.49"/>
    <x v="196"/>
    <n v="17.7"/>
    <n v="350"/>
    <n v="1.157"/>
    <n v="8.3000000000000004E-2"/>
    <n v="10806"/>
    <n v="81"/>
    <n v="158.19999999999999"/>
    <x v="0"/>
    <n v="39.200000000000003"/>
    <x v="522"/>
    <n v="0"/>
  </r>
  <r>
    <x v="12"/>
    <n v="13"/>
    <x v="3"/>
    <x v="11"/>
    <n v="12"/>
    <x v="2"/>
    <x v="0"/>
    <n v="3"/>
    <n v="1831"/>
    <x v="611"/>
    <x v="610"/>
    <n v="257750"/>
    <n v="0.71"/>
    <x v="196"/>
    <n v="17.7"/>
    <n v="350"/>
    <n v="1.157"/>
    <n v="8.3000000000000004E-2"/>
    <n v="10806"/>
    <n v="81"/>
    <n v="158.19999999999999"/>
    <x v="0"/>
    <n v="39.200000000000003"/>
    <x v="523"/>
    <n v="0"/>
  </r>
  <r>
    <x v="12"/>
    <n v="13"/>
    <x v="3"/>
    <x v="12"/>
    <n v="13"/>
    <x v="0"/>
    <x v="0"/>
    <n v="1"/>
    <n v="725"/>
    <x v="612"/>
    <x v="611"/>
    <n v="161726"/>
    <n v="0.45"/>
    <x v="197"/>
    <n v="21.8"/>
    <n v="380"/>
    <n v="1.2270000000000001"/>
    <n v="8.5999999999999993E-2"/>
    <n v="11009"/>
    <n v="81.2"/>
    <n v="163.80000000000001"/>
    <x v="0"/>
    <n v="41.2"/>
    <x v="524"/>
    <n v="0"/>
  </r>
  <r>
    <x v="12"/>
    <n v="13"/>
    <x v="3"/>
    <x v="12"/>
    <n v="13"/>
    <x v="1"/>
    <x v="0"/>
    <n v="2"/>
    <n v="8266"/>
    <x v="613"/>
    <x v="612"/>
    <n v="645780"/>
    <n v="1.28"/>
    <x v="197"/>
    <n v="21.8"/>
    <n v="380"/>
    <n v="1.2270000000000001"/>
    <n v="8.5999999999999993E-2"/>
    <n v="11009"/>
    <n v="81.2"/>
    <n v="163.80000000000001"/>
    <x v="0"/>
    <n v="41.2"/>
    <x v="525"/>
    <n v="0"/>
  </r>
  <r>
    <x v="12"/>
    <n v="13"/>
    <x v="3"/>
    <x v="12"/>
    <n v="13"/>
    <x v="2"/>
    <x v="0"/>
    <n v="3"/>
    <n v="4954"/>
    <x v="614"/>
    <x v="613"/>
    <n v="266922"/>
    <n v="1.86"/>
    <x v="197"/>
    <n v="21.8"/>
    <n v="380"/>
    <n v="1.2270000000000001"/>
    <n v="8.5999999999999993E-2"/>
    <n v="11009"/>
    <n v="81.2"/>
    <n v="163.80000000000001"/>
    <x v="0"/>
    <n v="41.2"/>
    <x v="526"/>
    <n v="0"/>
  </r>
  <r>
    <x v="12"/>
    <n v="13"/>
    <x v="3"/>
    <x v="13"/>
    <n v="14"/>
    <x v="0"/>
    <x v="0"/>
    <n v="1"/>
    <n v="1197"/>
    <x v="615"/>
    <x v="614"/>
    <n v="192117"/>
    <n v="0.62"/>
    <x v="198"/>
    <n v="20.6"/>
    <n v="403"/>
    <n v="1.2130000000000001"/>
    <n v="9.0999999999999998E-2"/>
    <n v="11434"/>
    <n v="81.2"/>
    <n v="164.9"/>
    <x v="0"/>
    <n v="43.6"/>
    <x v="423"/>
    <n v="0"/>
  </r>
  <r>
    <x v="12"/>
    <n v="13"/>
    <x v="3"/>
    <x v="13"/>
    <n v="14"/>
    <x v="1"/>
    <x v="0"/>
    <n v="2"/>
    <n v="13922"/>
    <x v="616"/>
    <x v="615"/>
    <n v="782135"/>
    <n v="1.78"/>
    <x v="198"/>
    <n v="20.6"/>
    <n v="403"/>
    <n v="1.2130000000000001"/>
    <n v="9.0999999999999998E-2"/>
    <n v="11434"/>
    <n v="81.2"/>
    <n v="164.9"/>
    <x v="0"/>
    <n v="43.6"/>
    <x v="527"/>
    <n v="0"/>
  </r>
  <r>
    <x v="12"/>
    <n v="13"/>
    <x v="3"/>
    <x v="13"/>
    <n v="14"/>
    <x v="2"/>
    <x v="0"/>
    <n v="3"/>
    <n v="8485"/>
    <x v="617"/>
    <x v="616"/>
    <n v="328748"/>
    <n v="2.58"/>
    <x v="198"/>
    <n v="20.6"/>
    <n v="403"/>
    <n v="1.2130000000000001"/>
    <n v="9.0999999999999998E-2"/>
    <n v="11434"/>
    <n v="81.2"/>
    <n v="164.9"/>
    <x v="0"/>
    <n v="43.6"/>
    <x v="528"/>
    <n v="0"/>
  </r>
  <r>
    <x v="12"/>
    <n v="13"/>
    <x v="3"/>
    <x v="14"/>
    <n v="15"/>
    <x v="0"/>
    <x v="0"/>
    <n v="1"/>
    <n v="1771"/>
    <x v="618"/>
    <x v="617"/>
    <n v="190980"/>
    <n v="0.93"/>
    <x v="199"/>
    <n v="23.6"/>
    <n v="433"/>
    <n v="1.177"/>
    <n v="9.6000000000000002E-2"/>
    <n v="11621"/>
    <n v="81.599999999999994"/>
    <n v="164.7"/>
    <x v="0"/>
    <n v="46.6"/>
    <x v="529"/>
    <n v="0"/>
  </r>
  <r>
    <x v="12"/>
    <n v="13"/>
    <x v="3"/>
    <x v="14"/>
    <n v="15"/>
    <x v="1"/>
    <x v="0"/>
    <n v="2"/>
    <n v="20646"/>
    <x v="619"/>
    <x v="618"/>
    <n v="779094"/>
    <n v="2.65"/>
    <x v="199"/>
    <n v="23.6"/>
    <n v="433"/>
    <n v="1.177"/>
    <n v="9.6000000000000002E-2"/>
    <n v="11621"/>
    <n v="81.599999999999994"/>
    <n v="164.7"/>
    <x v="0"/>
    <n v="46.6"/>
    <x v="530"/>
    <n v="0"/>
  </r>
  <r>
    <x v="12"/>
    <n v="13"/>
    <x v="3"/>
    <x v="14"/>
    <n v="15"/>
    <x v="2"/>
    <x v="0"/>
    <n v="3"/>
    <n v="12489"/>
    <x v="620"/>
    <x v="619"/>
    <n v="325026"/>
    <n v="3.84"/>
    <x v="199"/>
    <n v="23.6"/>
    <n v="433"/>
    <n v="1.177"/>
    <n v="9.6000000000000002E-2"/>
    <n v="11621"/>
    <n v="81.599999999999994"/>
    <n v="164.7"/>
    <x v="0"/>
    <n v="46.6"/>
    <x v="531"/>
    <n v="0"/>
  </r>
  <r>
    <x v="12"/>
    <n v="13"/>
    <x v="3"/>
    <x v="15"/>
    <n v="16"/>
    <x v="0"/>
    <x v="0"/>
    <n v="1"/>
    <n v="2468"/>
    <x v="621"/>
    <x v="620"/>
    <n v="212373"/>
    <n v="1.1599999999999999"/>
    <x v="200"/>
    <n v="26"/>
    <n v="447"/>
    <n v="1.1299999999999999"/>
    <n v="0.10100000000000001"/>
    <n v="11927"/>
    <n v="81"/>
    <n v="164"/>
    <x v="0"/>
    <n v="49.7"/>
    <x v="532"/>
    <n v="0"/>
  </r>
  <r>
    <x v="12"/>
    <n v="13"/>
    <x v="3"/>
    <x v="15"/>
    <n v="16"/>
    <x v="1"/>
    <x v="0"/>
    <n v="2"/>
    <n v="28384"/>
    <x v="622"/>
    <x v="621"/>
    <n v="854952"/>
    <n v="3.32"/>
    <x v="200"/>
    <n v="26"/>
    <n v="447"/>
    <n v="1.1299999999999999"/>
    <n v="0.10100000000000001"/>
    <n v="11927"/>
    <n v="81"/>
    <n v="164"/>
    <x v="0"/>
    <n v="49.7"/>
    <x v="533"/>
    <n v="0"/>
  </r>
  <r>
    <x v="12"/>
    <n v="13"/>
    <x v="3"/>
    <x v="15"/>
    <n v="16"/>
    <x v="2"/>
    <x v="0"/>
    <n v="3"/>
    <n v="16966"/>
    <x v="623"/>
    <x v="622"/>
    <n v="352434"/>
    <n v="4.8099999999999996"/>
    <x v="200"/>
    <n v="26"/>
    <n v="447"/>
    <n v="1.1299999999999999"/>
    <n v="0.10100000000000001"/>
    <n v="11927"/>
    <n v="81"/>
    <n v="164"/>
    <x v="0"/>
    <n v="49.7"/>
    <x v="534"/>
    <n v="0"/>
  </r>
  <r>
    <x v="13"/>
    <n v="14"/>
    <x v="1"/>
    <x v="0"/>
    <n v="1"/>
    <x v="0"/>
    <x v="0"/>
    <n v="1"/>
    <n v="15"/>
    <x v="624"/>
    <x v="623"/>
    <n v="71515"/>
    <n v="0.02"/>
    <x v="201"/>
    <n v="2.1"/>
    <n v="121"/>
    <n v="1.75"/>
    <n v="0.19700000000000001"/>
    <n v="50202"/>
    <n v="83"/>
    <n v="34.5"/>
    <x v="0"/>
    <n v="61.2"/>
    <x v="0"/>
    <n v="0"/>
  </r>
  <r>
    <x v="13"/>
    <n v="14"/>
    <x v="1"/>
    <x v="0"/>
    <n v="1"/>
    <x v="1"/>
    <x v="0"/>
    <n v="2"/>
    <n v="170"/>
    <x v="625"/>
    <x v="624"/>
    <n v="283200"/>
    <n v="0.06"/>
    <x v="201"/>
    <n v="2.1"/>
    <n v="121"/>
    <n v="1.75"/>
    <n v="0.19700000000000001"/>
    <n v="50202"/>
    <n v="83"/>
    <n v="34.5"/>
    <x v="0"/>
    <n v="61.2"/>
    <x v="0"/>
    <n v="0"/>
  </r>
  <r>
    <x v="13"/>
    <n v="14"/>
    <x v="1"/>
    <x v="0"/>
    <n v="1"/>
    <x v="2"/>
    <x v="0"/>
    <n v="3"/>
    <n v="103"/>
    <x v="626"/>
    <x v="625"/>
    <n v="118872"/>
    <n v="0.09"/>
    <x v="201"/>
    <n v="2.1"/>
    <n v="121"/>
    <n v="1.75"/>
    <n v="0.19700000000000001"/>
    <n v="50202"/>
    <n v="83"/>
    <n v="34.5"/>
    <x v="0"/>
    <n v="61.2"/>
    <x v="0"/>
    <n v="0"/>
  </r>
  <r>
    <x v="13"/>
    <n v="14"/>
    <x v="1"/>
    <x v="1"/>
    <n v="2"/>
    <x v="0"/>
    <x v="0"/>
    <n v="1"/>
    <n v="142"/>
    <x v="627"/>
    <x v="626"/>
    <n v="66397"/>
    <n v="0.21"/>
    <x v="202"/>
    <n v="2.6"/>
    <n v="136"/>
    <n v="1.67"/>
    <n v="0.19900000000000001"/>
    <n v="48960"/>
    <n v="84.7"/>
    <n v="34"/>
    <x v="152"/>
    <n v="65.2"/>
    <x v="33"/>
    <n v="0"/>
  </r>
  <r>
    <x v="13"/>
    <n v="14"/>
    <x v="1"/>
    <x v="1"/>
    <n v="2"/>
    <x v="1"/>
    <x v="0"/>
    <n v="2"/>
    <n v="1607"/>
    <x v="628"/>
    <x v="627"/>
    <n v="263499"/>
    <n v="0.61"/>
    <x v="202"/>
    <n v="2.6"/>
    <n v="136"/>
    <n v="1.67"/>
    <n v="0.19900000000000001"/>
    <n v="48960"/>
    <n v="84.7"/>
    <n v="34"/>
    <x v="152"/>
    <n v="65.2"/>
    <x v="33"/>
    <n v="0"/>
  </r>
  <r>
    <x v="13"/>
    <n v="14"/>
    <x v="1"/>
    <x v="1"/>
    <n v="2"/>
    <x v="2"/>
    <x v="0"/>
    <n v="3"/>
    <n v="991"/>
    <x v="629"/>
    <x v="628"/>
    <n v="111990"/>
    <n v="0.88"/>
    <x v="202"/>
    <n v="2.6"/>
    <n v="136"/>
    <n v="1.67"/>
    <n v="0.19900000000000001"/>
    <n v="48960"/>
    <n v="84.7"/>
    <n v="34"/>
    <x v="152"/>
    <n v="65.2"/>
    <x v="33"/>
    <n v="0"/>
  </r>
  <r>
    <x v="13"/>
    <n v="14"/>
    <x v="1"/>
    <x v="2"/>
    <n v="3"/>
    <x v="0"/>
    <x v="0"/>
    <n v="1"/>
    <n v="267"/>
    <x v="630"/>
    <x v="629"/>
    <n v="64708"/>
    <n v="0.41"/>
    <x v="203"/>
    <n v="3.4"/>
    <n v="143"/>
    <n v="1.62"/>
    <n v="0.2"/>
    <n v="48198"/>
    <n v="86.3"/>
    <n v="34.1"/>
    <x v="153"/>
    <n v="66"/>
    <x v="535"/>
    <n v="0"/>
  </r>
  <r>
    <x v="13"/>
    <n v="14"/>
    <x v="1"/>
    <x v="2"/>
    <n v="3"/>
    <x v="1"/>
    <x v="0"/>
    <n v="2"/>
    <n v="3063"/>
    <x v="631"/>
    <x v="630"/>
    <n v="259584"/>
    <n v="1.18"/>
    <x v="203"/>
    <n v="3.4"/>
    <n v="143"/>
    <n v="1.62"/>
    <n v="0.2"/>
    <n v="48198"/>
    <n v="86.3"/>
    <n v="34.1"/>
    <x v="153"/>
    <n v="66"/>
    <x v="536"/>
    <n v="0"/>
  </r>
  <r>
    <x v="13"/>
    <n v="14"/>
    <x v="1"/>
    <x v="2"/>
    <n v="3"/>
    <x v="2"/>
    <x v="0"/>
    <n v="3"/>
    <n v="1818"/>
    <x v="632"/>
    <x v="631"/>
    <n v="106229"/>
    <n v="1.71"/>
    <x v="203"/>
    <n v="3.4"/>
    <n v="143"/>
    <n v="1.62"/>
    <n v="0.2"/>
    <n v="48198"/>
    <n v="86.3"/>
    <n v="34.1"/>
    <x v="153"/>
    <n v="66"/>
    <x v="537"/>
    <n v="0"/>
  </r>
  <r>
    <x v="13"/>
    <n v="14"/>
    <x v="1"/>
    <x v="3"/>
    <n v="4"/>
    <x v="0"/>
    <x v="0"/>
    <n v="1"/>
    <n v="549"/>
    <x v="633"/>
    <x v="632"/>
    <n v="64498"/>
    <n v="0.85"/>
    <x v="204"/>
    <n v="3.6"/>
    <n v="149"/>
    <n v="1.63"/>
    <n v="0.19900000000000001"/>
    <n v="45611"/>
    <n v="87.6"/>
    <n v="34"/>
    <x v="154"/>
    <n v="68.099999999999994"/>
    <x v="538"/>
    <n v="0"/>
  </r>
  <r>
    <x v="13"/>
    <n v="14"/>
    <x v="1"/>
    <x v="3"/>
    <n v="4"/>
    <x v="1"/>
    <x v="0"/>
    <n v="2"/>
    <n v="6149"/>
    <x v="634"/>
    <x v="633"/>
    <n v="253049"/>
    <n v="2.4300000000000002"/>
    <x v="204"/>
    <n v="3.6"/>
    <n v="149"/>
    <n v="1.63"/>
    <n v="0.19900000000000001"/>
    <n v="45611"/>
    <n v="87.6"/>
    <n v="34"/>
    <x v="154"/>
    <n v="68.099999999999994"/>
    <x v="539"/>
    <n v="0"/>
  </r>
  <r>
    <x v="13"/>
    <n v="14"/>
    <x v="1"/>
    <x v="3"/>
    <n v="4"/>
    <x v="2"/>
    <x v="0"/>
    <n v="3"/>
    <n v="3708"/>
    <x v="635"/>
    <x v="634"/>
    <n v="105224"/>
    <n v="3.52"/>
    <x v="204"/>
    <n v="3.6"/>
    <n v="149"/>
    <n v="1.63"/>
    <n v="0.19900000000000001"/>
    <n v="45611"/>
    <n v="87.6"/>
    <n v="34"/>
    <x v="154"/>
    <n v="68.099999999999994"/>
    <x v="540"/>
    <n v="0"/>
  </r>
  <r>
    <x v="13"/>
    <n v="14"/>
    <x v="1"/>
    <x v="4"/>
    <n v="5"/>
    <x v="0"/>
    <x v="0"/>
    <n v="1"/>
    <n v="797"/>
    <x v="636"/>
    <x v="635"/>
    <n v="63611"/>
    <n v="1.25"/>
    <x v="205"/>
    <n v="4.2"/>
    <n v="168"/>
    <n v="1.63"/>
    <n v="0.19800000000000001"/>
    <n v="45570"/>
    <n v="88.8"/>
    <n v="34.6"/>
    <x v="155"/>
    <n v="69.5"/>
    <x v="107"/>
    <n v="0"/>
  </r>
  <r>
    <x v="13"/>
    <n v="14"/>
    <x v="1"/>
    <x v="4"/>
    <n v="5"/>
    <x v="1"/>
    <x v="0"/>
    <n v="2"/>
    <n v="9111"/>
    <x v="637"/>
    <x v="636"/>
    <n v="254507"/>
    <n v="3.58"/>
    <x v="205"/>
    <n v="4.2"/>
    <n v="168"/>
    <n v="1.63"/>
    <n v="0.19800000000000001"/>
    <n v="45570"/>
    <n v="88.8"/>
    <n v="34.6"/>
    <x v="155"/>
    <n v="69.5"/>
    <x v="286"/>
    <n v="0"/>
  </r>
  <r>
    <x v="13"/>
    <n v="14"/>
    <x v="1"/>
    <x v="4"/>
    <n v="5"/>
    <x v="2"/>
    <x v="0"/>
    <n v="3"/>
    <n v="5500"/>
    <x v="638"/>
    <x v="637"/>
    <n v="105946"/>
    <n v="5.19"/>
    <x v="205"/>
    <n v="4.2"/>
    <n v="168"/>
    <n v="1.63"/>
    <n v="0.19800000000000001"/>
    <n v="45570"/>
    <n v="88.8"/>
    <n v="34.6"/>
    <x v="155"/>
    <n v="69.5"/>
    <x v="170"/>
    <n v="0"/>
  </r>
  <r>
    <x v="13"/>
    <n v="14"/>
    <x v="1"/>
    <x v="5"/>
    <n v="6"/>
    <x v="0"/>
    <x v="0"/>
    <n v="1"/>
    <n v="1068"/>
    <x v="639"/>
    <x v="638"/>
    <n v="67089"/>
    <n v="1.59"/>
    <x v="206"/>
    <n v="4.9000000000000004"/>
    <n v="175"/>
    <n v="1.637"/>
    <n v="0.2"/>
    <n v="44713"/>
    <n v="90.5"/>
    <n v="34.1"/>
    <x v="156"/>
    <n v="71.5"/>
    <x v="541"/>
    <n v="0"/>
  </r>
  <r>
    <x v="13"/>
    <n v="14"/>
    <x v="1"/>
    <x v="5"/>
    <n v="6"/>
    <x v="1"/>
    <x v="0"/>
    <n v="2"/>
    <n v="12426"/>
    <x v="640"/>
    <x v="639"/>
    <n v="273105"/>
    <n v="4.55"/>
    <x v="206"/>
    <n v="4.9000000000000004"/>
    <n v="175"/>
    <n v="1.637"/>
    <n v="0.2"/>
    <n v="44713"/>
    <n v="90.5"/>
    <n v="34.1"/>
    <x v="156"/>
    <n v="71.5"/>
    <x v="542"/>
    <n v="0"/>
  </r>
  <r>
    <x v="13"/>
    <n v="14"/>
    <x v="1"/>
    <x v="5"/>
    <n v="6"/>
    <x v="2"/>
    <x v="0"/>
    <n v="3"/>
    <n v="7525"/>
    <x v="641"/>
    <x v="640"/>
    <n v="114054"/>
    <n v="6.6"/>
    <x v="206"/>
    <n v="4.9000000000000004"/>
    <n v="175"/>
    <n v="1.637"/>
    <n v="0.2"/>
    <n v="44713"/>
    <n v="90.5"/>
    <n v="34.1"/>
    <x v="156"/>
    <n v="71.5"/>
    <x v="543"/>
    <n v="0"/>
  </r>
  <r>
    <x v="13"/>
    <n v="14"/>
    <x v="1"/>
    <x v="6"/>
    <n v="7"/>
    <x v="0"/>
    <x v="0"/>
    <n v="1"/>
    <n v="1252"/>
    <x v="642"/>
    <x v="641"/>
    <n v="64549"/>
    <n v="1.94"/>
    <x v="207"/>
    <n v="5.3"/>
    <n v="200"/>
    <n v="1.637"/>
    <n v="0.20499999999999999"/>
    <n v="47547"/>
    <n v="91.1"/>
    <n v="34.1"/>
    <x v="157"/>
    <n v="73.900000000000006"/>
    <x v="544"/>
    <n v="0"/>
  </r>
  <r>
    <x v="13"/>
    <n v="14"/>
    <x v="1"/>
    <x v="6"/>
    <n v="7"/>
    <x v="1"/>
    <x v="0"/>
    <n v="2"/>
    <n v="14281"/>
    <x v="643"/>
    <x v="642"/>
    <n v="257783"/>
    <n v="5.54"/>
    <x v="207"/>
    <n v="5.3"/>
    <n v="200"/>
    <n v="1.637"/>
    <n v="0.20499999999999999"/>
    <n v="47547"/>
    <n v="91.1"/>
    <n v="34.1"/>
    <x v="157"/>
    <n v="73.900000000000006"/>
    <x v="545"/>
    <n v="0"/>
  </r>
  <r>
    <x v="13"/>
    <n v="14"/>
    <x v="1"/>
    <x v="6"/>
    <n v="7"/>
    <x v="2"/>
    <x v="0"/>
    <n v="3"/>
    <n v="8540"/>
    <x v="644"/>
    <x v="643"/>
    <n v="106315"/>
    <n v="8.0299999999999994"/>
    <x v="207"/>
    <n v="5.3"/>
    <n v="200"/>
    <n v="1.637"/>
    <n v="0.20499999999999999"/>
    <n v="47547"/>
    <n v="91.1"/>
    <n v="34.1"/>
    <x v="157"/>
    <n v="73.900000000000006"/>
    <x v="546"/>
    <n v="0"/>
  </r>
  <r>
    <x v="13"/>
    <n v="14"/>
    <x v="1"/>
    <x v="7"/>
    <n v="8"/>
    <x v="0"/>
    <x v="0"/>
    <n v="1"/>
    <n v="1342"/>
    <x v="141"/>
    <x v="141"/>
    <n v="63585"/>
    <n v="2.11"/>
    <x v="208"/>
    <n v="6.3"/>
    <n v="227"/>
    <n v="1.67"/>
    <n v="0.20899999999999999"/>
    <n v="48401"/>
    <n v="90.9"/>
    <n v="33.5"/>
    <x v="158"/>
    <n v="77.400000000000006"/>
    <x v="547"/>
    <n v="0"/>
  </r>
  <r>
    <x v="13"/>
    <n v="14"/>
    <x v="1"/>
    <x v="7"/>
    <n v="8"/>
    <x v="1"/>
    <x v="0"/>
    <n v="2"/>
    <n v="14838"/>
    <x v="645"/>
    <x v="644"/>
    <n v="246067"/>
    <n v="6.03"/>
    <x v="208"/>
    <n v="6.3"/>
    <n v="227"/>
    <n v="1.67"/>
    <n v="0.20899999999999999"/>
    <n v="48401"/>
    <n v="90.9"/>
    <n v="33.5"/>
    <x v="158"/>
    <n v="77.400000000000006"/>
    <x v="548"/>
    <n v="0"/>
  </r>
  <r>
    <x v="13"/>
    <n v="14"/>
    <x v="1"/>
    <x v="7"/>
    <n v="8"/>
    <x v="2"/>
    <x v="0"/>
    <n v="3"/>
    <n v="9243"/>
    <x v="646"/>
    <x v="645"/>
    <n v="105717"/>
    <n v="8.74"/>
    <x v="208"/>
    <n v="6.3"/>
    <n v="227"/>
    <n v="1.67"/>
    <n v="0.20899999999999999"/>
    <n v="48401"/>
    <n v="90.9"/>
    <n v="33.5"/>
    <x v="158"/>
    <n v="77.400000000000006"/>
    <x v="549"/>
    <n v="0"/>
  </r>
  <r>
    <x v="13"/>
    <n v="14"/>
    <x v="1"/>
    <x v="8"/>
    <n v="9"/>
    <x v="0"/>
    <x v="0"/>
    <n v="1"/>
    <n v="1317"/>
    <x v="647"/>
    <x v="646"/>
    <n v="63679"/>
    <n v="2.0699999999999998"/>
    <x v="209"/>
    <n v="7.4"/>
    <n v="272"/>
    <n v="1.7170000000000001"/>
    <n v="0.21099999999999999"/>
    <n v="50428"/>
    <n v="91.8"/>
    <n v="33.700000000000003"/>
    <x v="159"/>
    <n v="79.3"/>
    <x v="550"/>
    <n v="0"/>
  </r>
  <r>
    <x v="13"/>
    <n v="14"/>
    <x v="1"/>
    <x v="8"/>
    <n v="9"/>
    <x v="1"/>
    <x v="0"/>
    <n v="2"/>
    <n v="14945"/>
    <x v="648"/>
    <x v="647"/>
    <n v="252884"/>
    <n v="5.91"/>
    <x v="209"/>
    <n v="7.4"/>
    <n v="272"/>
    <n v="1.7170000000000001"/>
    <n v="0.21099999999999999"/>
    <n v="50428"/>
    <n v="91.8"/>
    <n v="33.700000000000003"/>
    <x v="159"/>
    <n v="79.3"/>
    <x v="551"/>
    <n v="0"/>
  </r>
  <r>
    <x v="13"/>
    <n v="14"/>
    <x v="1"/>
    <x v="8"/>
    <n v="9"/>
    <x v="2"/>
    <x v="0"/>
    <n v="3"/>
    <n v="9091"/>
    <x v="649"/>
    <x v="648"/>
    <n v="106081"/>
    <n v="8.57"/>
    <x v="209"/>
    <n v="7.4"/>
    <n v="272"/>
    <n v="1.7170000000000001"/>
    <n v="0.21099999999999999"/>
    <n v="50428"/>
    <n v="91.8"/>
    <n v="33.700000000000003"/>
    <x v="159"/>
    <n v="79.3"/>
    <x v="552"/>
    <n v="0"/>
  </r>
  <r>
    <x v="13"/>
    <n v="14"/>
    <x v="1"/>
    <x v="9"/>
    <n v="10"/>
    <x v="0"/>
    <x v="0"/>
    <n v="1"/>
    <n v="3524"/>
    <x v="650"/>
    <x v="649"/>
    <n v="66643"/>
    <n v="5.29"/>
    <x v="210"/>
    <n v="8.1"/>
    <n v="307"/>
    <n v="1.8069999999999999"/>
    <n v="0.21299999999999999"/>
    <n v="53138"/>
    <n v="91.6"/>
    <n v="32.1"/>
    <x v="160"/>
    <n v="82.9"/>
    <x v="553"/>
    <n v="0"/>
  </r>
  <r>
    <x v="13"/>
    <n v="14"/>
    <x v="1"/>
    <x v="9"/>
    <n v="10"/>
    <x v="1"/>
    <x v="0"/>
    <n v="2"/>
    <n v="41419"/>
    <x v="651"/>
    <x v="650"/>
    <n v="274118"/>
    <n v="15.11"/>
    <x v="210"/>
    <n v="8.1"/>
    <n v="307"/>
    <n v="1.8069999999999999"/>
    <n v="0.21299999999999999"/>
    <n v="53138"/>
    <n v="91.6"/>
    <n v="32.1"/>
    <x v="160"/>
    <n v="82.9"/>
    <x v="554"/>
    <n v="0"/>
  </r>
  <r>
    <x v="13"/>
    <n v="14"/>
    <x v="1"/>
    <x v="9"/>
    <n v="10"/>
    <x v="2"/>
    <x v="0"/>
    <n v="3"/>
    <n v="24488"/>
    <x v="652"/>
    <x v="651"/>
    <n v="111767"/>
    <n v="21.91"/>
    <x v="210"/>
    <n v="8.1"/>
    <n v="307"/>
    <n v="1.8069999999999999"/>
    <n v="0.21299999999999999"/>
    <n v="53138"/>
    <n v="91.6"/>
    <n v="32.1"/>
    <x v="160"/>
    <n v="82.9"/>
    <x v="555"/>
    <n v="0"/>
  </r>
  <r>
    <x v="13"/>
    <n v="14"/>
    <x v="1"/>
    <x v="10"/>
    <n v="11"/>
    <x v="0"/>
    <x v="0"/>
    <n v="1"/>
    <n v="3652"/>
    <x v="653"/>
    <x v="652"/>
    <n v="54262"/>
    <n v="6.73"/>
    <x v="211"/>
    <n v="9.3000000000000007"/>
    <n v="344"/>
    <n v="1.96"/>
    <n v="0.24199999999999999"/>
    <n v="54427"/>
    <n v="92.4"/>
    <n v="30.7"/>
    <x v="161"/>
    <n v="83.9"/>
    <x v="556"/>
    <n v="0"/>
  </r>
  <r>
    <x v="13"/>
    <n v="14"/>
    <x v="1"/>
    <x v="10"/>
    <n v="11"/>
    <x v="1"/>
    <x v="0"/>
    <n v="2"/>
    <n v="40703"/>
    <x v="654"/>
    <x v="653"/>
    <n v="211663"/>
    <n v="19.23"/>
    <x v="211"/>
    <n v="9.3000000000000007"/>
    <n v="344"/>
    <n v="1.96"/>
    <n v="0.24199999999999999"/>
    <n v="54427"/>
    <n v="92.4"/>
    <n v="30.7"/>
    <x v="161"/>
    <n v="83.9"/>
    <x v="557"/>
    <n v="0"/>
  </r>
  <r>
    <x v="13"/>
    <n v="14"/>
    <x v="1"/>
    <x v="10"/>
    <n v="11"/>
    <x v="2"/>
    <x v="0"/>
    <n v="3"/>
    <n v="24764"/>
    <x v="655"/>
    <x v="654"/>
    <n v="88813"/>
    <n v="27.88"/>
    <x v="211"/>
    <n v="9.3000000000000007"/>
    <n v="344"/>
    <n v="1.96"/>
    <n v="0.24199999999999999"/>
    <n v="54427"/>
    <n v="92.4"/>
    <n v="30.7"/>
    <x v="161"/>
    <n v="83.9"/>
    <x v="558"/>
    <n v="0"/>
  </r>
  <r>
    <x v="13"/>
    <n v="14"/>
    <x v="1"/>
    <x v="11"/>
    <n v="12"/>
    <x v="0"/>
    <x v="0"/>
    <n v="1"/>
    <n v="3305"/>
    <x v="656"/>
    <x v="655"/>
    <n v="53868"/>
    <n v="6.14"/>
    <x v="212"/>
    <n v="11.3"/>
    <n v="385"/>
    <n v="2.153"/>
    <n v="0.28699999999999998"/>
    <n v="55259"/>
    <n v="92.5"/>
    <n v="29.8"/>
    <x v="162"/>
    <n v="86.4"/>
    <x v="559"/>
    <n v="0"/>
  </r>
  <r>
    <x v="13"/>
    <n v="14"/>
    <x v="1"/>
    <x v="11"/>
    <n v="12"/>
    <x v="1"/>
    <x v="0"/>
    <n v="2"/>
    <n v="37412"/>
    <x v="657"/>
    <x v="656"/>
    <n v="213418"/>
    <n v="17.53"/>
    <x v="212"/>
    <n v="11.3"/>
    <n v="385"/>
    <n v="2.153"/>
    <n v="0.28699999999999998"/>
    <n v="55259"/>
    <n v="92.5"/>
    <n v="29.8"/>
    <x v="162"/>
    <n v="86.4"/>
    <x v="560"/>
    <n v="0"/>
  </r>
  <r>
    <x v="13"/>
    <n v="14"/>
    <x v="1"/>
    <x v="11"/>
    <n v="12"/>
    <x v="2"/>
    <x v="0"/>
    <n v="3"/>
    <n v="23402"/>
    <x v="658"/>
    <x v="657"/>
    <n v="88711"/>
    <n v="26.38"/>
    <x v="212"/>
    <n v="11.3"/>
    <n v="385"/>
    <n v="2.153"/>
    <n v="0.28699999999999998"/>
    <n v="55259"/>
    <n v="92.5"/>
    <n v="29.8"/>
    <x v="162"/>
    <n v="86.4"/>
    <x v="561"/>
    <n v="0"/>
  </r>
  <r>
    <x v="13"/>
    <n v="14"/>
    <x v="1"/>
    <x v="12"/>
    <n v="13"/>
    <x v="0"/>
    <x v="0"/>
    <n v="1"/>
    <n v="3992"/>
    <x v="659"/>
    <x v="658"/>
    <n v="47519"/>
    <n v="8.4"/>
    <x v="213"/>
    <n v="12.1"/>
    <n v="414"/>
    <n v="2.153"/>
    <n v="0.32500000000000001"/>
    <n v="57360"/>
    <n v="92.4"/>
    <n v="30.3"/>
    <x v="163"/>
    <n v="90.6"/>
    <x v="562"/>
    <n v="0"/>
  </r>
  <r>
    <x v="13"/>
    <n v="14"/>
    <x v="1"/>
    <x v="12"/>
    <n v="13"/>
    <x v="1"/>
    <x v="0"/>
    <n v="2"/>
    <n v="44907"/>
    <x v="660"/>
    <x v="659"/>
    <n v="187112"/>
    <n v="24"/>
    <x v="213"/>
    <n v="12.1"/>
    <n v="414"/>
    <n v="2.153"/>
    <n v="0.32500000000000001"/>
    <n v="57360"/>
    <n v="92.4"/>
    <n v="30.3"/>
    <x v="163"/>
    <n v="90.6"/>
    <x v="563"/>
    <n v="0"/>
  </r>
  <r>
    <x v="13"/>
    <n v="14"/>
    <x v="1"/>
    <x v="12"/>
    <n v="13"/>
    <x v="2"/>
    <x v="0"/>
    <n v="3"/>
    <n v="27143"/>
    <x v="661"/>
    <x v="660"/>
    <n v="77996"/>
    <n v="34.799999999999997"/>
    <x v="213"/>
    <n v="12.1"/>
    <n v="414"/>
    <n v="2.153"/>
    <n v="0.32500000000000001"/>
    <n v="57360"/>
    <n v="92.4"/>
    <n v="30.3"/>
    <x v="163"/>
    <n v="90.6"/>
    <x v="564"/>
    <n v="0"/>
  </r>
  <r>
    <x v="13"/>
    <n v="14"/>
    <x v="1"/>
    <x v="13"/>
    <n v="14"/>
    <x v="0"/>
    <x v="0"/>
    <n v="1"/>
    <n v="6254"/>
    <x v="662"/>
    <x v="661"/>
    <n v="57053"/>
    <n v="10.96"/>
    <x v="214"/>
    <n v="14.4"/>
    <n v="434"/>
    <n v="2.153"/>
    <n v="0.33"/>
    <n v="59804"/>
    <n v="92.9"/>
    <n v="29.8"/>
    <x v="164"/>
    <n v="90.9"/>
    <x v="565"/>
    <n v="0"/>
  </r>
  <r>
    <x v="13"/>
    <n v="14"/>
    <x v="1"/>
    <x v="13"/>
    <n v="14"/>
    <x v="1"/>
    <x v="0"/>
    <n v="2"/>
    <n v="73058"/>
    <x v="663"/>
    <x v="662"/>
    <n v="233263"/>
    <n v="31.32"/>
    <x v="214"/>
    <n v="14.4"/>
    <n v="434"/>
    <n v="2.153"/>
    <n v="0.33"/>
    <n v="59804"/>
    <n v="92.9"/>
    <n v="29.8"/>
    <x v="164"/>
    <n v="90.9"/>
    <x v="566"/>
    <n v="0"/>
  </r>
  <r>
    <x v="13"/>
    <n v="14"/>
    <x v="1"/>
    <x v="13"/>
    <n v="14"/>
    <x v="2"/>
    <x v="1"/>
    <n v="4"/>
    <n v="43592"/>
    <x v="664"/>
    <x v="663"/>
    <n v="95988"/>
    <n v="45.41"/>
    <x v="214"/>
    <n v="14.4"/>
    <n v="434"/>
    <n v="2.153"/>
    <n v="0.33"/>
    <n v="59804"/>
    <n v="92.9"/>
    <n v="29.8"/>
    <x v="164"/>
    <n v="90.9"/>
    <x v="567"/>
    <n v="0"/>
  </r>
  <r>
    <x v="13"/>
    <n v="14"/>
    <x v="1"/>
    <x v="14"/>
    <n v="15"/>
    <x v="0"/>
    <x v="0"/>
    <n v="1"/>
    <n v="6999"/>
    <x v="665"/>
    <x v="664"/>
    <n v="59335"/>
    <n v="11.8"/>
    <x v="215"/>
    <n v="15.2"/>
    <n v="474"/>
    <n v="2.153"/>
    <n v="0.30599999999999999"/>
    <n v="60653"/>
    <n v="93.1"/>
    <n v="28.7"/>
    <x v="165"/>
    <n v="92.7"/>
    <x v="568"/>
    <n v="0"/>
  </r>
  <r>
    <x v="13"/>
    <n v="14"/>
    <x v="1"/>
    <x v="14"/>
    <n v="15"/>
    <x v="1"/>
    <x v="0"/>
    <n v="2"/>
    <n v="80462"/>
    <x v="666"/>
    <x v="665"/>
    <n v="238761"/>
    <n v="33.700000000000003"/>
    <x v="215"/>
    <n v="15.2"/>
    <n v="474"/>
    <n v="2.153"/>
    <n v="0.30599999999999999"/>
    <n v="60653"/>
    <n v="93.1"/>
    <n v="28.7"/>
    <x v="165"/>
    <n v="92.7"/>
    <x v="569"/>
    <n v="0"/>
  </r>
  <r>
    <x v="13"/>
    <n v="14"/>
    <x v="1"/>
    <x v="14"/>
    <n v="15"/>
    <x v="2"/>
    <x v="1"/>
    <n v="4"/>
    <n v="48474"/>
    <x v="667"/>
    <x v="666"/>
    <n v="99200"/>
    <n v="48.86"/>
    <x v="215"/>
    <n v="15.2"/>
    <n v="474"/>
    <n v="2.153"/>
    <n v="0.30599999999999999"/>
    <n v="60653"/>
    <n v="93.1"/>
    <n v="28.7"/>
    <x v="165"/>
    <n v="92.7"/>
    <x v="570"/>
    <n v="0"/>
  </r>
  <r>
    <x v="13"/>
    <n v="14"/>
    <x v="1"/>
    <x v="15"/>
    <n v="16"/>
    <x v="0"/>
    <x v="0"/>
    <n v="1"/>
    <n v="7865"/>
    <x v="668"/>
    <x v="667"/>
    <n v="61449"/>
    <n v="12.8"/>
    <x v="216"/>
    <n v="18.5"/>
    <n v="488"/>
    <n v="2.08"/>
    <n v="0.27900000000000003"/>
    <n v="63891"/>
    <n v="92.7"/>
    <n v="27.6"/>
    <x v="166"/>
    <n v="94.9"/>
    <x v="571"/>
    <n v="0"/>
  </r>
  <r>
    <x v="13"/>
    <n v="14"/>
    <x v="1"/>
    <x v="15"/>
    <n v="16"/>
    <x v="1"/>
    <x v="0"/>
    <n v="2"/>
    <n v="90352"/>
    <x v="669"/>
    <x v="668"/>
    <n v="247066"/>
    <n v="36.57"/>
    <x v="216"/>
    <n v="18.5"/>
    <n v="488"/>
    <n v="2.08"/>
    <n v="0.27900000000000003"/>
    <n v="63891"/>
    <n v="92.7"/>
    <n v="27.6"/>
    <x v="166"/>
    <n v="94.9"/>
    <x v="572"/>
    <n v="0"/>
  </r>
  <r>
    <x v="13"/>
    <n v="14"/>
    <x v="1"/>
    <x v="15"/>
    <n v="16"/>
    <x v="2"/>
    <x v="1"/>
    <n v="4"/>
    <n v="54703"/>
    <x v="670"/>
    <x v="669"/>
    <n v="103161"/>
    <n v="53.03"/>
    <x v="216"/>
    <n v="18.5"/>
    <n v="488"/>
    <n v="2.08"/>
    <n v="0.27900000000000003"/>
    <n v="63891"/>
    <n v="92.7"/>
    <n v="27.6"/>
    <x v="166"/>
    <n v="94.9"/>
    <x v="573"/>
    <n v="1"/>
  </r>
  <r>
    <x v="14"/>
    <n v="15"/>
    <x v="1"/>
    <x v="0"/>
    <n v="1"/>
    <x v="0"/>
    <x v="0"/>
    <n v="1"/>
    <n v="20"/>
    <x v="671"/>
    <x v="670"/>
    <n v="19656"/>
    <n v="0.1"/>
    <x v="217"/>
    <n v="5.0999999999999996"/>
    <n v="128"/>
    <n v="1.8"/>
    <n v="0.12"/>
    <n v="87808"/>
    <n v="79.400000000000006"/>
    <n v="10.7"/>
    <x v="0"/>
    <n v="69.900000000000006"/>
    <x v="0"/>
    <n v="0"/>
  </r>
  <r>
    <x v="14"/>
    <n v="15"/>
    <x v="1"/>
    <x v="0"/>
    <n v="1"/>
    <x v="1"/>
    <x v="0"/>
    <n v="2"/>
    <n v="230"/>
    <x v="672"/>
    <x v="671"/>
    <n v="79388"/>
    <n v="0.28999999999999998"/>
    <x v="217"/>
    <n v="5.0999999999999996"/>
    <n v="128"/>
    <n v="1.8"/>
    <n v="0.12"/>
    <n v="87808"/>
    <n v="79.400000000000006"/>
    <n v="10.7"/>
    <x v="0"/>
    <n v="69.900000000000006"/>
    <x v="0"/>
    <n v="0"/>
  </r>
  <r>
    <x v="14"/>
    <n v="15"/>
    <x v="1"/>
    <x v="0"/>
    <n v="1"/>
    <x v="2"/>
    <x v="0"/>
    <n v="3"/>
    <n v="141"/>
    <x v="673"/>
    <x v="672"/>
    <n v="33428"/>
    <n v="0.42"/>
    <x v="217"/>
    <n v="5.0999999999999996"/>
    <n v="128"/>
    <n v="1.8"/>
    <n v="0.12"/>
    <n v="87808"/>
    <n v="79.400000000000006"/>
    <n v="10.7"/>
    <x v="0"/>
    <n v="69.900000000000006"/>
    <x v="0"/>
    <n v="0"/>
  </r>
  <r>
    <x v="14"/>
    <n v="15"/>
    <x v="1"/>
    <x v="1"/>
    <n v="2"/>
    <x v="0"/>
    <x v="0"/>
    <n v="1"/>
    <n v="115"/>
    <x v="674"/>
    <x v="673"/>
    <n v="20823"/>
    <n v="0.55000000000000004"/>
    <x v="112"/>
    <n v="8.6"/>
    <n v="130"/>
    <n v="1.7669999999999999"/>
    <n v="0.113"/>
    <n v="86544"/>
    <n v="79.5"/>
    <n v="10.5"/>
    <x v="0"/>
    <n v="72.7"/>
    <x v="33"/>
    <n v="0"/>
  </r>
  <r>
    <x v="14"/>
    <n v="15"/>
    <x v="1"/>
    <x v="1"/>
    <n v="2"/>
    <x v="1"/>
    <x v="0"/>
    <n v="2"/>
    <n v="1294"/>
    <x v="675"/>
    <x v="674"/>
    <n v="81916"/>
    <n v="1.58"/>
    <x v="112"/>
    <n v="8.6"/>
    <n v="130"/>
    <n v="1.7669999999999999"/>
    <n v="0.113"/>
    <n v="86544"/>
    <n v="79.5"/>
    <n v="10.5"/>
    <x v="0"/>
    <n v="72.7"/>
    <x v="33"/>
    <n v="0"/>
  </r>
  <r>
    <x v="14"/>
    <n v="15"/>
    <x v="1"/>
    <x v="1"/>
    <n v="2"/>
    <x v="2"/>
    <x v="0"/>
    <n v="3"/>
    <n v="785"/>
    <x v="676"/>
    <x v="675"/>
    <n v="34276"/>
    <n v="2.29"/>
    <x v="112"/>
    <n v="8.6"/>
    <n v="130"/>
    <n v="1.7669999999999999"/>
    <n v="0.113"/>
    <n v="86544"/>
    <n v="79.5"/>
    <n v="10.5"/>
    <x v="0"/>
    <n v="72.7"/>
    <x v="33"/>
    <n v="0"/>
  </r>
  <r>
    <x v="14"/>
    <n v="15"/>
    <x v="1"/>
    <x v="2"/>
    <n v="3"/>
    <x v="0"/>
    <x v="0"/>
    <n v="1"/>
    <n v="209"/>
    <x v="677"/>
    <x v="676"/>
    <n v="21261"/>
    <n v="0.98"/>
    <x v="218"/>
    <n v="9.6999999999999993"/>
    <n v="146"/>
    <n v="1.7130000000000001"/>
    <n v="0.108"/>
    <n v="82489"/>
    <n v="79.7"/>
    <n v="10.3"/>
    <x v="0"/>
    <n v="75"/>
    <x v="574"/>
    <n v="0"/>
  </r>
  <r>
    <x v="14"/>
    <n v="15"/>
    <x v="1"/>
    <x v="2"/>
    <n v="3"/>
    <x v="1"/>
    <x v="0"/>
    <n v="2"/>
    <n v="2373"/>
    <x v="678"/>
    <x v="677"/>
    <n v="84452"/>
    <n v="2.81"/>
    <x v="218"/>
    <n v="9.6999999999999993"/>
    <n v="146"/>
    <n v="1.7130000000000001"/>
    <n v="0.108"/>
    <n v="82489"/>
    <n v="79.7"/>
    <n v="10.3"/>
    <x v="0"/>
    <n v="75"/>
    <x v="575"/>
    <n v="0"/>
  </r>
  <r>
    <x v="14"/>
    <n v="15"/>
    <x v="1"/>
    <x v="2"/>
    <n v="3"/>
    <x v="2"/>
    <x v="0"/>
    <n v="3"/>
    <n v="1414"/>
    <x v="679"/>
    <x v="678"/>
    <n v="34694"/>
    <n v="4.08"/>
    <x v="218"/>
    <n v="9.6999999999999993"/>
    <n v="146"/>
    <n v="1.7130000000000001"/>
    <n v="0.108"/>
    <n v="82489"/>
    <n v="79.7"/>
    <n v="10.3"/>
    <x v="0"/>
    <n v="75"/>
    <x v="576"/>
    <n v="0"/>
  </r>
  <r>
    <x v="14"/>
    <n v="15"/>
    <x v="1"/>
    <x v="3"/>
    <n v="4"/>
    <x v="0"/>
    <x v="0"/>
    <n v="1"/>
    <n v="584"/>
    <x v="680"/>
    <x v="679"/>
    <n v="20848"/>
    <n v="2.8"/>
    <x v="219"/>
    <n v="13"/>
    <n v="156"/>
    <n v="1.637"/>
    <n v="0.10299999999999999"/>
    <n v="81142"/>
    <n v="80.2"/>
    <n v="10.199999999999999"/>
    <x v="0"/>
    <n v="77.7"/>
    <x v="577"/>
    <n v="0"/>
  </r>
  <r>
    <x v="14"/>
    <n v="15"/>
    <x v="1"/>
    <x v="3"/>
    <n v="4"/>
    <x v="1"/>
    <x v="0"/>
    <n v="2"/>
    <n v="6809"/>
    <x v="681"/>
    <x v="680"/>
    <n v="85012"/>
    <n v="8.01"/>
    <x v="219"/>
    <n v="13"/>
    <n v="156"/>
    <n v="1.637"/>
    <n v="0.10299999999999999"/>
    <n v="81142"/>
    <n v="80.2"/>
    <n v="10.199999999999999"/>
    <x v="0"/>
    <n v="77.7"/>
    <x v="578"/>
    <n v="0"/>
  </r>
  <r>
    <x v="14"/>
    <n v="15"/>
    <x v="1"/>
    <x v="3"/>
    <n v="4"/>
    <x v="2"/>
    <x v="0"/>
    <n v="3"/>
    <n v="4015"/>
    <x v="682"/>
    <x v="681"/>
    <n v="34565"/>
    <n v="11.62"/>
    <x v="219"/>
    <n v="13"/>
    <n v="156"/>
    <n v="1.637"/>
    <n v="0.10299999999999999"/>
    <n v="81142"/>
    <n v="80.2"/>
    <n v="10.199999999999999"/>
    <x v="0"/>
    <n v="77.7"/>
    <x v="579"/>
    <n v="0"/>
  </r>
  <r>
    <x v="14"/>
    <n v="15"/>
    <x v="1"/>
    <x v="4"/>
    <n v="5"/>
    <x v="0"/>
    <x v="0"/>
    <n v="1"/>
    <n v="964"/>
    <x v="683"/>
    <x v="682"/>
    <n v="21943"/>
    <n v="4.3899999999999997"/>
    <x v="220"/>
    <n v="14.7"/>
    <n v="163"/>
    <n v="1.61"/>
    <n v="9.8000000000000004E-2"/>
    <n v="77067"/>
    <n v="80.099999999999994"/>
    <n v="10.1"/>
    <x v="0"/>
    <n v="79.8"/>
    <x v="580"/>
    <n v="0"/>
  </r>
  <r>
    <x v="14"/>
    <n v="15"/>
    <x v="1"/>
    <x v="4"/>
    <n v="5"/>
    <x v="1"/>
    <x v="0"/>
    <n v="2"/>
    <n v="11158"/>
    <x v="684"/>
    <x v="683"/>
    <n v="88907"/>
    <n v="12.55"/>
    <x v="220"/>
    <n v="14.7"/>
    <n v="163"/>
    <n v="1.61"/>
    <n v="9.8000000000000004E-2"/>
    <n v="77067"/>
    <n v="80.099999999999994"/>
    <n v="10.1"/>
    <x v="0"/>
    <n v="79.8"/>
    <x v="581"/>
    <n v="0"/>
  </r>
  <r>
    <x v="14"/>
    <n v="15"/>
    <x v="1"/>
    <x v="4"/>
    <n v="5"/>
    <x v="2"/>
    <x v="0"/>
    <n v="3"/>
    <n v="6630"/>
    <x v="685"/>
    <x v="684"/>
    <n v="36435"/>
    <n v="18.2"/>
    <x v="220"/>
    <n v="14.7"/>
    <n v="163"/>
    <n v="1.61"/>
    <n v="9.8000000000000004E-2"/>
    <n v="77067"/>
    <n v="80.099999999999994"/>
    <n v="10.1"/>
    <x v="0"/>
    <n v="79.8"/>
    <x v="582"/>
    <n v="0"/>
  </r>
  <r>
    <x v="14"/>
    <n v="15"/>
    <x v="1"/>
    <x v="5"/>
    <n v="6"/>
    <x v="0"/>
    <x v="0"/>
    <n v="1"/>
    <n v="1141"/>
    <x v="686"/>
    <x v="685"/>
    <n v="22962"/>
    <n v="4.97"/>
    <x v="221"/>
    <n v="17.7"/>
    <n v="182"/>
    <n v="1.593"/>
    <n v="9.1999999999999998E-2"/>
    <n v="76226"/>
    <n v="80.599999999999994"/>
    <n v="9.9"/>
    <x v="0"/>
    <n v="82.5"/>
    <x v="583"/>
    <n v="0"/>
  </r>
  <r>
    <x v="14"/>
    <n v="15"/>
    <x v="1"/>
    <x v="5"/>
    <n v="6"/>
    <x v="1"/>
    <x v="0"/>
    <n v="2"/>
    <n v="13041"/>
    <x v="687"/>
    <x v="686"/>
    <n v="91840"/>
    <n v="14.2"/>
    <x v="221"/>
    <n v="17.7"/>
    <n v="182"/>
    <n v="1.593"/>
    <n v="9.1999999999999998E-2"/>
    <n v="76226"/>
    <n v="80.599999999999994"/>
    <n v="9.9"/>
    <x v="0"/>
    <n v="82.5"/>
    <x v="584"/>
    <n v="0"/>
  </r>
  <r>
    <x v="14"/>
    <n v="15"/>
    <x v="1"/>
    <x v="5"/>
    <n v="6"/>
    <x v="2"/>
    <x v="0"/>
    <n v="3"/>
    <n v="7829"/>
    <x v="688"/>
    <x v="687"/>
    <n v="38025"/>
    <n v="20.59"/>
    <x v="221"/>
    <n v="17.7"/>
    <n v="182"/>
    <n v="1.593"/>
    <n v="9.1999999999999998E-2"/>
    <n v="76226"/>
    <n v="80.599999999999994"/>
    <n v="9.9"/>
    <x v="0"/>
    <n v="82.5"/>
    <x v="585"/>
    <n v="0"/>
  </r>
  <r>
    <x v="14"/>
    <n v="15"/>
    <x v="1"/>
    <x v="6"/>
    <n v="7"/>
    <x v="0"/>
    <x v="0"/>
    <n v="1"/>
    <n v="1256"/>
    <x v="689"/>
    <x v="688"/>
    <n v="22832"/>
    <n v="5.5"/>
    <x v="222"/>
    <n v="20.399999999999999"/>
    <n v="199"/>
    <n v="1.62"/>
    <n v="8.7999999999999995E-2"/>
    <n v="73325"/>
    <n v="81"/>
    <n v="9.8000000000000007"/>
    <x v="0"/>
    <n v="84.9"/>
    <x v="586"/>
    <n v="0"/>
  </r>
  <r>
    <x v="14"/>
    <n v="15"/>
    <x v="1"/>
    <x v="6"/>
    <n v="7"/>
    <x v="1"/>
    <x v="0"/>
    <n v="2"/>
    <n v="14309"/>
    <x v="690"/>
    <x v="689"/>
    <n v="91027"/>
    <n v="15.72"/>
    <x v="222"/>
    <n v="20.399999999999999"/>
    <n v="199"/>
    <n v="1.62"/>
    <n v="8.7999999999999995E-2"/>
    <n v="73325"/>
    <n v="81"/>
    <n v="9.8000000000000007"/>
    <x v="0"/>
    <n v="84.9"/>
    <x v="587"/>
    <n v="0"/>
  </r>
  <r>
    <x v="14"/>
    <n v="15"/>
    <x v="1"/>
    <x v="6"/>
    <n v="7"/>
    <x v="2"/>
    <x v="0"/>
    <n v="3"/>
    <n v="8747"/>
    <x v="691"/>
    <x v="690"/>
    <n v="38372"/>
    <n v="22.8"/>
    <x v="222"/>
    <n v="20.399999999999999"/>
    <n v="199"/>
    <n v="1.62"/>
    <n v="8.7999999999999995E-2"/>
    <n v="73325"/>
    <n v="81"/>
    <n v="9.8000000000000007"/>
    <x v="0"/>
    <n v="84.9"/>
    <x v="588"/>
    <n v="0"/>
  </r>
  <r>
    <x v="14"/>
    <n v="15"/>
    <x v="1"/>
    <x v="7"/>
    <n v="8"/>
    <x v="0"/>
    <x v="0"/>
    <n v="1"/>
    <n v="1866"/>
    <x v="692"/>
    <x v="691"/>
    <n v="23021"/>
    <n v="8.11"/>
    <x v="223"/>
    <n v="21.9"/>
    <n v="243"/>
    <n v="1.647"/>
    <n v="8.5999999999999993E-2"/>
    <n v="75584"/>
    <n v="81.3"/>
    <n v="9.6"/>
    <x v="0"/>
    <n v="87"/>
    <x v="589"/>
    <n v="0"/>
  </r>
  <r>
    <x v="14"/>
    <n v="15"/>
    <x v="1"/>
    <x v="7"/>
    <n v="8"/>
    <x v="1"/>
    <x v="0"/>
    <n v="2"/>
    <n v="20923"/>
    <x v="693"/>
    <x v="692"/>
    <n v="90341"/>
    <n v="23.16"/>
    <x v="223"/>
    <n v="21.9"/>
    <n v="243"/>
    <n v="1.647"/>
    <n v="8.5999999999999993E-2"/>
    <n v="75584"/>
    <n v="81.3"/>
    <n v="9.6"/>
    <x v="0"/>
    <n v="87"/>
    <x v="590"/>
    <n v="0"/>
  </r>
  <r>
    <x v="14"/>
    <n v="15"/>
    <x v="1"/>
    <x v="7"/>
    <n v="8"/>
    <x v="2"/>
    <x v="0"/>
    <n v="3"/>
    <n v="12765"/>
    <x v="694"/>
    <x v="693"/>
    <n v="38011"/>
    <n v="33.58"/>
    <x v="223"/>
    <n v="21.9"/>
    <n v="243"/>
    <n v="1.647"/>
    <n v="8.5999999999999993E-2"/>
    <n v="75584"/>
    <n v="81.3"/>
    <n v="9.6"/>
    <x v="0"/>
    <n v="87"/>
    <x v="591"/>
    <n v="0"/>
  </r>
  <r>
    <x v="14"/>
    <n v="15"/>
    <x v="1"/>
    <x v="8"/>
    <n v="9"/>
    <x v="0"/>
    <x v="0"/>
    <n v="1"/>
    <n v="2411"/>
    <x v="695"/>
    <x v="694"/>
    <n v="23034"/>
    <n v="10.47"/>
    <x v="224"/>
    <n v="21.6"/>
    <n v="278"/>
    <n v="1.6830000000000001"/>
    <n v="8.4000000000000005E-2"/>
    <n v="75116"/>
    <n v="81.8"/>
    <n v="9.3000000000000007"/>
    <x v="0"/>
    <n v="89.3"/>
    <x v="592"/>
    <n v="0"/>
  </r>
  <r>
    <x v="14"/>
    <n v="15"/>
    <x v="1"/>
    <x v="8"/>
    <n v="9"/>
    <x v="1"/>
    <x v="0"/>
    <n v="2"/>
    <n v="27031"/>
    <x v="696"/>
    <x v="695"/>
    <n v="90375"/>
    <n v="29.91"/>
    <x v="224"/>
    <n v="21.6"/>
    <n v="278"/>
    <n v="1.6830000000000001"/>
    <n v="8.4000000000000005E-2"/>
    <n v="75116"/>
    <n v="81.8"/>
    <n v="9.3000000000000007"/>
    <x v="0"/>
    <n v="89.3"/>
    <x v="593"/>
    <n v="0"/>
  </r>
  <r>
    <x v="14"/>
    <n v="15"/>
    <x v="1"/>
    <x v="8"/>
    <n v="9"/>
    <x v="2"/>
    <x v="1"/>
    <n v="4"/>
    <n v="16251"/>
    <x v="697"/>
    <x v="696"/>
    <n v="37472"/>
    <n v="43.37"/>
    <x v="224"/>
    <n v="21.6"/>
    <n v="278"/>
    <n v="1.6830000000000001"/>
    <n v="8.4000000000000005E-2"/>
    <n v="75116"/>
    <n v="81.8"/>
    <n v="9.3000000000000007"/>
    <x v="0"/>
    <n v="89.3"/>
    <x v="594"/>
    <n v="0"/>
  </r>
  <r>
    <x v="14"/>
    <n v="15"/>
    <x v="1"/>
    <x v="9"/>
    <n v="10"/>
    <x v="0"/>
    <x v="0"/>
    <n v="1"/>
    <n v="3132"/>
    <x v="698"/>
    <x v="697"/>
    <n v="21344"/>
    <n v="14.67"/>
    <x v="225"/>
    <n v="24.7"/>
    <n v="319"/>
    <n v="1.7470000000000001"/>
    <n v="8.2000000000000003E-2"/>
    <n v="74492"/>
    <n v="82.1"/>
    <n v="8.8000000000000007"/>
    <x v="0"/>
    <n v="88.8"/>
    <x v="595"/>
    <n v="0"/>
  </r>
  <r>
    <x v="14"/>
    <n v="15"/>
    <x v="1"/>
    <x v="9"/>
    <n v="10"/>
    <x v="1"/>
    <x v="1"/>
    <n v="5"/>
    <n v="35179"/>
    <x v="699"/>
    <x v="698"/>
    <n v="83920"/>
    <n v="41.92"/>
    <x v="225"/>
    <n v="24.7"/>
    <n v="319"/>
    <n v="1.7470000000000001"/>
    <n v="8.2000000000000003E-2"/>
    <n v="74492"/>
    <n v="82.1"/>
    <n v="8.8000000000000007"/>
    <x v="0"/>
    <n v="88.8"/>
    <x v="596"/>
    <n v="0"/>
  </r>
  <r>
    <x v="14"/>
    <n v="15"/>
    <x v="1"/>
    <x v="9"/>
    <n v="10"/>
    <x v="2"/>
    <x v="1"/>
    <n v="4"/>
    <n v="21828"/>
    <x v="700"/>
    <x v="699"/>
    <n v="35910"/>
    <n v="60.79"/>
    <x v="225"/>
    <n v="24.7"/>
    <n v="319"/>
    <n v="1.7470000000000001"/>
    <n v="8.2000000000000003E-2"/>
    <n v="74492"/>
    <n v="82.1"/>
    <n v="8.8000000000000007"/>
    <x v="0"/>
    <n v="88.8"/>
    <x v="597"/>
    <n v="1"/>
  </r>
  <r>
    <x v="14"/>
    <n v="15"/>
    <x v="1"/>
    <x v="10"/>
    <n v="11"/>
    <x v="0"/>
    <x v="0"/>
    <n v="1"/>
    <n v="4027"/>
    <x v="701"/>
    <x v="700"/>
    <n v="20972"/>
    <n v="19.2"/>
    <x v="226"/>
    <n v="26.6"/>
    <n v="360"/>
    <n v="1.887"/>
    <n v="9.7000000000000003E-2"/>
    <n v="84775"/>
    <n v="82.6"/>
    <n v="8.1999999999999993"/>
    <x v="0"/>
    <n v="91.2"/>
    <x v="598"/>
    <n v="0"/>
  </r>
  <r>
    <x v="14"/>
    <n v="15"/>
    <x v="1"/>
    <x v="10"/>
    <n v="11"/>
    <x v="1"/>
    <x v="1"/>
    <n v="5"/>
    <n v="46610"/>
    <x v="702"/>
    <x v="701"/>
    <n v="84961"/>
    <n v="54.86"/>
    <x v="226"/>
    <n v="26.6"/>
    <n v="360"/>
    <n v="1.887"/>
    <n v="9.7000000000000003E-2"/>
    <n v="84775"/>
    <n v="82.6"/>
    <n v="8.1999999999999993"/>
    <x v="0"/>
    <n v="91.2"/>
    <x v="599"/>
    <n v="1"/>
  </r>
  <r>
    <x v="14"/>
    <n v="15"/>
    <x v="1"/>
    <x v="10"/>
    <n v="11"/>
    <x v="2"/>
    <x v="1"/>
    <n v="4"/>
    <n v="28030"/>
    <x v="703"/>
    <x v="702"/>
    <n v="35237"/>
    <n v="79.55"/>
    <x v="226"/>
    <n v="26.6"/>
    <n v="360"/>
    <n v="1.887"/>
    <n v="9.7000000000000003E-2"/>
    <n v="84775"/>
    <n v="82.6"/>
    <n v="8.1999999999999993"/>
    <x v="0"/>
    <n v="91.2"/>
    <x v="600"/>
    <n v="1"/>
  </r>
  <r>
    <x v="14"/>
    <n v="15"/>
    <x v="1"/>
    <x v="11"/>
    <n v="12"/>
    <x v="0"/>
    <x v="0"/>
    <n v="1"/>
    <n v="6253"/>
    <x v="704"/>
    <x v="703"/>
    <n v="26611"/>
    <n v="23.5"/>
    <x v="227"/>
    <n v="30.1"/>
    <n v="395"/>
    <n v="2.0630000000000002"/>
    <n v="0.13100000000000001"/>
    <n v="95275"/>
    <n v="82.8"/>
    <n v="7.7"/>
    <x v="0"/>
    <n v="92.2"/>
    <x v="601"/>
    <n v="0"/>
  </r>
  <r>
    <x v="14"/>
    <n v="15"/>
    <x v="1"/>
    <x v="11"/>
    <n v="12"/>
    <x v="1"/>
    <x v="1"/>
    <n v="5"/>
    <n v="72162"/>
    <x v="705"/>
    <x v="704"/>
    <n v="107480"/>
    <n v="67.14"/>
    <x v="227"/>
    <n v="30.1"/>
    <n v="395"/>
    <n v="2.0630000000000002"/>
    <n v="0.13100000000000001"/>
    <n v="95275"/>
    <n v="82.8"/>
    <n v="7.7"/>
    <x v="0"/>
    <n v="92.2"/>
    <x v="194"/>
    <n v="1"/>
  </r>
  <r>
    <x v="14"/>
    <n v="15"/>
    <x v="1"/>
    <x v="11"/>
    <n v="12"/>
    <x v="2"/>
    <x v="1"/>
    <n v="4"/>
    <n v="42451"/>
    <x v="706"/>
    <x v="705"/>
    <n v="44685"/>
    <n v="95"/>
    <x v="227"/>
    <n v="30.1"/>
    <n v="395"/>
    <n v="2.0630000000000002"/>
    <n v="0.13100000000000001"/>
    <n v="95275"/>
    <n v="82.8"/>
    <n v="7.7"/>
    <x v="0"/>
    <n v="92.2"/>
    <x v="602"/>
    <n v="1"/>
  </r>
  <r>
    <x v="14"/>
    <n v="15"/>
    <x v="1"/>
    <x v="12"/>
    <n v="13"/>
    <x v="0"/>
    <x v="0"/>
    <n v="1"/>
    <n v="7229"/>
    <x v="707"/>
    <x v="706"/>
    <n v="22999"/>
    <n v="31.43"/>
    <x v="228"/>
    <n v="31.8"/>
    <n v="420"/>
    <n v="2.1429999999999998"/>
    <n v="0.159"/>
    <n v="103437"/>
    <n v="83.4"/>
    <n v="7.2"/>
    <x v="0"/>
    <n v="95.602000000000004"/>
    <x v="603"/>
    <n v="0"/>
  </r>
  <r>
    <x v="14"/>
    <n v="15"/>
    <x v="1"/>
    <x v="12"/>
    <n v="13"/>
    <x v="1"/>
    <x v="1"/>
    <n v="5"/>
    <n v="82306"/>
    <x v="708"/>
    <x v="707"/>
    <n v="91645"/>
    <n v="89.81"/>
    <x v="228"/>
    <n v="31.8"/>
    <n v="420"/>
    <n v="2.1429999999999998"/>
    <n v="0.159"/>
    <n v="103437"/>
    <n v="83.4"/>
    <n v="7.2"/>
    <x v="0"/>
    <n v="95.602000000000004"/>
    <x v="604"/>
    <n v="1"/>
  </r>
  <r>
    <x v="14"/>
    <n v="15"/>
    <x v="1"/>
    <x v="12"/>
    <n v="13"/>
    <x v="2"/>
    <x v="1"/>
    <n v="4"/>
    <n v="36110"/>
    <x v="709"/>
    <x v="708"/>
    <n v="38010"/>
    <n v="95"/>
    <x v="228"/>
    <n v="31.8"/>
    <n v="420"/>
    <n v="2.1429999999999998"/>
    <n v="0.159"/>
    <n v="103437"/>
    <n v="83.4"/>
    <n v="7.2"/>
    <x v="0"/>
    <n v="95.602000000000004"/>
    <x v="605"/>
    <n v="1"/>
  </r>
  <r>
    <x v="14"/>
    <n v="15"/>
    <x v="1"/>
    <x v="13"/>
    <n v="14"/>
    <x v="0"/>
    <x v="0"/>
    <n v="1"/>
    <n v="6780"/>
    <x v="710"/>
    <x v="709"/>
    <n v="22653"/>
    <n v="29.93"/>
    <x v="229"/>
    <n v="32.9"/>
    <n v="442"/>
    <n v="2.153"/>
    <n v="0.16800000000000001"/>
    <n v="100025"/>
    <n v="83.5"/>
    <n v="6.7"/>
    <x v="0"/>
    <n v="95.6"/>
    <x v="606"/>
    <n v="0"/>
  </r>
  <r>
    <x v="14"/>
    <n v="15"/>
    <x v="1"/>
    <x v="13"/>
    <n v="14"/>
    <x v="1"/>
    <x v="1"/>
    <n v="5"/>
    <n v="79933"/>
    <x v="711"/>
    <x v="710"/>
    <n v="90514"/>
    <n v="88.31"/>
    <x v="229"/>
    <n v="32.9"/>
    <n v="442"/>
    <n v="2.153"/>
    <n v="0.16800000000000001"/>
    <n v="100025"/>
    <n v="83.5"/>
    <n v="6.7"/>
    <x v="0"/>
    <n v="95.6"/>
    <x v="607"/>
    <n v="1"/>
  </r>
  <r>
    <x v="14"/>
    <n v="15"/>
    <x v="1"/>
    <x v="13"/>
    <n v="14"/>
    <x v="2"/>
    <x v="1"/>
    <n v="4"/>
    <n v="35655"/>
    <x v="712"/>
    <x v="711"/>
    <n v="37532"/>
    <n v="95"/>
    <x v="229"/>
    <n v="32.9"/>
    <n v="442"/>
    <n v="2.153"/>
    <n v="0.16800000000000001"/>
    <n v="100025"/>
    <n v="83.5"/>
    <n v="6.7"/>
    <x v="0"/>
    <n v="95.6"/>
    <x v="608"/>
    <n v="1"/>
  </r>
  <r>
    <x v="14"/>
    <n v="15"/>
    <x v="1"/>
    <x v="14"/>
    <n v="15"/>
    <x v="0"/>
    <x v="0"/>
    <n v="1"/>
    <n v="6792"/>
    <x v="713"/>
    <x v="712"/>
    <n v="23574"/>
    <n v="28.81"/>
    <x v="230"/>
    <n v="31.7"/>
    <n v="481"/>
    <n v="2.09"/>
    <n v="0.155"/>
    <n v="94974"/>
    <n v="83.5"/>
    <n v="6"/>
    <x v="0"/>
    <n v="95.602000000000004"/>
    <x v="609"/>
    <n v="0"/>
  </r>
  <r>
    <x v="14"/>
    <n v="15"/>
    <x v="1"/>
    <x v="14"/>
    <n v="15"/>
    <x v="1"/>
    <x v="1"/>
    <n v="5"/>
    <n v="82124"/>
    <x v="714"/>
    <x v="713"/>
    <n v="94602"/>
    <n v="86.81"/>
    <x v="230"/>
    <n v="31.7"/>
    <n v="481"/>
    <n v="2.09"/>
    <n v="0.155"/>
    <n v="94974"/>
    <n v="83.5"/>
    <n v="6"/>
    <x v="0"/>
    <n v="95.602000000000004"/>
    <x v="610"/>
    <n v="1"/>
  </r>
  <r>
    <x v="14"/>
    <n v="15"/>
    <x v="1"/>
    <x v="14"/>
    <n v="15"/>
    <x v="2"/>
    <x v="1"/>
    <n v="4"/>
    <n v="36884"/>
    <x v="715"/>
    <x v="714"/>
    <n v="38825"/>
    <n v="95"/>
    <x v="230"/>
    <n v="31.7"/>
    <n v="481"/>
    <n v="2.09"/>
    <n v="0.155"/>
    <n v="94974"/>
    <n v="83.5"/>
    <n v="6"/>
    <x v="0"/>
    <n v="95.602000000000004"/>
    <x v="611"/>
    <n v="1"/>
  </r>
  <r>
    <x v="14"/>
    <n v="15"/>
    <x v="1"/>
    <x v="15"/>
    <n v="16"/>
    <x v="0"/>
    <x v="0"/>
    <n v="1"/>
    <n v="7082"/>
    <x v="716"/>
    <x v="715"/>
    <n v="23490"/>
    <n v="30.15"/>
    <x v="231"/>
    <n v="32.200000000000003"/>
    <n v="507"/>
    <n v="2.04"/>
    <n v="0.14399999999999999"/>
    <n v="96351"/>
    <n v="84.3"/>
    <n v="5.4"/>
    <x v="0"/>
    <n v="95.602000000000004"/>
    <x v="612"/>
    <n v="0"/>
  </r>
  <r>
    <x v="14"/>
    <n v="15"/>
    <x v="1"/>
    <x v="15"/>
    <n v="16"/>
    <x v="1"/>
    <x v="1"/>
    <n v="5"/>
    <n v="80945"/>
    <x v="717"/>
    <x v="716"/>
    <n v="93969"/>
    <n v="86.14"/>
    <x v="231"/>
    <n v="32.200000000000003"/>
    <n v="507"/>
    <n v="2.04"/>
    <n v="0.14399999999999999"/>
    <n v="96351"/>
    <n v="84.3"/>
    <n v="5.4"/>
    <x v="0"/>
    <n v="95.602000000000004"/>
    <x v="613"/>
    <n v="1"/>
  </r>
  <r>
    <x v="14"/>
    <n v="15"/>
    <x v="1"/>
    <x v="15"/>
    <n v="16"/>
    <x v="2"/>
    <x v="1"/>
    <n v="4"/>
    <n v="37238"/>
    <x v="718"/>
    <x v="717"/>
    <n v="39198"/>
    <n v="95"/>
    <x v="231"/>
    <n v="32.200000000000003"/>
    <n v="507"/>
    <n v="2.04"/>
    <n v="0.14399999999999999"/>
    <n v="96351"/>
    <n v="84.3"/>
    <n v="5.4"/>
    <x v="0"/>
    <n v="95.602000000000004"/>
    <x v="614"/>
    <n v="1"/>
  </r>
  <r>
    <x v="15"/>
    <n v="16"/>
    <x v="1"/>
    <x v="0"/>
    <n v="1"/>
    <x v="0"/>
    <x v="0"/>
    <n v="1"/>
    <n v="5"/>
    <x v="719"/>
    <x v="718"/>
    <n v="50772"/>
    <n v="0.01"/>
    <x v="0"/>
    <n v="0"/>
    <n v="111"/>
    <n v="1.26"/>
    <n v="0.14299999999999999"/>
    <n v="12774"/>
    <n v="60.9"/>
    <n v="42.9"/>
    <x v="0"/>
    <n v="35.5"/>
    <x v="0"/>
    <n v="0"/>
  </r>
  <r>
    <x v="15"/>
    <n v="16"/>
    <x v="1"/>
    <x v="0"/>
    <n v="1"/>
    <x v="1"/>
    <x v="0"/>
    <n v="2"/>
    <n v="15"/>
    <x v="720"/>
    <x v="719"/>
    <n v="204337"/>
    <n v="0.01"/>
    <x v="0"/>
    <n v="0"/>
    <n v="111"/>
    <n v="1.26"/>
    <n v="0.14299999999999999"/>
    <n v="12774"/>
    <n v="60.9"/>
    <n v="42.9"/>
    <x v="0"/>
    <n v="35.5"/>
    <x v="0"/>
    <n v="0"/>
  </r>
  <r>
    <x v="15"/>
    <n v="16"/>
    <x v="1"/>
    <x v="0"/>
    <n v="1"/>
    <x v="2"/>
    <x v="0"/>
    <n v="3"/>
    <n v="10"/>
    <x v="721"/>
    <x v="720"/>
    <n v="84189"/>
    <n v="0.01"/>
    <x v="0"/>
    <n v="0"/>
    <n v="111"/>
    <n v="1.26"/>
    <n v="0.14299999999999999"/>
    <n v="12774"/>
    <n v="60.9"/>
    <n v="42.9"/>
    <x v="0"/>
    <n v="35.5"/>
    <x v="0"/>
    <n v="0"/>
  </r>
  <r>
    <x v="15"/>
    <n v="16"/>
    <x v="1"/>
    <x v="1"/>
    <n v="2"/>
    <x v="0"/>
    <x v="0"/>
    <n v="1"/>
    <n v="5"/>
    <x v="722"/>
    <x v="721"/>
    <n v="51154"/>
    <n v="0.01"/>
    <x v="146"/>
    <n v="1.1000000000000001"/>
    <n v="133"/>
    <n v="1.22"/>
    <n v="0.14199999999999999"/>
    <n v="12432"/>
    <n v="60.4"/>
    <n v="43.5"/>
    <x v="167"/>
    <n v="36.299999999999997"/>
    <x v="0"/>
    <n v="0"/>
  </r>
  <r>
    <x v="15"/>
    <n v="16"/>
    <x v="1"/>
    <x v="1"/>
    <n v="2"/>
    <x v="1"/>
    <x v="0"/>
    <n v="2"/>
    <n v="20"/>
    <x v="723"/>
    <x v="722"/>
    <n v="203892"/>
    <n v="0.01"/>
    <x v="146"/>
    <n v="1.1000000000000001"/>
    <n v="133"/>
    <n v="1.22"/>
    <n v="0.14199999999999999"/>
    <n v="12432"/>
    <n v="60.4"/>
    <n v="43.5"/>
    <x v="167"/>
    <n v="36.299999999999997"/>
    <x v="66"/>
    <n v="0"/>
  </r>
  <r>
    <x v="15"/>
    <n v="16"/>
    <x v="1"/>
    <x v="1"/>
    <n v="2"/>
    <x v="2"/>
    <x v="0"/>
    <n v="3"/>
    <n v="12"/>
    <x v="724"/>
    <x v="723"/>
    <n v="83182"/>
    <n v="0.01"/>
    <x v="146"/>
    <n v="1.1000000000000001"/>
    <n v="133"/>
    <n v="1.22"/>
    <n v="0.14199999999999999"/>
    <n v="12432"/>
    <n v="60.4"/>
    <n v="43.5"/>
    <x v="167"/>
    <n v="36.299999999999997"/>
    <x v="615"/>
    <n v="0"/>
  </r>
  <r>
    <x v="15"/>
    <n v="16"/>
    <x v="1"/>
    <x v="2"/>
    <n v="3"/>
    <x v="0"/>
    <x v="0"/>
    <n v="1"/>
    <n v="10"/>
    <x v="725"/>
    <x v="724"/>
    <n v="48907"/>
    <n v="0.02"/>
    <x v="232"/>
    <n v="1.9"/>
    <n v="148"/>
    <n v="1.1870000000000001"/>
    <n v="0.14000000000000001"/>
    <n v="12537"/>
    <n v="60.5"/>
    <n v="44.9"/>
    <x v="168"/>
    <n v="37.799999999999997"/>
    <x v="616"/>
    <n v="0"/>
  </r>
  <r>
    <x v="15"/>
    <n v="16"/>
    <x v="1"/>
    <x v="2"/>
    <n v="3"/>
    <x v="1"/>
    <x v="0"/>
    <n v="2"/>
    <n v="39"/>
    <x v="726"/>
    <x v="725"/>
    <n v="194150"/>
    <n v="0.02"/>
    <x v="232"/>
    <n v="1.9"/>
    <n v="148"/>
    <n v="1.1870000000000001"/>
    <n v="0.14000000000000001"/>
    <n v="12537"/>
    <n v="60.5"/>
    <n v="44.9"/>
    <x v="168"/>
    <n v="37.799999999999997"/>
    <x v="617"/>
    <n v="0"/>
  </r>
  <r>
    <x v="15"/>
    <n v="16"/>
    <x v="1"/>
    <x v="2"/>
    <n v="3"/>
    <x v="2"/>
    <x v="0"/>
    <n v="3"/>
    <n v="24"/>
    <x v="727"/>
    <x v="726"/>
    <n v="82175"/>
    <n v="0.03"/>
    <x v="232"/>
    <n v="1.9"/>
    <n v="148"/>
    <n v="1.1870000000000001"/>
    <n v="0.14000000000000001"/>
    <n v="12537"/>
    <n v="60.5"/>
    <n v="44.9"/>
    <x v="168"/>
    <n v="37.799999999999997"/>
    <x v="618"/>
    <n v="0"/>
  </r>
  <r>
    <x v="15"/>
    <n v="16"/>
    <x v="1"/>
    <x v="3"/>
    <n v="4"/>
    <x v="0"/>
    <x v="0"/>
    <n v="1"/>
    <n v="8"/>
    <x v="728"/>
    <x v="727"/>
    <n v="48472"/>
    <n v="0.02"/>
    <x v="233"/>
    <n v="3.2"/>
    <n v="130"/>
    <n v="1.153"/>
    <n v="0.13900000000000001"/>
    <n v="12431"/>
    <n v="60.7"/>
    <n v="46"/>
    <x v="169"/>
    <n v="39.9"/>
    <x v="619"/>
    <n v="0"/>
  </r>
  <r>
    <x v="15"/>
    <n v="16"/>
    <x v="1"/>
    <x v="3"/>
    <n v="4"/>
    <x v="1"/>
    <x v="0"/>
    <n v="2"/>
    <n v="39"/>
    <x v="729"/>
    <x v="728"/>
    <n v="196331"/>
    <n v="0.02"/>
    <x v="233"/>
    <n v="3.2"/>
    <n v="130"/>
    <n v="1.153"/>
    <n v="0.13900000000000001"/>
    <n v="12431"/>
    <n v="60.7"/>
    <n v="46"/>
    <x v="169"/>
    <n v="39.9"/>
    <x v="501"/>
    <n v="0"/>
  </r>
  <r>
    <x v="15"/>
    <n v="16"/>
    <x v="1"/>
    <x v="3"/>
    <n v="4"/>
    <x v="2"/>
    <x v="0"/>
    <n v="3"/>
    <n v="24"/>
    <x v="730"/>
    <x v="729"/>
    <n v="81975"/>
    <n v="0.03"/>
    <x v="233"/>
    <n v="3.2"/>
    <n v="130"/>
    <n v="1.153"/>
    <n v="0.13900000000000001"/>
    <n v="12431"/>
    <n v="60.7"/>
    <n v="46"/>
    <x v="169"/>
    <n v="39.9"/>
    <x v="620"/>
    <n v="0"/>
  </r>
  <r>
    <x v="15"/>
    <n v="16"/>
    <x v="1"/>
    <x v="4"/>
    <n v="5"/>
    <x v="0"/>
    <x v="0"/>
    <n v="1"/>
    <n v="6"/>
    <x v="731"/>
    <x v="730"/>
    <n v="56781"/>
    <n v="0.01"/>
    <x v="149"/>
    <n v="4"/>
    <n v="148"/>
    <n v="1.127"/>
    <n v="0.14099999999999999"/>
    <n v="12560"/>
    <n v="60.3"/>
    <n v="47.3"/>
    <x v="170"/>
    <n v="40.200000000000003"/>
    <x v="385"/>
    <n v="0"/>
  </r>
  <r>
    <x v="15"/>
    <n v="16"/>
    <x v="1"/>
    <x v="4"/>
    <n v="5"/>
    <x v="1"/>
    <x v="0"/>
    <n v="2"/>
    <n v="66"/>
    <x v="732"/>
    <x v="731"/>
    <n v="219945"/>
    <n v="0.03"/>
    <x v="149"/>
    <n v="4"/>
    <n v="148"/>
    <n v="1.127"/>
    <n v="0.14099999999999999"/>
    <n v="12560"/>
    <n v="60.3"/>
    <n v="47.3"/>
    <x v="170"/>
    <n v="40.200000000000003"/>
    <x v="621"/>
    <n v="0"/>
  </r>
  <r>
    <x v="15"/>
    <n v="16"/>
    <x v="1"/>
    <x v="4"/>
    <n v="5"/>
    <x v="2"/>
    <x v="0"/>
    <n v="3"/>
    <n v="40"/>
    <x v="733"/>
    <x v="732"/>
    <n v="92433"/>
    <n v="0.04"/>
    <x v="149"/>
    <n v="4"/>
    <n v="148"/>
    <n v="1.127"/>
    <n v="0.14099999999999999"/>
    <n v="12560"/>
    <n v="60.3"/>
    <n v="47.3"/>
    <x v="170"/>
    <n v="40.200000000000003"/>
    <x v="622"/>
    <n v="0"/>
  </r>
  <r>
    <x v="15"/>
    <n v="16"/>
    <x v="1"/>
    <x v="5"/>
    <n v="6"/>
    <x v="0"/>
    <x v="0"/>
    <n v="1"/>
    <n v="15"/>
    <x v="734"/>
    <x v="733"/>
    <n v="60809"/>
    <n v="0.02"/>
    <x v="234"/>
    <n v="5.3"/>
    <n v="175"/>
    <n v="1.113"/>
    <n v="0.14299999999999999"/>
    <n v="12237"/>
    <n v="60.1"/>
    <n v="48.3"/>
    <x v="171"/>
    <n v="42.6"/>
    <x v="623"/>
    <n v="0"/>
  </r>
  <r>
    <x v="15"/>
    <n v="16"/>
    <x v="1"/>
    <x v="5"/>
    <n v="6"/>
    <x v="1"/>
    <x v="0"/>
    <n v="2"/>
    <n v="171"/>
    <x v="735"/>
    <x v="734"/>
    <n v="244389"/>
    <n v="7.0000000000000007E-2"/>
    <x v="234"/>
    <n v="5.3"/>
    <n v="175"/>
    <n v="1.113"/>
    <n v="0.14299999999999999"/>
    <n v="12237"/>
    <n v="60.1"/>
    <n v="48.3"/>
    <x v="171"/>
    <n v="42.6"/>
    <x v="624"/>
    <n v="0"/>
  </r>
  <r>
    <x v="15"/>
    <n v="16"/>
    <x v="1"/>
    <x v="5"/>
    <n v="6"/>
    <x v="2"/>
    <x v="0"/>
    <n v="3"/>
    <n v="102"/>
    <x v="736"/>
    <x v="735"/>
    <n v="100417"/>
    <n v="0.1"/>
    <x v="234"/>
    <n v="5.3"/>
    <n v="175"/>
    <n v="1.113"/>
    <n v="0.14299999999999999"/>
    <n v="12237"/>
    <n v="60.1"/>
    <n v="48.3"/>
    <x v="171"/>
    <n v="42.6"/>
    <x v="625"/>
    <n v="0"/>
  </r>
  <r>
    <x v="15"/>
    <n v="16"/>
    <x v="1"/>
    <x v="6"/>
    <n v="7"/>
    <x v="0"/>
    <x v="0"/>
    <n v="1"/>
    <n v="28"/>
    <x v="737"/>
    <x v="736"/>
    <n v="67266"/>
    <n v="0.04"/>
    <x v="235"/>
    <n v="6.2"/>
    <n v="193"/>
    <n v="1.1200000000000001"/>
    <n v="0.14599999999999999"/>
    <n v="13412"/>
    <n v="60.1"/>
    <n v="49.4"/>
    <x v="172"/>
    <n v="44.6"/>
    <x v="626"/>
    <n v="0"/>
  </r>
  <r>
    <x v="15"/>
    <n v="16"/>
    <x v="1"/>
    <x v="6"/>
    <n v="7"/>
    <x v="1"/>
    <x v="0"/>
    <n v="2"/>
    <n v="316"/>
    <x v="738"/>
    <x v="737"/>
    <n v="263633"/>
    <n v="0.12"/>
    <x v="235"/>
    <n v="6.2"/>
    <n v="193"/>
    <n v="1.1200000000000001"/>
    <n v="0.14599999999999999"/>
    <n v="13412"/>
    <n v="60.1"/>
    <n v="49.4"/>
    <x v="172"/>
    <n v="44.6"/>
    <x v="627"/>
    <n v="0"/>
  </r>
  <r>
    <x v="15"/>
    <n v="16"/>
    <x v="1"/>
    <x v="6"/>
    <n v="7"/>
    <x v="2"/>
    <x v="0"/>
    <n v="3"/>
    <n v="196"/>
    <x v="739"/>
    <x v="738"/>
    <n v="112805"/>
    <n v="0.17"/>
    <x v="235"/>
    <n v="6.2"/>
    <n v="193"/>
    <n v="1.1200000000000001"/>
    <n v="0.14599999999999999"/>
    <n v="13412"/>
    <n v="60.1"/>
    <n v="49.4"/>
    <x v="172"/>
    <n v="44.6"/>
    <x v="628"/>
    <n v="0"/>
  </r>
  <r>
    <x v="15"/>
    <n v="16"/>
    <x v="1"/>
    <x v="7"/>
    <n v="8"/>
    <x v="0"/>
    <x v="0"/>
    <n v="1"/>
    <n v="63"/>
    <x v="740"/>
    <x v="739"/>
    <n v="72285"/>
    <n v="0.09"/>
    <x v="236"/>
    <n v="9"/>
    <n v="219"/>
    <n v="1.133"/>
    <n v="0.153"/>
    <n v="14136"/>
    <n v="60"/>
    <n v="50.9"/>
    <x v="173"/>
    <n v="47"/>
    <x v="629"/>
    <n v="0"/>
  </r>
  <r>
    <x v="15"/>
    <n v="16"/>
    <x v="1"/>
    <x v="7"/>
    <n v="8"/>
    <x v="1"/>
    <x v="0"/>
    <n v="2"/>
    <n v="738"/>
    <x v="741"/>
    <x v="740"/>
    <n v="295246"/>
    <n v="0.25"/>
    <x v="236"/>
    <n v="9"/>
    <n v="219"/>
    <n v="1.133"/>
    <n v="0.153"/>
    <n v="14136"/>
    <n v="60"/>
    <n v="50.9"/>
    <x v="173"/>
    <n v="47"/>
    <x v="630"/>
    <n v="0"/>
  </r>
  <r>
    <x v="15"/>
    <n v="16"/>
    <x v="1"/>
    <x v="7"/>
    <n v="8"/>
    <x v="2"/>
    <x v="0"/>
    <n v="3"/>
    <n v="447"/>
    <x v="742"/>
    <x v="741"/>
    <n v="123243"/>
    <n v="0.36"/>
    <x v="236"/>
    <n v="9"/>
    <n v="219"/>
    <n v="1.133"/>
    <n v="0.153"/>
    <n v="14136"/>
    <n v="60"/>
    <n v="50.9"/>
    <x v="173"/>
    <n v="47"/>
    <x v="631"/>
    <n v="0"/>
  </r>
  <r>
    <x v="15"/>
    <n v="16"/>
    <x v="1"/>
    <x v="8"/>
    <n v="9"/>
    <x v="0"/>
    <x v="0"/>
    <n v="1"/>
    <n v="106"/>
    <x v="743"/>
    <x v="742"/>
    <n v="77784"/>
    <n v="0.14000000000000001"/>
    <x v="237"/>
    <n v="9.8000000000000007"/>
    <n v="257"/>
    <n v="1.157"/>
    <n v="0.161"/>
    <n v="14976"/>
    <n v="60.2"/>
    <n v="53.3"/>
    <x v="174"/>
    <n v="49.6"/>
    <x v="632"/>
    <n v="0"/>
  </r>
  <r>
    <x v="15"/>
    <n v="16"/>
    <x v="1"/>
    <x v="8"/>
    <n v="9"/>
    <x v="1"/>
    <x v="0"/>
    <n v="2"/>
    <n v="1209"/>
    <x v="744"/>
    <x v="743"/>
    <n v="309887"/>
    <n v="0.39"/>
    <x v="237"/>
    <n v="9.8000000000000007"/>
    <n v="257"/>
    <n v="1.157"/>
    <n v="0.161"/>
    <n v="14976"/>
    <n v="60.2"/>
    <n v="53.3"/>
    <x v="174"/>
    <n v="49.6"/>
    <x v="633"/>
    <n v="0"/>
  </r>
  <r>
    <x v="15"/>
    <n v="16"/>
    <x v="1"/>
    <x v="8"/>
    <n v="9"/>
    <x v="2"/>
    <x v="0"/>
    <n v="3"/>
    <n v="728"/>
    <x v="745"/>
    <x v="744"/>
    <n v="128704"/>
    <n v="0.56999999999999995"/>
    <x v="237"/>
    <n v="9.8000000000000007"/>
    <n v="257"/>
    <n v="1.157"/>
    <n v="0.161"/>
    <n v="14976"/>
    <n v="60.2"/>
    <n v="53.3"/>
    <x v="174"/>
    <n v="49.6"/>
    <x v="634"/>
    <n v="0"/>
  </r>
  <r>
    <x v="15"/>
    <n v="16"/>
    <x v="1"/>
    <x v="9"/>
    <n v="10"/>
    <x v="0"/>
    <x v="0"/>
    <n v="1"/>
    <n v="149"/>
    <x v="746"/>
    <x v="745"/>
    <n v="85334"/>
    <n v="0.17"/>
    <x v="238"/>
    <n v="11.4"/>
    <n v="303"/>
    <n v="1.2370000000000001"/>
    <n v="0.17"/>
    <n v="15509"/>
    <n v="60"/>
    <n v="52.6"/>
    <x v="175"/>
    <n v="53.8"/>
    <x v="635"/>
    <n v="0"/>
  </r>
  <r>
    <x v="15"/>
    <n v="16"/>
    <x v="1"/>
    <x v="9"/>
    <n v="10"/>
    <x v="1"/>
    <x v="0"/>
    <n v="2"/>
    <n v="1708"/>
    <x v="747"/>
    <x v="746"/>
    <n v="341566"/>
    <n v="0.5"/>
    <x v="238"/>
    <n v="11.4"/>
    <n v="303"/>
    <n v="1.2370000000000001"/>
    <n v="0.17"/>
    <n v="15509"/>
    <n v="60"/>
    <n v="52.6"/>
    <x v="175"/>
    <n v="53.8"/>
    <x v="636"/>
    <n v="0"/>
  </r>
  <r>
    <x v="15"/>
    <n v="16"/>
    <x v="1"/>
    <x v="9"/>
    <n v="10"/>
    <x v="2"/>
    <x v="0"/>
    <n v="3"/>
    <n v="1019"/>
    <x v="748"/>
    <x v="747"/>
    <n v="140605"/>
    <n v="0.72"/>
    <x v="238"/>
    <n v="11.4"/>
    <n v="303"/>
    <n v="1.2370000000000001"/>
    <n v="0.17"/>
    <n v="15509"/>
    <n v="60"/>
    <n v="52.6"/>
    <x v="175"/>
    <n v="53.8"/>
    <x v="637"/>
    <n v="0"/>
  </r>
  <r>
    <x v="15"/>
    <n v="16"/>
    <x v="1"/>
    <x v="10"/>
    <n v="11"/>
    <x v="0"/>
    <x v="0"/>
    <n v="1"/>
    <n v="490"/>
    <x v="749"/>
    <x v="748"/>
    <n v="62779"/>
    <n v="0.78"/>
    <x v="239"/>
    <n v="13.1"/>
    <n v="349"/>
    <n v="1.367"/>
    <n v="0.17599999999999999"/>
    <n v="16573"/>
    <n v="59.9"/>
    <n v="51.8"/>
    <x v="176"/>
    <n v="56.1"/>
    <x v="638"/>
    <n v="0"/>
  </r>
  <r>
    <x v="15"/>
    <n v="16"/>
    <x v="1"/>
    <x v="10"/>
    <n v="11"/>
    <x v="1"/>
    <x v="0"/>
    <n v="2"/>
    <n v="5688"/>
    <x v="750"/>
    <x v="749"/>
    <n v="255088"/>
    <n v="2.23"/>
    <x v="239"/>
    <n v="13.1"/>
    <n v="349"/>
    <n v="1.367"/>
    <n v="0.17599999999999999"/>
    <n v="16573"/>
    <n v="59.9"/>
    <n v="51.8"/>
    <x v="176"/>
    <n v="56.1"/>
    <x v="639"/>
    <n v="0"/>
  </r>
  <r>
    <x v="15"/>
    <n v="16"/>
    <x v="1"/>
    <x v="10"/>
    <n v="11"/>
    <x v="2"/>
    <x v="0"/>
    <n v="3"/>
    <n v="3407"/>
    <x v="751"/>
    <x v="750"/>
    <n v="105376"/>
    <n v="3.23"/>
    <x v="239"/>
    <n v="13.1"/>
    <n v="349"/>
    <n v="1.367"/>
    <n v="0.17599999999999999"/>
    <n v="16573"/>
    <n v="59.9"/>
    <n v="51.8"/>
    <x v="176"/>
    <n v="56.1"/>
    <x v="640"/>
    <n v="0"/>
  </r>
  <r>
    <x v="15"/>
    <n v="16"/>
    <x v="1"/>
    <x v="11"/>
    <n v="12"/>
    <x v="0"/>
    <x v="0"/>
    <n v="1"/>
    <n v="1102"/>
    <x v="752"/>
    <x v="751"/>
    <n v="69479"/>
    <n v="1.59"/>
    <x v="240"/>
    <n v="17.100000000000001"/>
    <n v="374"/>
    <n v="1.52"/>
    <n v="0.183"/>
    <n v="17483"/>
    <n v="59.8"/>
    <n v="50.1"/>
    <x v="177"/>
    <n v="58.6"/>
    <x v="641"/>
    <n v="0"/>
  </r>
  <r>
    <x v="15"/>
    <n v="16"/>
    <x v="1"/>
    <x v="11"/>
    <n v="12"/>
    <x v="1"/>
    <x v="0"/>
    <n v="2"/>
    <n v="12559"/>
    <x v="753"/>
    <x v="752"/>
    <n v="277250"/>
    <n v="4.53"/>
    <x v="240"/>
    <n v="17.100000000000001"/>
    <n v="374"/>
    <n v="1.52"/>
    <n v="0.183"/>
    <n v="17483"/>
    <n v="59.8"/>
    <n v="50.1"/>
    <x v="177"/>
    <n v="58.6"/>
    <x v="642"/>
    <n v="0"/>
  </r>
  <r>
    <x v="15"/>
    <n v="16"/>
    <x v="1"/>
    <x v="11"/>
    <n v="12"/>
    <x v="2"/>
    <x v="0"/>
    <n v="3"/>
    <n v="7626"/>
    <x v="754"/>
    <x v="753"/>
    <n v="116098"/>
    <n v="6.57"/>
    <x v="240"/>
    <n v="17.100000000000001"/>
    <n v="374"/>
    <n v="1.52"/>
    <n v="0.183"/>
    <n v="17483"/>
    <n v="59.8"/>
    <n v="50.1"/>
    <x v="177"/>
    <n v="58.6"/>
    <x v="643"/>
    <n v="0"/>
  </r>
  <r>
    <x v="15"/>
    <n v="16"/>
    <x v="1"/>
    <x v="12"/>
    <n v="13"/>
    <x v="0"/>
    <x v="0"/>
    <n v="1"/>
    <n v="1275"/>
    <x v="755"/>
    <x v="754"/>
    <n v="62374"/>
    <n v="2.04"/>
    <x v="241"/>
    <n v="18"/>
    <n v="413"/>
    <n v="1.587"/>
    <n v="0.192"/>
    <n v="17979"/>
    <n v="59.8"/>
    <n v="51.5"/>
    <x v="178"/>
    <n v="61.8"/>
    <x v="644"/>
    <n v="0"/>
  </r>
  <r>
    <x v="15"/>
    <n v="16"/>
    <x v="1"/>
    <x v="12"/>
    <n v="13"/>
    <x v="1"/>
    <x v="0"/>
    <n v="2"/>
    <n v="14464"/>
    <x v="756"/>
    <x v="755"/>
    <n v="247670"/>
    <n v="5.84"/>
    <x v="241"/>
    <n v="18"/>
    <n v="413"/>
    <n v="1.587"/>
    <n v="0.192"/>
    <n v="17979"/>
    <n v="59.8"/>
    <n v="51.5"/>
    <x v="178"/>
    <n v="61.8"/>
    <x v="645"/>
    <n v="0"/>
  </r>
  <r>
    <x v="15"/>
    <n v="16"/>
    <x v="1"/>
    <x v="12"/>
    <n v="13"/>
    <x v="2"/>
    <x v="0"/>
    <n v="3"/>
    <n v="8901"/>
    <x v="757"/>
    <x v="756"/>
    <n v="105118"/>
    <n v="8.4700000000000006"/>
    <x v="241"/>
    <n v="18"/>
    <n v="413"/>
    <n v="1.587"/>
    <n v="0.192"/>
    <n v="17979"/>
    <n v="59.8"/>
    <n v="51.5"/>
    <x v="178"/>
    <n v="61.8"/>
    <x v="646"/>
    <n v="0"/>
  </r>
  <r>
    <x v="15"/>
    <n v="16"/>
    <x v="1"/>
    <x v="13"/>
    <n v="14"/>
    <x v="0"/>
    <x v="0"/>
    <n v="1"/>
    <n v="1743"/>
    <x v="758"/>
    <x v="757"/>
    <n v="71662"/>
    <n v="2.4300000000000002"/>
    <x v="242"/>
    <n v="20.6"/>
    <n v="435"/>
    <n v="1.573"/>
    <n v="0.20100000000000001"/>
    <n v="18919"/>
    <n v="60.1"/>
    <n v="52.1"/>
    <x v="179"/>
    <n v="65.7"/>
    <x v="647"/>
    <n v="0"/>
  </r>
  <r>
    <x v="15"/>
    <n v="16"/>
    <x v="1"/>
    <x v="13"/>
    <n v="14"/>
    <x v="1"/>
    <x v="0"/>
    <n v="2"/>
    <n v="19746"/>
    <x v="759"/>
    <x v="758"/>
    <n v="284112"/>
    <n v="6.95"/>
    <x v="242"/>
    <n v="20.6"/>
    <n v="435"/>
    <n v="1.573"/>
    <n v="0.20100000000000001"/>
    <n v="18919"/>
    <n v="60.1"/>
    <n v="52.1"/>
    <x v="179"/>
    <n v="65.7"/>
    <x v="648"/>
    <n v="0"/>
  </r>
  <r>
    <x v="15"/>
    <n v="16"/>
    <x v="1"/>
    <x v="13"/>
    <n v="14"/>
    <x v="2"/>
    <x v="0"/>
    <n v="3"/>
    <n v="12221"/>
    <x v="760"/>
    <x v="759"/>
    <n v="121271"/>
    <n v="10.08"/>
    <x v="242"/>
    <n v="20.6"/>
    <n v="435"/>
    <n v="1.573"/>
    <n v="0.20100000000000001"/>
    <n v="18919"/>
    <n v="60.1"/>
    <n v="52.1"/>
    <x v="179"/>
    <n v="65.7"/>
    <x v="649"/>
    <n v="0"/>
  </r>
  <r>
    <x v="15"/>
    <n v="16"/>
    <x v="1"/>
    <x v="14"/>
    <n v="15"/>
    <x v="0"/>
    <x v="0"/>
    <n v="1"/>
    <n v="2028"/>
    <x v="761"/>
    <x v="760"/>
    <n v="77048"/>
    <n v="2.63"/>
    <x v="243"/>
    <n v="21.9"/>
    <n v="456"/>
    <n v="1.5169999999999999"/>
    <n v="0.21"/>
    <n v="19914"/>
    <n v="60.4"/>
    <n v="50.3"/>
    <x v="180"/>
    <n v="66.5"/>
    <x v="650"/>
    <n v="0"/>
  </r>
  <r>
    <x v="15"/>
    <n v="16"/>
    <x v="1"/>
    <x v="14"/>
    <n v="15"/>
    <x v="1"/>
    <x v="0"/>
    <n v="2"/>
    <n v="22966"/>
    <x v="762"/>
    <x v="761"/>
    <n v="305405"/>
    <n v="7.52"/>
    <x v="243"/>
    <n v="21.9"/>
    <n v="456"/>
    <n v="1.5169999999999999"/>
    <n v="0.21"/>
    <n v="19914"/>
    <n v="60.4"/>
    <n v="50.3"/>
    <x v="180"/>
    <n v="66.5"/>
    <x v="459"/>
    <n v="0"/>
  </r>
  <r>
    <x v="15"/>
    <n v="16"/>
    <x v="1"/>
    <x v="14"/>
    <n v="15"/>
    <x v="2"/>
    <x v="0"/>
    <n v="3"/>
    <n v="13898"/>
    <x v="763"/>
    <x v="762"/>
    <n v="127461"/>
    <n v="10.9"/>
    <x v="243"/>
    <n v="21.9"/>
    <n v="456"/>
    <n v="1.5169999999999999"/>
    <n v="0.21"/>
    <n v="19914"/>
    <n v="60.4"/>
    <n v="50.3"/>
    <x v="180"/>
    <n v="66.5"/>
    <x v="651"/>
    <n v="0"/>
  </r>
  <r>
    <x v="15"/>
    <n v="16"/>
    <x v="1"/>
    <x v="15"/>
    <n v="16"/>
    <x v="0"/>
    <x v="0"/>
    <n v="1"/>
    <n v="2578"/>
    <x v="764"/>
    <x v="763"/>
    <n v="81290"/>
    <n v="3.17"/>
    <x v="244"/>
    <n v="26.5"/>
    <n v="472"/>
    <n v="1.48"/>
    <n v="0.218"/>
    <n v="20523"/>
    <n v="60.6"/>
    <n v="46.6"/>
    <x v="181"/>
    <n v="70.400000000000006"/>
    <x v="652"/>
    <n v="0"/>
  </r>
  <r>
    <x v="15"/>
    <n v="16"/>
    <x v="1"/>
    <x v="15"/>
    <n v="16"/>
    <x v="1"/>
    <x v="0"/>
    <n v="2"/>
    <n v="28676"/>
    <x v="765"/>
    <x v="764"/>
    <n v="316513"/>
    <n v="9.06"/>
    <x v="244"/>
    <n v="26.5"/>
    <n v="472"/>
    <n v="1.48"/>
    <n v="0.218"/>
    <n v="20523"/>
    <n v="60.6"/>
    <n v="46.6"/>
    <x v="181"/>
    <n v="70.400000000000006"/>
    <x v="653"/>
    <n v="0"/>
  </r>
  <r>
    <x v="15"/>
    <n v="16"/>
    <x v="1"/>
    <x v="15"/>
    <n v="16"/>
    <x v="2"/>
    <x v="0"/>
    <n v="3"/>
    <n v="17421"/>
    <x v="766"/>
    <x v="765"/>
    <n v="132609"/>
    <n v="13.14"/>
    <x v="244"/>
    <n v="26.5"/>
    <n v="472"/>
    <n v="1.48"/>
    <n v="0.218"/>
    <n v="20523"/>
    <n v="60.6"/>
    <n v="46.6"/>
    <x v="181"/>
    <n v="70.400000000000006"/>
    <x v="654"/>
    <n v="0"/>
  </r>
  <r>
    <x v="16"/>
    <n v="17"/>
    <x v="1"/>
    <x v="0"/>
    <n v="1"/>
    <x v="0"/>
    <x v="0"/>
    <n v="1"/>
    <n v="8"/>
    <x v="767"/>
    <x v="766"/>
    <n v="34696"/>
    <n v="0.02"/>
    <x v="148"/>
    <n v="2.1"/>
    <n v="121"/>
    <n v="1.41"/>
    <n v="0.16900000000000001"/>
    <n v="22798"/>
    <n v="60.6"/>
    <n v="18"/>
    <x v="0"/>
    <n v="49.4"/>
    <x v="0"/>
    <n v="0"/>
  </r>
  <r>
    <x v="16"/>
    <n v="17"/>
    <x v="1"/>
    <x v="0"/>
    <n v="1"/>
    <x v="1"/>
    <x v="0"/>
    <n v="2"/>
    <n v="28"/>
    <x v="768"/>
    <x v="767"/>
    <n v="139223"/>
    <n v="0.02"/>
    <x v="148"/>
    <n v="2.1"/>
    <n v="121"/>
    <n v="1.41"/>
    <n v="0.16900000000000001"/>
    <n v="22798"/>
    <n v="60.6"/>
    <n v="18"/>
    <x v="0"/>
    <n v="49.4"/>
    <x v="0"/>
    <n v="0"/>
  </r>
  <r>
    <x v="16"/>
    <n v="17"/>
    <x v="1"/>
    <x v="0"/>
    <n v="1"/>
    <x v="2"/>
    <x v="0"/>
    <n v="3"/>
    <n v="17"/>
    <x v="769"/>
    <x v="768"/>
    <n v="57780"/>
    <n v="0.03"/>
    <x v="148"/>
    <n v="2.1"/>
    <n v="121"/>
    <n v="1.41"/>
    <n v="0.16900000000000001"/>
    <n v="22798"/>
    <n v="60.6"/>
    <n v="18"/>
    <x v="0"/>
    <n v="49.4"/>
    <x v="0"/>
    <n v="0"/>
  </r>
  <r>
    <x v="16"/>
    <n v="17"/>
    <x v="1"/>
    <x v="1"/>
    <n v="2"/>
    <x v="0"/>
    <x v="0"/>
    <n v="1"/>
    <n v="6"/>
    <x v="770"/>
    <x v="769"/>
    <n v="27477"/>
    <n v="0.02"/>
    <x v="245"/>
    <n v="2.9"/>
    <n v="128"/>
    <n v="1.38"/>
    <n v="0.18099999999999999"/>
    <n v="21749"/>
    <n v="61.2"/>
    <n v="17.7"/>
    <x v="182"/>
    <n v="50.1"/>
    <x v="655"/>
    <n v="0"/>
  </r>
  <r>
    <x v="16"/>
    <n v="17"/>
    <x v="1"/>
    <x v="1"/>
    <n v="2"/>
    <x v="1"/>
    <x v="0"/>
    <n v="2"/>
    <n v="66"/>
    <x v="771"/>
    <x v="770"/>
    <n v="110631"/>
    <n v="0.06"/>
    <x v="245"/>
    <n v="2.9"/>
    <n v="128"/>
    <n v="1.38"/>
    <n v="0.18099999999999999"/>
    <n v="21749"/>
    <n v="61.2"/>
    <n v="17.7"/>
    <x v="182"/>
    <n v="50.1"/>
    <x v="656"/>
    <n v="0"/>
  </r>
  <r>
    <x v="16"/>
    <n v="17"/>
    <x v="1"/>
    <x v="1"/>
    <n v="2"/>
    <x v="2"/>
    <x v="0"/>
    <n v="3"/>
    <n v="40"/>
    <x v="772"/>
    <x v="771"/>
    <n v="46453"/>
    <n v="0.09"/>
    <x v="245"/>
    <n v="2.9"/>
    <n v="128"/>
    <n v="1.38"/>
    <n v="0.18099999999999999"/>
    <n v="21749"/>
    <n v="61.2"/>
    <n v="17.7"/>
    <x v="182"/>
    <n v="50.1"/>
    <x v="657"/>
    <n v="0"/>
  </r>
  <r>
    <x v="16"/>
    <n v="17"/>
    <x v="1"/>
    <x v="2"/>
    <n v="3"/>
    <x v="0"/>
    <x v="0"/>
    <n v="1"/>
    <n v="7"/>
    <x v="773"/>
    <x v="772"/>
    <n v="23470"/>
    <n v="0.03"/>
    <x v="246"/>
    <n v="4.2"/>
    <n v="136"/>
    <n v="1.38"/>
    <n v="0.192"/>
    <n v="21225"/>
    <n v="62"/>
    <n v="17.100000000000001"/>
    <x v="183"/>
    <n v="51.5"/>
    <x v="658"/>
    <n v="0"/>
  </r>
  <r>
    <x v="16"/>
    <n v="17"/>
    <x v="1"/>
    <x v="2"/>
    <n v="3"/>
    <x v="1"/>
    <x v="0"/>
    <n v="2"/>
    <n v="84"/>
    <x v="774"/>
    <x v="773"/>
    <n v="93023"/>
    <n v="0.09"/>
    <x v="246"/>
    <n v="4.2"/>
    <n v="136"/>
    <n v="1.38"/>
    <n v="0.192"/>
    <n v="21225"/>
    <n v="62"/>
    <n v="17.100000000000001"/>
    <x v="183"/>
    <n v="51.5"/>
    <x v="90"/>
    <n v="0"/>
  </r>
  <r>
    <x v="16"/>
    <n v="17"/>
    <x v="1"/>
    <x v="2"/>
    <n v="3"/>
    <x v="2"/>
    <x v="0"/>
    <n v="3"/>
    <n v="50"/>
    <x v="775"/>
    <x v="774"/>
    <n v="38324"/>
    <n v="0.13"/>
    <x v="246"/>
    <n v="4.2"/>
    <n v="136"/>
    <n v="1.38"/>
    <n v="0.192"/>
    <n v="21225"/>
    <n v="62"/>
    <n v="17.100000000000001"/>
    <x v="183"/>
    <n v="51.5"/>
    <x v="659"/>
    <n v="0"/>
  </r>
  <r>
    <x v="16"/>
    <n v="17"/>
    <x v="1"/>
    <x v="3"/>
    <n v="4"/>
    <x v="0"/>
    <x v="0"/>
    <n v="1"/>
    <n v="10"/>
    <x v="776"/>
    <x v="775"/>
    <n v="17480"/>
    <n v="0.06"/>
    <x v="247"/>
    <n v="5.6"/>
    <n v="147"/>
    <n v="1.38"/>
    <n v="0.20399999999999999"/>
    <n v="20646"/>
    <n v="62.4"/>
    <n v="16.7"/>
    <x v="184"/>
    <n v="51.8"/>
    <x v="660"/>
    <n v="0"/>
  </r>
  <r>
    <x v="16"/>
    <n v="17"/>
    <x v="1"/>
    <x v="3"/>
    <n v="4"/>
    <x v="1"/>
    <x v="0"/>
    <n v="2"/>
    <n v="116"/>
    <x v="777"/>
    <x v="776"/>
    <n v="68181"/>
    <n v="0.17"/>
    <x v="247"/>
    <n v="5.6"/>
    <n v="147"/>
    <n v="1.38"/>
    <n v="0.20399999999999999"/>
    <n v="20646"/>
    <n v="62.4"/>
    <n v="16.7"/>
    <x v="184"/>
    <n v="51.8"/>
    <x v="661"/>
    <n v="0"/>
  </r>
  <r>
    <x v="16"/>
    <n v="17"/>
    <x v="1"/>
    <x v="3"/>
    <n v="4"/>
    <x v="2"/>
    <x v="0"/>
    <n v="3"/>
    <n v="71"/>
    <x v="778"/>
    <x v="777"/>
    <n v="28896"/>
    <n v="0.25"/>
    <x v="247"/>
    <n v="5.6"/>
    <n v="147"/>
    <n v="1.38"/>
    <n v="0.20399999999999999"/>
    <n v="20646"/>
    <n v="62.4"/>
    <n v="16.7"/>
    <x v="184"/>
    <n v="51.8"/>
    <x v="662"/>
    <n v="0"/>
  </r>
  <r>
    <x v="16"/>
    <n v="17"/>
    <x v="1"/>
    <x v="4"/>
    <n v="5"/>
    <x v="0"/>
    <x v="0"/>
    <n v="1"/>
    <n v="44"/>
    <x v="779"/>
    <x v="628"/>
    <n v="22245"/>
    <n v="0.2"/>
    <x v="248"/>
    <n v="6.8"/>
    <n v="152"/>
    <n v="1.357"/>
    <n v="0.21199999999999999"/>
    <n v="19761"/>
    <n v="63.1"/>
    <n v="16.2"/>
    <x v="185"/>
    <n v="55.7"/>
    <x v="663"/>
    <n v="0"/>
  </r>
  <r>
    <x v="16"/>
    <n v="17"/>
    <x v="1"/>
    <x v="4"/>
    <n v="5"/>
    <x v="1"/>
    <x v="0"/>
    <n v="2"/>
    <n v="505"/>
    <x v="780"/>
    <x v="778"/>
    <n v="88607"/>
    <n v="0.56999999999999995"/>
    <x v="248"/>
    <n v="6.8"/>
    <n v="152"/>
    <n v="1.357"/>
    <n v="0.21199999999999999"/>
    <n v="19761"/>
    <n v="63.1"/>
    <n v="16.2"/>
    <x v="185"/>
    <n v="55.7"/>
    <x v="33"/>
    <n v="0"/>
  </r>
  <r>
    <x v="16"/>
    <n v="17"/>
    <x v="1"/>
    <x v="4"/>
    <n v="5"/>
    <x v="2"/>
    <x v="0"/>
    <n v="3"/>
    <n v="310"/>
    <x v="781"/>
    <x v="779"/>
    <n v="37490"/>
    <n v="0.83"/>
    <x v="248"/>
    <n v="6.8"/>
    <n v="152"/>
    <n v="1.357"/>
    <n v="0.21199999999999999"/>
    <n v="19761"/>
    <n v="63.1"/>
    <n v="16.2"/>
    <x v="185"/>
    <n v="55.7"/>
    <x v="664"/>
    <n v="0"/>
  </r>
  <r>
    <x v="16"/>
    <n v="17"/>
    <x v="1"/>
    <x v="5"/>
    <n v="6"/>
    <x v="0"/>
    <x v="0"/>
    <n v="1"/>
    <n v="76"/>
    <x v="782"/>
    <x v="780"/>
    <n v="26237"/>
    <n v="0.28999999999999998"/>
    <x v="249"/>
    <n v="8.1999999999999993"/>
    <n v="170"/>
    <n v="1.347"/>
    <n v="0.217"/>
    <n v="19169"/>
    <n v="63.7"/>
    <n v="16.399999999999999"/>
    <x v="186"/>
    <n v="55.9"/>
    <x v="665"/>
    <n v="0"/>
  </r>
  <r>
    <x v="16"/>
    <n v="17"/>
    <x v="1"/>
    <x v="5"/>
    <n v="6"/>
    <x v="1"/>
    <x v="0"/>
    <n v="2"/>
    <n v="893"/>
    <x v="783"/>
    <x v="781"/>
    <n v="107573"/>
    <n v="0.83"/>
    <x v="249"/>
    <n v="8.1999999999999993"/>
    <n v="170"/>
    <n v="1.347"/>
    <n v="0.217"/>
    <n v="19169"/>
    <n v="63.7"/>
    <n v="16.399999999999999"/>
    <x v="186"/>
    <n v="55.9"/>
    <x v="666"/>
    <n v="0"/>
  </r>
  <r>
    <x v="16"/>
    <n v="17"/>
    <x v="1"/>
    <x v="5"/>
    <n v="6"/>
    <x v="2"/>
    <x v="0"/>
    <n v="3"/>
    <n v="538"/>
    <x v="784"/>
    <x v="782"/>
    <n v="44719"/>
    <n v="1.2"/>
    <x v="249"/>
    <n v="8.1999999999999993"/>
    <n v="170"/>
    <n v="1.347"/>
    <n v="0.217"/>
    <n v="19169"/>
    <n v="63.7"/>
    <n v="16.399999999999999"/>
    <x v="186"/>
    <n v="55.9"/>
    <x v="667"/>
    <n v="0"/>
  </r>
  <r>
    <x v="16"/>
    <n v="17"/>
    <x v="1"/>
    <x v="6"/>
    <n v="7"/>
    <x v="0"/>
    <x v="0"/>
    <n v="1"/>
    <n v="116"/>
    <x v="785"/>
    <x v="783"/>
    <n v="30717"/>
    <n v="0.38"/>
    <x v="250"/>
    <n v="9.3000000000000007"/>
    <n v="182"/>
    <n v="1.373"/>
    <n v="0.218"/>
    <n v="20325"/>
    <n v="64.099999999999994"/>
    <n v="16.5"/>
    <x v="187"/>
    <n v="60"/>
    <x v="668"/>
    <n v="0"/>
  </r>
  <r>
    <x v="16"/>
    <n v="17"/>
    <x v="1"/>
    <x v="6"/>
    <n v="7"/>
    <x v="1"/>
    <x v="0"/>
    <n v="2"/>
    <n v="1340"/>
    <x v="786"/>
    <x v="784"/>
    <n v="124073"/>
    <n v="1.08"/>
    <x v="250"/>
    <n v="9.3000000000000007"/>
    <n v="182"/>
    <n v="1.373"/>
    <n v="0.218"/>
    <n v="20325"/>
    <n v="64.099999999999994"/>
    <n v="16.5"/>
    <x v="187"/>
    <n v="60"/>
    <x v="669"/>
    <n v="0"/>
  </r>
  <r>
    <x v="16"/>
    <n v="17"/>
    <x v="1"/>
    <x v="6"/>
    <n v="7"/>
    <x v="2"/>
    <x v="0"/>
    <n v="3"/>
    <n v="794"/>
    <x v="787"/>
    <x v="785"/>
    <n v="50675"/>
    <n v="1.57"/>
    <x v="250"/>
    <n v="9.3000000000000007"/>
    <n v="182"/>
    <n v="1.373"/>
    <n v="0.218"/>
    <n v="20325"/>
    <n v="64.099999999999994"/>
    <n v="16.5"/>
    <x v="187"/>
    <n v="60"/>
    <x v="670"/>
    <n v="0"/>
  </r>
  <r>
    <x v="16"/>
    <n v="17"/>
    <x v="1"/>
    <x v="7"/>
    <n v="8"/>
    <x v="0"/>
    <x v="0"/>
    <n v="1"/>
    <n v="157"/>
    <x v="788"/>
    <x v="786"/>
    <n v="33054"/>
    <n v="0.47"/>
    <x v="251"/>
    <n v="10.7"/>
    <n v="217"/>
    <n v="1.4370000000000001"/>
    <n v="0.217"/>
    <n v="21696"/>
    <n v="64.5"/>
    <n v="16.899999999999999"/>
    <x v="188"/>
    <n v="62"/>
    <x v="671"/>
    <n v="0"/>
  </r>
  <r>
    <x v="16"/>
    <n v="17"/>
    <x v="1"/>
    <x v="7"/>
    <n v="8"/>
    <x v="1"/>
    <x v="0"/>
    <n v="2"/>
    <n v="1815"/>
    <x v="789"/>
    <x v="787"/>
    <n v="133459"/>
    <n v="1.36"/>
    <x v="251"/>
    <n v="10.7"/>
    <n v="217"/>
    <n v="1.4370000000000001"/>
    <n v="0.217"/>
    <n v="21696"/>
    <n v="64.5"/>
    <n v="16.899999999999999"/>
    <x v="188"/>
    <n v="62"/>
    <x v="672"/>
    <n v="0"/>
  </r>
  <r>
    <x v="16"/>
    <n v="17"/>
    <x v="1"/>
    <x v="7"/>
    <n v="8"/>
    <x v="2"/>
    <x v="0"/>
    <n v="3"/>
    <n v="1088"/>
    <x v="790"/>
    <x v="788"/>
    <n v="55158"/>
    <n v="1.97"/>
    <x v="251"/>
    <n v="10.7"/>
    <n v="217"/>
    <n v="1.4370000000000001"/>
    <n v="0.217"/>
    <n v="21696"/>
    <n v="64.5"/>
    <n v="16.899999999999999"/>
    <x v="188"/>
    <n v="62"/>
    <x v="673"/>
    <n v="0"/>
  </r>
  <r>
    <x v="16"/>
    <n v="17"/>
    <x v="1"/>
    <x v="8"/>
    <n v="9"/>
    <x v="0"/>
    <x v="0"/>
    <n v="1"/>
    <n v="395"/>
    <x v="791"/>
    <x v="789"/>
    <n v="36906"/>
    <n v="1.07"/>
    <x v="252"/>
    <n v="11"/>
    <n v="266"/>
    <n v="1.4470000000000001"/>
    <n v="0.219"/>
    <n v="21825"/>
    <n v="64.599999999999994"/>
    <n v="17.2"/>
    <x v="189"/>
    <n v="64.400000000000006"/>
    <x v="674"/>
    <n v="0"/>
  </r>
  <r>
    <x v="16"/>
    <n v="17"/>
    <x v="1"/>
    <x v="8"/>
    <n v="9"/>
    <x v="1"/>
    <x v="0"/>
    <n v="2"/>
    <n v="4587"/>
    <x v="792"/>
    <x v="790"/>
    <n v="149912"/>
    <n v="3.06"/>
    <x v="252"/>
    <n v="11"/>
    <n v="266"/>
    <n v="1.4470000000000001"/>
    <n v="0.219"/>
    <n v="21825"/>
    <n v="64.599999999999994"/>
    <n v="17.2"/>
    <x v="189"/>
    <n v="64.400000000000006"/>
    <x v="675"/>
    <n v="0"/>
  </r>
  <r>
    <x v="16"/>
    <n v="17"/>
    <x v="1"/>
    <x v="8"/>
    <n v="9"/>
    <x v="2"/>
    <x v="0"/>
    <n v="3"/>
    <n v="2754"/>
    <x v="793"/>
    <x v="791"/>
    <n v="62075"/>
    <n v="4.4400000000000004"/>
    <x v="252"/>
    <n v="11"/>
    <n v="266"/>
    <n v="1.4470000000000001"/>
    <n v="0.219"/>
    <n v="21825"/>
    <n v="64.599999999999994"/>
    <n v="17.2"/>
    <x v="189"/>
    <n v="64.400000000000006"/>
    <x v="676"/>
    <n v="0"/>
  </r>
  <r>
    <x v="16"/>
    <n v="17"/>
    <x v="1"/>
    <x v="9"/>
    <n v="10"/>
    <x v="0"/>
    <x v="0"/>
    <n v="1"/>
    <n v="601"/>
    <x v="794"/>
    <x v="792"/>
    <n v="38855"/>
    <n v="1.55"/>
    <x v="253"/>
    <n v="13.6"/>
    <n v="295"/>
    <n v="1.5269999999999999"/>
    <n v="0.219"/>
    <n v="22947"/>
    <n v="65.5"/>
    <n v="16.5"/>
    <x v="190"/>
    <n v="67.8"/>
    <x v="677"/>
    <n v="0"/>
  </r>
  <r>
    <x v="16"/>
    <n v="17"/>
    <x v="1"/>
    <x v="9"/>
    <n v="10"/>
    <x v="1"/>
    <x v="0"/>
    <n v="2"/>
    <n v="6792"/>
    <x v="795"/>
    <x v="793"/>
    <n v="153665"/>
    <n v="4.42"/>
    <x v="253"/>
    <n v="13.6"/>
    <n v="295"/>
    <n v="1.5269999999999999"/>
    <n v="0.219"/>
    <n v="22947"/>
    <n v="65.5"/>
    <n v="16.5"/>
    <x v="190"/>
    <n v="67.8"/>
    <x v="678"/>
    <n v="0"/>
  </r>
  <r>
    <x v="16"/>
    <n v="17"/>
    <x v="1"/>
    <x v="9"/>
    <n v="10"/>
    <x v="2"/>
    <x v="0"/>
    <n v="3"/>
    <n v="4272"/>
    <x v="796"/>
    <x v="794"/>
    <n v="66661"/>
    <n v="6.41"/>
    <x v="253"/>
    <n v="13.6"/>
    <n v="295"/>
    <n v="1.5269999999999999"/>
    <n v="0.219"/>
    <n v="22947"/>
    <n v="65.5"/>
    <n v="16.5"/>
    <x v="190"/>
    <n v="67.8"/>
    <x v="679"/>
    <n v="0"/>
  </r>
  <r>
    <x v="16"/>
    <n v="17"/>
    <x v="1"/>
    <x v="10"/>
    <n v="11"/>
    <x v="0"/>
    <x v="0"/>
    <n v="1"/>
    <n v="953"/>
    <x v="797"/>
    <x v="795"/>
    <n v="26872"/>
    <n v="3.55"/>
    <x v="254"/>
    <n v="17.5"/>
    <n v="340"/>
    <n v="1.64"/>
    <n v="0.222"/>
    <n v="23176"/>
    <n v="65.8"/>
    <n v="15.8"/>
    <x v="191"/>
    <n v="69.7"/>
    <x v="680"/>
    <n v="0"/>
  </r>
  <r>
    <x v="16"/>
    <n v="17"/>
    <x v="1"/>
    <x v="10"/>
    <n v="11"/>
    <x v="1"/>
    <x v="0"/>
    <n v="2"/>
    <n v="10643"/>
    <x v="798"/>
    <x v="796"/>
    <n v="105067"/>
    <n v="10.130000000000001"/>
    <x v="254"/>
    <n v="17.5"/>
    <n v="340"/>
    <n v="1.64"/>
    <n v="0.222"/>
    <n v="23176"/>
    <n v="65.8"/>
    <n v="15.8"/>
    <x v="191"/>
    <n v="69.7"/>
    <x v="681"/>
    <n v="0"/>
  </r>
  <r>
    <x v="16"/>
    <n v="17"/>
    <x v="1"/>
    <x v="10"/>
    <n v="11"/>
    <x v="2"/>
    <x v="0"/>
    <n v="3"/>
    <n v="6419"/>
    <x v="799"/>
    <x v="797"/>
    <n v="43700"/>
    <n v="14.69"/>
    <x v="254"/>
    <n v="17.5"/>
    <n v="340"/>
    <n v="1.64"/>
    <n v="0.222"/>
    <n v="23176"/>
    <n v="65.8"/>
    <n v="15.8"/>
    <x v="191"/>
    <n v="69.7"/>
    <x v="682"/>
    <n v="0"/>
  </r>
  <r>
    <x v="16"/>
    <n v="17"/>
    <x v="1"/>
    <x v="11"/>
    <n v="12"/>
    <x v="0"/>
    <x v="0"/>
    <n v="1"/>
    <n v="1517"/>
    <x v="800"/>
    <x v="798"/>
    <n v="29602"/>
    <n v="5.12"/>
    <x v="255"/>
    <n v="18.399999999999999"/>
    <n v="373"/>
    <n v="1.8129999999999999"/>
    <n v="0.224"/>
    <n v="23680"/>
    <n v="66.900000000000006"/>
    <n v="15.4"/>
    <x v="192"/>
    <n v="72.599999999999994"/>
    <x v="391"/>
    <n v="0"/>
  </r>
  <r>
    <x v="16"/>
    <n v="17"/>
    <x v="1"/>
    <x v="11"/>
    <n v="12"/>
    <x v="1"/>
    <x v="0"/>
    <n v="2"/>
    <n v="17313"/>
    <x v="801"/>
    <x v="799"/>
    <n v="118256"/>
    <n v="14.64"/>
    <x v="255"/>
    <n v="18.399999999999999"/>
    <n v="373"/>
    <n v="1.8129999999999999"/>
    <n v="0.224"/>
    <n v="23680"/>
    <n v="66.900000000000006"/>
    <n v="15.4"/>
    <x v="192"/>
    <n v="72.599999999999994"/>
    <x v="683"/>
    <n v="0"/>
  </r>
  <r>
    <x v="16"/>
    <n v="17"/>
    <x v="1"/>
    <x v="11"/>
    <n v="12"/>
    <x v="2"/>
    <x v="0"/>
    <n v="3"/>
    <n v="10419"/>
    <x v="802"/>
    <x v="86"/>
    <n v="49080"/>
    <n v="21.23"/>
    <x v="255"/>
    <n v="18.399999999999999"/>
    <n v="373"/>
    <n v="1.8129999999999999"/>
    <n v="0.224"/>
    <n v="23680"/>
    <n v="66.900000000000006"/>
    <n v="15.4"/>
    <x v="192"/>
    <n v="72.599999999999994"/>
    <x v="684"/>
    <n v="0"/>
  </r>
  <r>
    <x v="16"/>
    <n v="17"/>
    <x v="1"/>
    <x v="12"/>
    <n v="13"/>
    <x v="0"/>
    <x v="0"/>
    <n v="1"/>
    <n v="1663"/>
    <x v="803"/>
    <x v="800"/>
    <n v="26382"/>
    <n v="6.3"/>
    <x v="256"/>
    <n v="21.5"/>
    <n v="407"/>
    <n v="1.893"/>
    <n v="0.23"/>
    <n v="24734"/>
    <n v="66.900000000000006"/>
    <n v="15.8"/>
    <x v="193"/>
    <n v="76.099999999999994"/>
    <x v="685"/>
    <n v="0"/>
  </r>
  <r>
    <x v="16"/>
    <n v="17"/>
    <x v="1"/>
    <x v="12"/>
    <n v="13"/>
    <x v="1"/>
    <x v="0"/>
    <n v="2"/>
    <n v="18855"/>
    <x v="804"/>
    <x v="801"/>
    <n v="104693"/>
    <n v="18.010000000000002"/>
    <x v="256"/>
    <n v="21.5"/>
    <n v="407"/>
    <n v="1.893"/>
    <n v="0.23"/>
    <n v="24734"/>
    <n v="66.900000000000006"/>
    <n v="15.8"/>
    <x v="193"/>
    <n v="76.099999999999994"/>
    <x v="686"/>
    <n v="0"/>
  </r>
  <r>
    <x v="16"/>
    <n v="17"/>
    <x v="1"/>
    <x v="12"/>
    <n v="13"/>
    <x v="2"/>
    <x v="0"/>
    <n v="3"/>
    <n v="11655"/>
    <x v="805"/>
    <x v="802"/>
    <n v="44629"/>
    <n v="26.12"/>
    <x v="256"/>
    <n v="21.5"/>
    <n v="407"/>
    <n v="1.893"/>
    <n v="0.23"/>
    <n v="24734"/>
    <n v="66.900000000000006"/>
    <n v="15.8"/>
    <x v="193"/>
    <n v="76.099999999999994"/>
    <x v="687"/>
    <n v="0"/>
  </r>
  <r>
    <x v="16"/>
    <n v="17"/>
    <x v="1"/>
    <x v="13"/>
    <n v="14"/>
    <x v="0"/>
    <x v="0"/>
    <n v="1"/>
    <n v="2234"/>
    <x v="806"/>
    <x v="803"/>
    <n v="31032"/>
    <n v="7.2"/>
    <x v="257"/>
    <n v="21.9"/>
    <n v="441"/>
    <n v="1.903"/>
    <n v="0.23300000000000001"/>
    <n v="26212"/>
    <n v="67.099999999999994"/>
    <n v="15.7"/>
    <x v="194"/>
    <n v="77.8"/>
    <x v="17"/>
    <n v="0"/>
  </r>
  <r>
    <x v="16"/>
    <n v="17"/>
    <x v="1"/>
    <x v="13"/>
    <n v="14"/>
    <x v="1"/>
    <x v="0"/>
    <n v="2"/>
    <n v="25210"/>
    <x v="807"/>
    <x v="804"/>
    <n v="122556"/>
    <n v="20.57"/>
    <x v="257"/>
    <n v="21.9"/>
    <n v="441"/>
    <n v="1.903"/>
    <n v="0.23300000000000001"/>
    <n v="26212"/>
    <n v="67.099999999999994"/>
    <n v="15.7"/>
    <x v="194"/>
    <n v="77.8"/>
    <x v="688"/>
    <n v="0"/>
  </r>
  <r>
    <x v="16"/>
    <n v="17"/>
    <x v="1"/>
    <x v="13"/>
    <n v="14"/>
    <x v="2"/>
    <x v="0"/>
    <n v="3"/>
    <n v="15526"/>
    <x v="808"/>
    <x v="805"/>
    <n v="52054"/>
    <n v="29.83"/>
    <x v="257"/>
    <n v="21.9"/>
    <n v="441"/>
    <n v="1.903"/>
    <n v="0.23300000000000001"/>
    <n v="26212"/>
    <n v="67.099999999999994"/>
    <n v="15.7"/>
    <x v="194"/>
    <n v="77.8"/>
    <x v="689"/>
    <n v="0"/>
  </r>
  <r>
    <x v="16"/>
    <n v="17"/>
    <x v="1"/>
    <x v="14"/>
    <n v="15"/>
    <x v="0"/>
    <x v="0"/>
    <n v="1"/>
    <n v="2794"/>
    <x v="809"/>
    <x v="806"/>
    <n v="33263"/>
    <n v="8.4"/>
    <x v="258"/>
    <n v="25.2"/>
    <n v="455"/>
    <n v="1.83"/>
    <n v="0.23499999999999999"/>
    <n v="27719"/>
    <n v="67.599999999999994"/>
    <n v="14.9"/>
    <x v="195"/>
    <n v="81.7"/>
    <x v="690"/>
    <n v="0"/>
  </r>
  <r>
    <x v="16"/>
    <n v="17"/>
    <x v="1"/>
    <x v="14"/>
    <n v="15"/>
    <x v="1"/>
    <x v="0"/>
    <n v="2"/>
    <n v="31173"/>
    <x v="810"/>
    <x v="807"/>
    <n v="129889"/>
    <n v="24"/>
    <x v="258"/>
    <n v="25.2"/>
    <n v="455"/>
    <n v="1.83"/>
    <n v="0.23499999999999999"/>
    <n v="27719"/>
    <n v="67.599999999999994"/>
    <n v="14.9"/>
    <x v="195"/>
    <n v="81.7"/>
    <x v="691"/>
    <n v="0"/>
  </r>
  <r>
    <x v="16"/>
    <n v="17"/>
    <x v="1"/>
    <x v="14"/>
    <n v="15"/>
    <x v="2"/>
    <x v="0"/>
    <n v="3"/>
    <n v="18839"/>
    <x v="811"/>
    <x v="808"/>
    <n v="54136"/>
    <n v="34.799999999999997"/>
    <x v="258"/>
    <n v="25.2"/>
    <n v="455"/>
    <n v="1.83"/>
    <n v="0.23499999999999999"/>
    <n v="27719"/>
    <n v="67.599999999999994"/>
    <n v="14.9"/>
    <x v="195"/>
    <n v="81.7"/>
    <x v="692"/>
    <n v="0"/>
  </r>
  <r>
    <x v="16"/>
    <n v="17"/>
    <x v="1"/>
    <x v="15"/>
    <n v="16"/>
    <x v="0"/>
    <x v="0"/>
    <n v="1"/>
    <n v="3052"/>
    <x v="812"/>
    <x v="809"/>
    <n v="33547"/>
    <n v="9.1"/>
    <x v="259"/>
    <n v="25.3"/>
    <n v="480"/>
    <n v="1.71"/>
    <n v="0.23300000000000001"/>
    <n v="28316"/>
    <n v="68"/>
    <n v="14"/>
    <x v="196"/>
    <n v="85.3"/>
    <x v="693"/>
    <n v="0"/>
  </r>
  <r>
    <x v="16"/>
    <n v="17"/>
    <x v="1"/>
    <x v="15"/>
    <n v="16"/>
    <x v="1"/>
    <x v="0"/>
    <n v="2"/>
    <n v="34942"/>
    <x v="813"/>
    <x v="810"/>
    <n v="134445"/>
    <n v="25.99"/>
    <x v="259"/>
    <n v="25.3"/>
    <n v="480"/>
    <n v="1.71"/>
    <n v="0.23300000000000001"/>
    <n v="28316"/>
    <n v="68"/>
    <n v="14"/>
    <x v="196"/>
    <n v="85.3"/>
    <x v="694"/>
    <n v="0"/>
  </r>
  <r>
    <x v="16"/>
    <n v="17"/>
    <x v="1"/>
    <x v="15"/>
    <n v="16"/>
    <x v="2"/>
    <x v="0"/>
    <n v="3"/>
    <n v="21237"/>
    <x v="814"/>
    <x v="811"/>
    <n v="56353"/>
    <n v="37.69"/>
    <x v="259"/>
    <n v="25.3"/>
    <n v="480"/>
    <n v="1.71"/>
    <n v="0.23300000000000001"/>
    <n v="28316"/>
    <n v="68"/>
    <n v="14"/>
    <x v="196"/>
    <n v="85.3"/>
    <x v="695"/>
    <n v="0"/>
  </r>
  <r>
    <x v="17"/>
    <n v="18"/>
    <x v="4"/>
    <x v="0"/>
    <n v="1"/>
    <x v="0"/>
    <x v="0"/>
    <n v="1"/>
    <n v="8"/>
    <x v="815"/>
    <x v="812"/>
    <n v="220886"/>
    <n v="0"/>
    <x v="260"/>
    <n v="4.7"/>
    <n v="122"/>
    <n v="1.4"/>
    <n v="7.8E-2"/>
    <n v="22535"/>
    <n v="82.4"/>
    <n v="99.3"/>
    <x v="0"/>
    <n v="41.8"/>
    <x v="0"/>
    <n v="0"/>
  </r>
  <r>
    <x v="17"/>
    <n v="18"/>
    <x v="4"/>
    <x v="0"/>
    <n v="1"/>
    <x v="1"/>
    <x v="0"/>
    <n v="2"/>
    <n v="88"/>
    <x v="816"/>
    <x v="813"/>
    <n v="882138"/>
    <n v="0.01"/>
    <x v="260"/>
    <n v="4.7"/>
    <n v="122"/>
    <n v="1.4"/>
    <n v="7.8E-2"/>
    <n v="22535"/>
    <n v="82.4"/>
    <n v="99.3"/>
    <x v="0"/>
    <n v="41.8"/>
    <x v="0"/>
    <n v="0"/>
  </r>
  <r>
    <x v="17"/>
    <n v="18"/>
    <x v="4"/>
    <x v="0"/>
    <n v="1"/>
    <x v="2"/>
    <x v="0"/>
    <n v="3"/>
    <n v="53"/>
    <x v="817"/>
    <x v="814"/>
    <n v="368017"/>
    <n v="0.01"/>
    <x v="260"/>
    <n v="4.7"/>
    <n v="122"/>
    <n v="1.4"/>
    <n v="7.8E-2"/>
    <n v="22535"/>
    <n v="82.4"/>
    <n v="99.3"/>
    <x v="0"/>
    <n v="41.8"/>
    <x v="0"/>
    <n v="0"/>
  </r>
  <r>
    <x v="17"/>
    <n v="18"/>
    <x v="4"/>
    <x v="1"/>
    <n v="2"/>
    <x v="0"/>
    <x v="0"/>
    <n v="1"/>
    <n v="16"/>
    <x v="818"/>
    <x v="815"/>
    <n v="225098"/>
    <n v="0.01"/>
    <x v="261"/>
    <n v="7.8"/>
    <n v="127"/>
    <n v="1.347"/>
    <n v="8.4000000000000005E-2"/>
    <n v="22707"/>
    <n v="82"/>
    <n v="98.5"/>
    <x v="197"/>
    <n v="44.6"/>
    <x v="696"/>
    <n v="0"/>
  </r>
  <r>
    <x v="17"/>
    <n v="18"/>
    <x v="4"/>
    <x v="1"/>
    <n v="2"/>
    <x v="1"/>
    <x v="0"/>
    <n v="2"/>
    <n v="180"/>
    <x v="819"/>
    <x v="816"/>
    <n v="901588"/>
    <n v="0.02"/>
    <x v="261"/>
    <n v="7.8"/>
    <n v="127"/>
    <n v="1.347"/>
    <n v="8.4000000000000005E-2"/>
    <n v="22707"/>
    <n v="82"/>
    <n v="98.5"/>
    <x v="197"/>
    <n v="44.6"/>
    <x v="697"/>
    <n v="0"/>
  </r>
  <r>
    <x v="17"/>
    <n v="18"/>
    <x v="4"/>
    <x v="1"/>
    <n v="2"/>
    <x v="2"/>
    <x v="0"/>
    <n v="3"/>
    <n v="110"/>
    <x v="820"/>
    <x v="817"/>
    <n v="378217"/>
    <n v="0.03"/>
    <x v="261"/>
    <n v="7.8"/>
    <n v="127"/>
    <n v="1.347"/>
    <n v="8.4000000000000005E-2"/>
    <n v="22707"/>
    <n v="82"/>
    <n v="98.5"/>
    <x v="197"/>
    <n v="44.6"/>
    <x v="698"/>
    <n v="0"/>
  </r>
  <r>
    <x v="17"/>
    <n v="18"/>
    <x v="4"/>
    <x v="2"/>
    <n v="3"/>
    <x v="0"/>
    <x v="0"/>
    <n v="1"/>
    <n v="25"/>
    <x v="821"/>
    <x v="818"/>
    <n v="235339"/>
    <n v="0.01"/>
    <x v="262"/>
    <n v="11.6"/>
    <n v="127"/>
    <n v="1.3029999999999999"/>
    <n v="8.8999999999999996E-2"/>
    <n v="24299"/>
    <n v="81.7"/>
    <n v="99.2"/>
    <x v="198"/>
    <n v="46.1"/>
    <x v="699"/>
    <n v="0"/>
  </r>
  <r>
    <x v="17"/>
    <n v="18"/>
    <x v="4"/>
    <x v="2"/>
    <n v="3"/>
    <x v="1"/>
    <x v="0"/>
    <n v="2"/>
    <n v="276"/>
    <x v="822"/>
    <x v="819"/>
    <n v="919360"/>
    <n v="0.03"/>
    <x v="262"/>
    <n v="11.6"/>
    <n v="127"/>
    <n v="1.3029999999999999"/>
    <n v="8.8999999999999996E-2"/>
    <n v="24299"/>
    <n v="81.7"/>
    <n v="99.2"/>
    <x v="198"/>
    <n v="46.1"/>
    <x v="700"/>
    <n v="0"/>
  </r>
  <r>
    <x v="17"/>
    <n v="18"/>
    <x v="4"/>
    <x v="2"/>
    <n v="3"/>
    <x v="2"/>
    <x v="0"/>
    <n v="3"/>
    <n v="172"/>
    <x v="823"/>
    <x v="820"/>
    <n v="394459"/>
    <n v="0.04"/>
    <x v="262"/>
    <n v="11.6"/>
    <n v="127"/>
    <n v="1.3029999999999999"/>
    <n v="8.8999999999999996E-2"/>
    <n v="24299"/>
    <n v="81.7"/>
    <n v="99.2"/>
    <x v="198"/>
    <n v="46.1"/>
    <x v="433"/>
    <n v="0"/>
  </r>
  <r>
    <x v="17"/>
    <n v="18"/>
    <x v="4"/>
    <x v="3"/>
    <n v="4"/>
    <x v="0"/>
    <x v="0"/>
    <n v="1"/>
    <n v="95"/>
    <x v="824"/>
    <x v="821"/>
    <n v="225770"/>
    <n v="0.04"/>
    <x v="263"/>
    <n v="14.1"/>
    <n v="147"/>
    <n v="1.26"/>
    <n v="9.4E-2"/>
    <n v="25261"/>
    <n v="81.599999999999994"/>
    <n v="101.7"/>
    <x v="199"/>
    <n v="48.8"/>
    <x v="701"/>
    <n v="0"/>
  </r>
  <r>
    <x v="17"/>
    <n v="18"/>
    <x v="4"/>
    <x v="3"/>
    <n v="4"/>
    <x v="1"/>
    <x v="0"/>
    <n v="2"/>
    <n v="1054"/>
    <x v="825"/>
    <x v="822"/>
    <n v="878150"/>
    <n v="0.12"/>
    <x v="263"/>
    <n v="14.1"/>
    <n v="147"/>
    <n v="1.26"/>
    <n v="9.4E-2"/>
    <n v="25261"/>
    <n v="81.599999999999994"/>
    <n v="101.7"/>
    <x v="199"/>
    <n v="48.8"/>
    <x v="702"/>
    <n v="0"/>
  </r>
  <r>
    <x v="17"/>
    <n v="18"/>
    <x v="4"/>
    <x v="3"/>
    <n v="4"/>
    <x v="2"/>
    <x v="0"/>
    <n v="3"/>
    <n v="669"/>
    <x v="826"/>
    <x v="823"/>
    <n v="384678"/>
    <n v="0.17"/>
    <x v="263"/>
    <n v="14.1"/>
    <n v="147"/>
    <n v="1.26"/>
    <n v="9.4E-2"/>
    <n v="25261"/>
    <n v="81.599999999999994"/>
    <n v="101.7"/>
    <x v="199"/>
    <n v="48.8"/>
    <x v="703"/>
    <n v="0"/>
  </r>
  <r>
    <x v="17"/>
    <n v="18"/>
    <x v="4"/>
    <x v="4"/>
    <n v="5"/>
    <x v="0"/>
    <x v="0"/>
    <n v="1"/>
    <n v="159"/>
    <x v="827"/>
    <x v="824"/>
    <n v="251726"/>
    <n v="0.06"/>
    <x v="264"/>
    <n v="15.5"/>
    <n v="161"/>
    <n v="1.2370000000000001"/>
    <n v="9.7000000000000003E-2"/>
    <n v="26036"/>
    <n v="81.5"/>
    <n v="102.4"/>
    <x v="200"/>
    <n v="50.9"/>
    <x v="704"/>
    <n v="0"/>
  </r>
  <r>
    <x v="17"/>
    <n v="18"/>
    <x v="4"/>
    <x v="4"/>
    <n v="5"/>
    <x v="1"/>
    <x v="0"/>
    <n v="2"/>
    <n v="1813"/>
    <x v="828"/>
    <x v="825"/>
    <n v="1007042"/>
    <n v="0.18"/>
    <x v="264"/>
    <n v="15.5"/>
    <n v="161"/>
    <n v="1.2370000000000001"/>
    <n v="9.7000000000000003E-2"/>
    <n v="26036"/>
    <n v="81.5"/>
    <n v="102.4"/>
    <x v="200"/>
    <n v="50.9"/>
    <x v="705"/>
    <n v="0"/>
  </r>
  <r>
    <x v="17"/>
    <n v="18"/>
    <x v="4"/>
    <x v="4"/>
    <n v="5"/>
    <x v="2"/>
    <x v="0"/>
    <n v="3"/>
    <n v="1113"/>
    <x v="829"/>
    <x v="826"/>
    <n v="426608"/>
    <n v="0.26"/>
    <x v="264"/>
    <n v="15.5"/>
    <n v="161"/>
    <n v="1.2370000000000001"/>
    <n v="9.7000000000000003E-2"/>
    <n v="26036"/>
    <n v="81.5"/>
    <n v="102.4"/>
    <x v="200"/>
    <n v="50.9"/>
    <x v="706"/>
    <n v="0"/>
  </r>
  <r>
    <x v="17"/>
    <n v="18"/>
    <x v="4"/>
    <x v="5"/>
    <n v="6"/>
    <x v="0"/>
    <x v="0"/>
    <n v="1"/>
    <n v="383"/>
    <x v="830"/>
    <x v="827"/>
    <n v="288202"/>
    <n v="0.13"/>
    <x v="265"/>
    <n v="20.3"/>
    <n v="171"/>
    <n v="1.22"/>
    <n v="0.1"/>
    <n v="27373"/>
    <n v="81.599999999999994"/>
    <n v="103.3"/>
    <x v="201"/>
    <n v="51.5"/>
    <x v="707"/>
    <n v="0"/>
  </r>
  <r>
    <x v="17"/>
    <n v="18"/>
    <x v="4"/>
    <x v="5"/>
    <n v="6"/>
    <x v="1"/>
    <x v="0"/>
    <n v="2"/>
    <n v="4455"/>
    <x v="831"/>
    <x v="828"/>
    <n v="1172324"/>
    <n v="0.38"/>
    <x v="265"/>
    <n v="20.3"/>
    <n v="171"/>
    <n v="1.22"/>
    <n v="0.1"/>
    <n v="27373"/>
    <n v="81.599999999999994"/>
    <n v="103.3"/>
    <x v="201"/>
    <n v="51.5"/>
    <x v="708"/>
    <n v="0"/>
  </r>
  <r>
    <x v="17"/>
    <n v="18"/>
    <x v="4"/>
    <x v="5"/>
    <n v="6"/>
    <x v="2"/>
    <x v="0"/>
    <n v="3"/>
    <n v="2636"/>
    <x v="832"/>
    <x v="829"/>
    <n v="478381"/>
    <n v="0.55000000000000004"/>
    <x v="265"/>
    <n v="20.3"/>
    <n v="171"/>
    <n v="1.22"/>
    <n v="0.1"/>
    <n v="27373"/>
    <n v="81.599999999999994"/>
    <n v="103.3"/>
    <x v="201"/>
    <n v="51.5"/>
    <x v="709"/>
    <n v="0"/>
  </r>
  <r>
    <x v="17"/>
    <n v="18"/>
    <x v="4"/>
    <x v="6"/>
    <n v="7"/>
    <x v="0"/>
    <x v="0"/>
    <n v="1"/>
    <n v="601"/>
    <x v="833"/>
    <x v="830"/>
    <n v="272445"/>
    <n v="0.22"/>
    <x v="266"/>
    <n v="23.8"/>
    <n v="193"/>
    <n v="1.2330000000000001"/>
    <n v="0.10100000000000001"/>
    <n v="28247"/>
    <n v="81.8"/>
    <n v="102.6"/>
    <x v="202"/>
    <n v="55.9"/>
    <x v="710"/>
    <n v="0"/>
  </r>
  <r>
    <x v="17"/>
    <n v="18"/>
    <x v="4"/>
    <x v="6"/>
    <n v="7"/>
    <x v="1"/>
    <x v="0"/>
    <n v="2"/>
    <n v="6875"/>
    <x v="834"/>
    <x v="831"/>
    <n v="1091199"/>
    <n v="0.63"/>
    <x v="266"/>
    <n v="23.8"/>
    <n v="193"/>
    <n v="1.2330000000000001"/>
    <n v="0.10100000000000001"/>
    <n v="28247"/>
    <n v="81.8"/>
    <n v="102.6"/>
    <x v="202"/>
    <n v="55.9"/>
    <x v="711"/>
    <n v="0"/>
  </r>
  <r>
    <x v="17"/>
    <n v="18"/>
    <x v="4"/>
    <x v="6"/>
    <n v="7"/>
    <x v="2"/>
    <x v="0"/>
    <n v="3"/>
    <n v="4139"/>
    <x v="835"/>
    <x v="832"/>
    <n v="453104"/>
    <n v="0.91"/>
    <x v="266"/>
    <n v="23.8"/>
    <n v="193"/>
    <n v="1.2330000000000001"/>
    <n v="0.10100000000000001"/>
    <n v="28247"/>
    <n v="81.8"/>
    <n v="102.6"/>
    <x v="202"/>
    <n v="55.9"/>
    <x v="712"/>
    <n v="0"/>
  </r>
  <r>
    <x v="17"/>
    <n v="18"/>
    <x v="4"/>
    <x v="7"/>
    <n v="8"/>
    <x v="0"/>
    <x v="0"/>
    <n v="1"/>
    <n v="1104"/>
    <x v="836"/>
    <x v="833"/>
    <n v="274350"/>
    <n v="0.4"/>
    <x v="267"/>
    <n v="27.1"/>
    <n v="213"/>
    <n v="1.25"/>
    <n v="0.10100000000000001"/>
    <n v="29706"/>
    <n v="81.599999999999994"/>
    <n v="102.7"/>
    <x v="203"/>
    <n v="60.3"/>
    <x v="713"/>
    <n v="0"/>
  </r>
  <r>
    <x v="17"/>
    <n v="18"/>
    <x v="4"/>
    <x v="7"/>
    <n v="8"/>
    <x v="1"/>
    <x v="0"/>
    <n v="2"/>
    <n v="12482"/>
    <x v="837"/>
    <x v="834"/>
    <n v="1085365"/>
    <n v="1.1499999999999999"/>
    <x v="267"/>
    <n v="27.1"/>
    <n v="213"/>
    <n v="1.25"/>
    <n v="0.10100000000000001"/>
    <n v="29706"/>
    <n v="81.599999999999994"/>
    <n v="102.7"/>
    <x v="203"/>
    <n v="60.3"/>
    <x v="714"/>
    <n v="0"/>
  </r>
  <r>
    <x v="17"/>
    <n v="18"/>
    <x v="4"/>
    <x v="7"/>
    <n v="8"/>
    <x v="2"/>
    <x v="0"/>
    <n v="3"/>
    <n v="7561"/>
    <x v="838"/>
    <x v="835"/>
    <n v="453406"/>
    <n v="1.67"/>
    <x v="267"/>
    <n v="27.1"/>
    <n v="213"/>
    <n v="1.25"/>
    <n v="0.10100000000000001"/>
    <n v="29706"/>
    <n v="81.599999999999994"/>
    <n v="102.7"/>
    <x v="203"/>
    <n v="60.3"/>
    <x v="715"/>
    <n v="0"/>
  </r>
  <r>
    <x v="17"/>
    <n v="18"/>
    <x v="4"/>
    <x v="8"/>
    <n v="9"/>
    <x v="0"/>
    <x v="0"/>
    <n v="1"/>
    <n v="1696"/>
    <x v="839"/>
    <x v="836"/>
    <n v="269218"/>
    <n v="0.63"/>
    <x v="268"/>
    <n v="29.5"/>
    <n v="266"/>
    <n v="1.27"/>
    <n v="0.10100000000000001"/>
    <n v="30357"/>
    <n v="81.400000000000006"/>
    <n v="101.5"/>
    <x v="204"/>
    <n v="62.5"/>
    <x v="716"/>
    <n v="0"/>
  </r>
  <r>
    <x v="17"/>
    <n v="18"/>
    <x v="4"/>
    <x v="8"/>
    <n v="9"/>
    <x v="1"/>
    <x v="0"/>
    <n v="2"/>
    <n v="19841"/>
    <x v="840"/>
    <x v="837"/>
    <n v="1102254"/>
    <n v="1.8"/>
    <x v="268"/>
    <n v="29.5"/>
    <n v="266"/>
    <n v="1.27"/>
    <n v="0.10100000000000001"/>
    <n v="30357"/>
    <n v="81.400000000000006"/>
    <n v="101.5"/>
    <x v="204"/>
    <n v="62.5"/>
    <x v="717"/>
    <n v="0"/>
  </r>
  <r>
    <x v="17"/>
    <n v="18"/>
    <x v="4"/>
    <x v="8"/>
    <n v="9"/>
    <x v="2"/>
    <x v="0"/>
    <n v="3"/>
    <n v="11922"/>
    <x v="841"/>
    <x v="838"/>
    <n v="456784"/>
    <n v="2.61"/>
    <x v="268"/>
    <n v="29.5"/>
    <n v="266"/>
    <n v="1.27"/>
    <n v="0.10100000000000001"/>
    <n v="30357"/>
    <n v="81.400000000000006"/>
    <n v="101.5"/>
    <x v="204"/>
    <n v="62.5"/>
    <x v="718"/>
    <n v="0"/>
  </r>
  <r>
    <x v="17"/>
    <n v="18"/>
    <x v="4"/>
    <x v="9"/>
    <n v="10"/>
    <x v="0"/>
    <x v="0"/>
    <n v="1"/>
    <n v="2242"/>
    <x v="842"/>
    <x v="839"/>
    <n v="265749"/>
    <n v="0.84"/>
    <x v="269"/>
    <n v="32.299999999999997"/>
    <n v="298"/>
    <n v="1.327"/>
    <n v="9.9000000000000005E-2"/>
    <n v="31971"/>
    <n v="81.7"/>
    <n v="98.4"/>
    <x v="205"/>
    <n v="66.099999999999994"/>
    <x v="719"/>
    <n v="0"/>
  </r>
  <r>
    <x v="17"/>
    <n v="18"/>
    <x v="4"/>
    <x v="9"/>
    <n v="10"/>
    <x v="1"/>
    <x v="0"/>
    <n v="2"/>
    <n v="25517"/>
    <x v="843"/>
    <x v="840"/>
    <n v="1058795"/>
    <n v="2.41"/>
    <x v="269"/>
    <n v="32.299999999999997"/>
    <n v="298"/>
    <n v="1.327"/>
    <n v="9.9000000000000005E-2"/>
    <n v="31971"/>
    <n v="81.7"/>
    <n v="98.4"/>
    <x v="205"/>
    <n v="66.099999999999994"/>
    <x v="720"/>
    <n v="0"/>
  </r>
  <r>
    <x v="17"/>
    <n v="18"/>
    <x v="4"/>
    <x v="9"/>
    <n v="10"/>
    <x v="2"/>
    <x v="0"/>
    <n v="3"/>
    <n v="15642"/>
    <x v="844"/>
    <x v="841"/>
    <n v="447631"/>
    <n v="3.49"/>
    <x v="269"/>
    <n v="32.299999999999997"/>
    <n v="298"/>
    <n v="1.327"/>
    <n v="9.9000000000000005E-2"/>
    <n v="31971"/>
    <n v="81.7"/>
    <n v="98.4"/>
    <x v="205"/>
    <n v="66.099999999999994"/>
    <x v="721"/>
    <n v="0"/>
  </r>
  <r>
    <x v="17"/>
    <n v="18"/>
    <x v="4"/>
    <x v="10"/>
    <n v="11"/>
    <x v="0"/>
    <x v="0"/>
    <n v="1"/>
    <n v="2353"/>
    <x v="845"/>
    <x v="842"/>
    <n v="283645"/>
    <n v="0.83"/>
    <x v="270"/>
    <n v="33.6"/>
    <n v="344"/>
    <n v="1.41"/>
    <n v="0.10100000000000001"/>
    <n v="31531"/>
    <n v="81.400000000000006"/>
    <n v="96"/>
    <x v="206"/>
    <n v="67.900000000000006"/>
    <x v="722"/>
    <n v="0"/>
  </r>
  <r>
    <x v="17"/>
    <n v="18"/>
    <x v="4"/>
    <x v="10"/>
    <n v="11"/>
    <x v="1"/>
    <x v="0"/>
    <n v="2"/>
    <n v="26865"/>
    <x v="846"/>
    <x v="843"/>
    <n v="1133528"/>
    <n v="2.37"/>
    <x v="270"/>
    <n v="33.6"/>
    <n v="344"/>
    <n v="1.41"/>
    <n v="0.10100000000000001"/>
    <n v="31531"/>
    <n v="81.400000000000006"/>
    <n v="96"/>
    <x v="206"/>
    <n v="67.900000000000006"/>
    <x v="723"/>
    <n v="0"/>
  </r>
  <r>
    <x v="17"/>
    <n v="18"/>
    <x v="4"/>
    <x v="10"/>
    <n v="11"/>
    <x v="2"/>
    <x v="0"/>
    <n v="3"/>
    <n v="16229"/>
    <x v="847"/>
    <x v="844"/>
    <n v="472268"/>
    <n v="3.44"/>
    <x v="270"/>
    <n v="33.6"/>
    <n v="344"/>
    <n v="1.41"/>
    <n v="0.10100000000000001"/>
    <n v="31531"/>
    <n v="81.400000000000006"/>
    <n v="96"/>
    <x v="206"/>
    <n v="67.900000000000006"/>
    <x v="724"/>
    <n v="0"/>
  </r>
  <r>
    <x v="17"/>
    <n v="18"/>
    <x v="4"/>
    <x v="11"/>
    <n v="12"/>
    <x v="0"/>
    <x v="0"/>
    <n v="1"/>
    <n v="4968"/>
    <x v="848"/>
    <x v="845"/>
    <n v="257600"/>
    <n v="1.93"/>
    <x v="271"/>
    <n v="38.200000000000003"/>
    <n v="371"/>
    <n v="1.5269999999999999"/>
    <n v="0.10299999999999999"/>
    <n v="32350"/>
    <n v="81.2"/>
    <n v="94.6"/>
    <x v="207"/>
    <n v="72.099999999999994"/>
    <x v="725"/>
    <n v="0"/>
  </r>
  <r>
    <x v="17"/>
    <n v="18"/>
    <x v="4"/>
    <x v="11"/>
    <n v="12"/>
    <x v="1"/>
    <x v="0"/>
    <n v="2"/>
    <n v="56488"/>
    <x v="849"/>
    <x v="846"/>
    <n v="1025191"/>
    <n v="5.51"/>
    <x v="271"/>
    <n v="38.200000000000003"/>
    <n v="371"/>
    <n v="1.5269999999999999"/>
    <n v="0.10299999999999999"/>
    <n v="32350"/>
    <n v="81.2"/>
    <n v="94.6"/>
    <x v="207"/>
    <n v="72.099999999999994"/>
    <x v="726"/>
    <n v="0"/>
  </r>
  <r>
    <x v="17"/>
    <n v="18"/>
    <x v="4"/>
    <x v="11"/>
    <n v="12"/>
    <x v="2"/>
    <x v="0"/>
    <n v="3"/>
    <n v="33891"/>
    <x v="850"/>
    <x v="847"/>
    <n v="424196"/>
    <n v="7.99"/>
    <x v="271"/>
    <n v="38.200000000000003"/>
    <n v="371"/>
    <n v="1.5269999999999999"/>
    <n v="0.10299999999999999"/>
    <n v="32350"/>
    <n v="81.2"/>
    <n v="94.6"/>
    <x v="207"/>
    <n v="72.099999999999994"/>
    <x v="727"/>
    <n v="0"/>
  </r>
  <r>
    <x v="17"/>
    <n v="18"/>
    <x v="4"/>
    <x v="12"/>
    <n v="13"/>
    <x v="0"/>
    <x v="0"/>
    <n v="1"/>
    <n v="9271"/>
    <x v="851"/>
    <x v="848"/>
    <n v="258416"/>
    <n v="3.59"/>
    <x v="272"/>
    <n v="38"/>
    <n v="402"/>
    <n v="1.573"/>
    <n v="0.111"/>
    <n v="32123"/>
    <n v="81.3"/>
    <n v="93.9"/>
    <x v="208"/>
    <n v="74.599999999999994"/>
    <x v="728"/>
    <n v="0"/>
  </r>
  <r>
    <x v="17"/>
    <n v="18"/>
    <x v="4"/>
    <x v="12"/>
    <n v="13"/>
    <x v="1"/>
    <x v="0"/>
    <n v="2"/>
    <n v="103921"/>
    <x v="852"/>
    <x v="849"/>
    <n v="1013868"/>
    <n v="10.25"/>
    <x v="272"/>
    <n v="38"/>
    <n v="402"/>
    <n v="1.573"/>
    <n v="0.111"/>
    <n v="32123"/>
    <n v="81.3"/>
    <n v="93.9"/>
    <x v="208"/>
    <n v="74.599999999999994"/>
    <x v="729"/>
    <n v="0"/>
  </r>
  <r>
    <x v="17"/>
    <n v="18"/>
    <x v="4"/>
    <x v="12"/>
    <n v="13"/>
    <x v="2"/>
    <x v="0"/>
    <n v="3"/>
    <n v="63946"/>
    <x v="853"/>
    <x v="850"/>
    <n v="430250"/>
    <n v="14.86"/>
    <x v="272"/>
    <n v="38"/>
    <n v="402"/>
    <n v="1.573"/>
    <n v="0.111"/>
    <n v="32123"/>
    <n v="81.3"/>
    <n v="93.9"/>
    <x v="208"/>
    <n v="74.599999999999994"/>
    <x v="730"/>
    <n v="0"/>
  </r>
  <r>
    <x v="17"/>
    <n v="18"/>
    <x v="4"/>
    <x v="13"/>
    <n v="14"/>
    <x v="0"/>
    <x v="0"/>
    <n v="1"/>
    <n v="9985"/>
    <x v="854"/>
    <x v="851"/>
    <n v="256559"/>
    <n v="3.89"/>
    <x v="273"/>
    <n v="39.6"/>
    <n v="430"/>
    <n v="1.587"/>
    <n v="0.11700000000000001"/>
    <n v="33307"/>
    <n v="81.400000000000006"/>
    <n v="91.9"/>
    <x v="209"/>
    <n v="76.2"/>
    <x v="731"/>
    <n v="0"/>
  </r>
  <r>
    <x v="17"/>
    <n v="18"/>
    <x v="4"/>
    <x v="13"/>
    <n v="14"/>
    <x v="1"/>
    <x v="0"/>
    <n v="2"/>
    <n v="115542"/>
    <x v="855"/>
    <x v="852"/>
    <n v="1039050"/>
    <n v="11.12"/>
    <x v="273"/>
    <n v="39.6"/>
    <n v="430"/>
    <n v="1.587"/>
    <n v="0.11700000000000001"/>
    <n v="33307"/>
    <n v="81.400000000000006"/>
    <n v="91.9"/>
    <x v="209"/>
    <n v="76.2"/>
    <x v="732"/>
    <n v="0"/>
  </r>
  <r>
    <x v="17"/>
    <n v="18"/>
    <x v="4"/>
    <x v="13"/>
    <n v="14"/>
    <x v="2"/>
    <x v="0"/>
    <n v="3"/>
    <n v="68756"/>
    <x v="856"/>
    <x v="853"/>
    <n v="426422"/>
    <n v="16.12"/>
    <x v="273"/>
    <n v="39.6"/>
    <n v="430"/>
    <n v="1.587"/>
    <n v="0.11700000000000001"/>
    <n v="33307"/>
    <n v="81.400000000000006"/>
    <n v="91.9"/>
    <x v="209"/>
    <n v="76.2"/>
    <x v="733"/>
    <n v="0"/>
  </r>
  <r>
    <x v="17"/>
    <n v="18"/>
    <x v="4"/>
    <x v="14"/>
    <n v="15"/>
    <x v="0"/>
    <x v="0"/>
    <n v="1"/>
    <n v="11947"/>
    <x v="857"/>
    <x v="854"/>
    <n v="252468"/>
    <n v="4.7300000000000004"/>
    <x v="274"/>
    <n v="42.4"/>
    <n v="456"/>
    <n v="1.5469999999999999"/>
    <n v="0.125"/>
    <n v="34764"/>
    <n v="81.5"/>
    <n v="88.9"/>
    <x v="210"/>
    <n v="79.099999999999994"/>
    <x v="734"/>
    <n v="0"/>
  </r>
  <r>
    <x v="17"/>
    <n v="18"/>
    <x v="4"/>
    <x v="14"/>
    <n v="15"/>
    <x v="1"/>
    <x v="0"/>
    <n v="2"/>
    <n v="138551"/>
    <x v="858"/>
    <x v="855"/>
    <n v="1024788"/>
    <n v="13.52"/>
    <x v="274"/>
    <n v="42.4"/>
    <n v="456"/>
    <n v="1.5469999999999999"/>
    <n v="0.125"/>
    <n v="34764"/>
    <n v="81.5"/>
    <n v="88.9"/>
    <x v="210"/>
    <n v="79.099999999999994"/>
    <x v="735"/>
    <n v="0"/>
  </r>
  <r>
    <x v="17"/>
    <n v="18"/>
    <x v="4"/>
    <x v="14"/>
    <n v="15"/>
    <x v="2"/>
    <x v="0"/>
    <n v="3"/>
    <n v="82777"/>
    <x v="859"/>
    <x v="856"/>
    <n v="422248"/>
    <n v="19.600000000000001"/>
    <x v="274"/>
    <n v="42.4"/>
    <n v="456"/>
    <n v="1.5469999999999999"/>
    <n v="0.125"/>
    <n v="34764"/>
    <n v="81.5"/>
    <n v="88.9"/>
    <x v="210"/>
    <n v="79.099999999999994"/>
    <x v="736"/>
    <n v="0"/>
  </r>
  <r>
    <x v="17"/>
    <n v="18"/>
    <x v="4"/>
    <x v="15"/>
    <n v="16"/>
    <x v="0"/>
    <x v="0"/>
    <n v="1"/>
    <n v="13924"/>
    <x v="860"/>
    <x v="857"/>
    <n v="256330"/>
    <n v="5.43"/>
    <x v="275"/>
    <n v="44.6"/>
    <n v="480"/>
    <n v="1.51"/>
    <n v="0.13"/>
    <n v="35678"/>
    <n v="81.400000000000006"/>
    <n v="87.1"/>
    <x v="211"/>
    <n v="83.3"/>
    <x v="737"/>
    <n v="0"/>
  </r>
  <r>
    <x v="17"/>
    <n v="18"/>
    <x v="4"/>
    <x v="15"/>
    <n v="16"/>
    <x v="1"/>
    <x v="0"/>
    <n v="2"/>
    <n v="161254"/>
    <x v="861"/>
    <x v="858"/>
    <n v="1039010"/>
    <n v="15.52"/>
    <x v="275"/>
    <n v="44.6"/>
    <n v="480"/>
    <n v="1.51"/>
    <n v="0.13"/>
    <n v="35678"/>
    <n v="81.400000000000006"/>
    <n v="87.1"/>
    <x v="211"/>
    <n v="83.3"/>
    <x v="738"/>
    <n v="0"/>
  </r>
  <r>
    <x v="17"/>
    <n v="18"/>
    <x v="4"/>
    <x v="15"/>
    <n v="16"/>
    <x v="2"/>
    <x v="0"/>
    <n v="3"/>
    <n v="97283"/>
    <x v="862"/>
    <x v="859"/>
    <n v="432290"/>
    <n v="22.5"/>
    <x v="275"/>
    <n v="44.6"/>
    <n v="480"/>
    <n v="1.51"/>
    <n v="0.13"/>
    <n v="35678"/>
    <n v="81.400000000000006"/>
    <n v="87.1"/>
    <x v="211"/>
    <n v="83.3"/>
    <x v="739"/>
    <n v="0"/>
  </r>
  <r>
    <x v="18"/>
    <n v="19"/>
    <x v="1"/>
    <x v="0"/>
    <n v="1"/>
    <x v="0"/>
    <x v="0"/>
    <n v="1"/>
    <n v="5"/>
    <x v="863"/>
    <x v="860"/>
    <n v="146306"/>
    <n v="0"/>
    <x v="276"/>
    <n v="2.2000000000000002"/>
    <n v="125"/>
    <n v="1.21"/>
    <n v="0.18099999999999999"/>
    <n v="30720"/>
    <n v="78.7"/>
    <n v="89.9"/>
    <x v="0"/>
    <n v="47.5"/>
    <x v="0"/>
    <n v="0"/>
  </r>
  <r>
    <x v="18"/>
    <n v="19"/>
    <x v="1"/>
    <x v="0"/>
    <n v="1"/>
    <x v="1"/>
    <x v="0"/>
    <n v="2"/>
    <n v="57"/>
    <x v="864"/>
    <x v="861"/>
    <n v="571707"/>
    <n v="0.01"/>
    <x v="276"/>
    <n v="2.2000000000000002"/>
    <n v="125"/>
    <n v="1.21"/>
    <n v="0.18099999999999999"/>
    <n v="30720"/>
    <n v="78.7"/>
    <n v="89.9"/>
    <x v="0"/>
    <n v="47.5"/>
    <x v="0"/>
    <n v="0"/>
  </r>
  <r>
    <x v="18"/>
    <n v="19"/>
    <x v="1"/>
    <x v="0"/>
    <n v="1"/>
    <x v="2"/>
    <x v="0"/>
    <n v="3"/>
    <n v="36"/>
    <x v="865"/>
    <x v="862"/>
    <n v="245369"/>
    <n v="0.01"/>
    <x v="276"/>
    <n v="2.2000000000000002"/>
    <n v="125"/>
    <n v="1.21"/>
    <n v="0.18099999999999999"/>
    <n v="30720"/>
    <n v="78.7"/>
    <n v="89.9"/>
    <x v="0"/>
    <n v="47.5"/>
    <x v="0"/>
    <n v="0"/>
  </r>
  <r>
    <x v="18"/>
    <n v="19"/>
    <x v="1"/>
    <x v="1"/>
    <n v="2"/>
    <x v="0"/>
    <x v="0"/>
    <n v="1"/>
    <n v="9"/>
    <x v="866"/>
    <x v="863"/>
    <n v="132657"/>
    <n v="0.01"/>
    <x v="277"/>
    <n v="2.6"/>
    <n v="129"/>
    <n v="1.1870000000000001"/>
    <n v="0.191"/>
    <n v="29742"/>
    <n v="78.7"/>
    <n v="87.8"/>
    <x v="212"/>
    <n v="49"/>
    <x v="740"/>
    <n v="0"/>
  </r>
  <r>
    <x v="18"/>
    <n v="19"/>
    <x v="1"/>
    <x v="1"/>
    <n v="2"/>
    <x v="1"/>
    <x v="0"/>
    <n v="2"/>
    <n v="109"/>
    <x v="867"/>
    <x v="864"/>
    <n v="544348"/>
    <n v="0.02"/>
    <x v="277"/>
    <n v="2.6"/>
    <n v="129"/>
    <n v="1.1870000000000001"/>
    <n v="0.191"/>
    <n v="29742"/>
    <n v="78.7"/>
    <n v="87.8"/>
    <x v="212"/>
    <n v="49"/>
    <x v="741"/>
    <n v="0"/>
  </r>
  <r>
    <x v="18"/>
    <n v="19"/>
    <x v="1"/>
    <x v="1"/>
    <n v="2"/>
    <x v="2"/>
    <x v="0"/>
    <n v="3"/>
    <n v="65"/>
    <x v="868"/>
    <x v="865"/>
    <n v="223993"/>
    <n v="0.03"/>
    <x v="277"/>
    <n v="2.6"/>
    <n v="129"/>
    <n v="1.1870000000000001"/>
    <n v="0.191"/>
    <n v="29742"/>
    <n v="78.7"/>
    <n v="87.8"/>
    <x v="212"/>
    <n v="49"/>
    <x v="742"/>
    <n v="0"/>
  </r>
  <r>
    <x v="18"/>
    <n v="19"/>
    <x v="1"/>
    <x v="2"/>
    <n v="3"/>
    <x v="0"/>
    <x v="0"/>
    <n v="1"/>
    <n v="17"/>
    <x v="869"/>
    <x v="866"/>
    <n v="118316"/>
    <n v="0.01"/>
    <x v="158"/>
    <n v="2.9"/>
    <n v="146"/>
    <n v="1.173"/>
    <n v="0.19800000000000001"/>
    <n v="28432"/>
    <n v="78.7"/>
    <n v="85.6"/>
    <x v="213"/>
    <n v="49.2"/>
    <x v="4"/>
    <n v="0"/>
  </r>
  <r>
    <x v="18"/>
    <n v="19"/>
    <x v="1"/>
    <x v="2"/>
    <n v="3"/>
    <x v="1"/>
    <x v="0"/>
    <n v="2"/>
    <n v="197"/>
    <x v="870"/>
    <x v="867"/>
    <n v="492204"/>
    <n v="0.04"/>
    <x v="158"/>
    <n v="2.9"/>
    <n v="146"/>
    <n v="1.173"/>
    <n v="0.19800000000000001"/>
    <n v="28432"/>
    <n v="78.7"/>
    <n v="85.6"/>
    <x v="213"/>
    <n v="49.2"/>
    <x v="743"/>
    <n v="0"/>
  </r>
  <r>
    <x v="18"/>
    <n v="19"/>
    <x v="1"/>
    <x v="2"/>
    <n v="3"/>
    <x v="2"/>
    <x v="0"/>
    <n v="3"/>
    <n v="115"/>
    <x v="871"/>
    <x v="868"/>
    <n v="197706"/>
    <n v="0.06"/>
    <x v="158"/>
    <n v="2.9"/>
    <n v="146"/>
    <n v="1.173"/>
    <n v="0.19800000000000001"/>
    <n v="28432"/>
    <n v="78.7"/>
    <n v="85.6"/>
    <x v="213"/>
    <n v="49.2"/>
    <x v="744"/>
    <n v="0"/>
  </r>
  <r>
    <x v="18"/>
    <n v="19"/>
    <x v="1"/>
    <x v="3"/>
    <n v="4"/>
    <x v="0"/>
    <x v="0"/>
    <n v="1"/>
    <n v="48"/>
    <x v="872"/>
    <x v="869"/>
    <n v="105453"/>
    <n v="0.05"/>
    <x v="278"/>
    <n v="3.6"/>
    <n v="151"/>
    <n v="1.17"/>
    <n v="0.20599999999999999"/>
    <n v="27959"/>
    <n v="79.3"/>
    <n v="84.3"/>
    <x v="214"/>
    <n v="53.6"/>
    <x v="745"/>
    <n v="0"/>
  </r>
  <r>
    <x v="18"/>
    <n v="19"/>
    <x v="1"/>
    <x v="3"/>
    <n v="4"/>
    <x v="1"/>
    <x v="0"/>
    <n v="2"/>
    <n v="559"/>
    <x v="873"/>
    <x v="870"/>
    <n v="429682"/>
    <n v="0.13"/>
    <x v="278"/>
    <n v="3.6"/>
    <n v="151"/>
    <n v="1.17"/>
    <n v="0.20599999999999999"/>
    <n v="27959"/>
    <n v="79.3"/>
    <n v="84.3"/>
    <x v="214"/>
    <n v="53.6"/>
    <x v="746"/>
    <n v="0"/>
  </r>
  <r>
    <x v="18"/>
    <n v="19"/>
    <x v="1"/>
    <x v="3"/>
    <n v="4"/>
    <x v="2"/>
    <x v="0"/>
    <n v="3"/>
    <n v="334"/>
    <x v="874"/>
    <x v="871"/>
    <n v="177190"/>
    <n v="0.19"/>
    <x v="278"/>
    <n v="3.6"/>
    <n v="151"/>
    <n v="1.17"/>
    <n v="0.20599999999999999"/>
    <n v="27959"/>
    <n v="79.3"/>
    <n v="84.3"/>
    <x v="214"/>
    <n v="53.6"/>
    <x v="747"/>
    <n v="0"/>
  </r>
  <r>
    <x v="18"/>
    <n v="19"/>
    <x v="1"/>
    <x v="4"/>
    <n v="5"/>
    <x v="0"/>
    <x v="0"/>
    <n v="1"/>
    <n v="84"/>
    <x v="875"/>
    <x v="872"/>
    <n v="133052"/>
    <n v="0.06"/>
    <x v="279"/>
    <n v="4.4000000000000004"/>
    <n v="159"/>
    <n v="1.17"/>
    <n v="0.216"/>
    <n v="26581"/>
    <n v="79.7"/>
    <n v="82.6"/>
    <x v="215"/>
    <n v="54.9"/>
    <x v="748"/>
    <n v="0"/>
  </r>
  <r>
    <x v="18"/>
    <n v="19"/>
    <x v="1"/>
    <x v="4"/>
    <n v="5"/>
    <x v="1"/>
    <x v="0"/>
    <n v="2"/>
    <n v="963"/>
    <x v="876"/>
    <x v="873"/>
    <n v="535245"/>
    <n v="0.18"/>
    <x v="279"/>
    <n v="4.4000000000000004"/>
    <n v="159"/>
    <n v="1.17"/>
    <n v="0.216"/>
    <n v="26581"/>
    <n v="79.7"/>
    <n v="82.6"/>
    <x v="215"/>
    <n v="54.9"/>
    <x v="749"/>
    <n v="0"/>
  </r>
  <r>
    <x v="18"/>
    <n v="19"/>
    <x v="1"/>
    <x v="4"/>
    <n v="5"/>
    <x v="2"/>
    <x v="0"/>
    <n v="3"/>
    <n v="582"/>
    <x v="877"/>
    <x v="874"/>
    <n v="222810"/>
    <n v="0.26"/>
    <x v="279"/>
    <n v="4.4000000000000004"/>
    <n v="159"/>
    <n v="1.17"/>
    <n v="0.216"/>
    <n v="26581"/>
    <n v="79.7"/>
    <n v="82.6"/>
    <x v="215"/>
    <n v="54.9"/>
    <x v="750"/>
    <n v="0"/>
  </r>
  <r>
    <x v="18"/>
    <n v="19"/>
    <x v="1"/>
    <x v="5"/>
    <n v="6"/>
    <x v="0"/>
    <x v="0"/>
    <n v="1"/>
    <n v="156"/>
    <x v="878"/>
    <x v="875"/>
    <n v="153552"/>
    <n v="0.1"/>
    <x v="280"/>
    <n v="5.0999999999999996"/>
    <n v="172"/>
    <n v="1.173"/>
    <n v="0.221"/>
    <n v="25880"/>
    <n v="79.8"/>
    <n v="83"/>
    <x v="216"/>
    <n v="56.1"/>
    <x v="355"/>
    <n v="0"/>
  </r>
  <r>
    <x v="18"/>
    <n v="19"/>
    <x v="1"/>
    <x v="5"/>
    <n v="6"/>
    <x v="1"/>
    <x v="0"/>
    <n v="2"/>
    <n v="1785"/>
    <x v="879"/>
    <x v="876"/>
    <n v="615552"/>
    <n v="0.28999999999999998"/>
    <x v="280"/>
    <n v="5.0999999999999996"/>
    <n v="172"/>
    <n v="1.173"/>
    <n v="0.221"/>
    <n v="25880"/>
    <n v="79.8"/>
    <n v="83"/>
    <x v="216"/>
    <n v="56.1"/>
    <x v="751"/>
    <n v="0"/>
  </r>
  <r>
    <x v="18"/>
    <n v="19"/>
    <x v="1"/>
    <x v="5"/>
    <n v="6"/>
    <x v="2"/>
    <x v="0"/>
    <n v="3"/>
    <n v="1071"/>
    <x v="880"/>
    <x v="877"/>
    <n v="254706"/>
    <n v="0.42"/>
    <x v="280"/>
    <n v="5.0999999999999996"/>
    <n v="172"/>
    <n v="1.173"/>
    <n v="0.221"/>
    <n v="25880"/>
    <n v="79.8"/>
    <n v="83"/>
    <x v="216"/>
    <n v="56.1"/>
    <x v="752"/>
    <n v="0"/>
  </r>
  <r>
    <x v="18"/>
    <n v="19"/>
    <x v="1"/>
    <x v="6"/>
    <n v="7"/>
    <x v="0"/>
    <x v="0"/>
    <n v="1"/>
    <n v="230"/>
    <x v="881"/>
    <x v="878"/>
    <n v="172788"/>
    <n v="0.13"/>
    <x v="281"/>
    <n v="5.9"/>
    <n v="186"/>
    <n v="1.2"/>
    <n v="0.22"/>
    <n v="26400"/>
    <n v="79.8"/>
    <n v="82"/>
    <x v="217"/>
    <n v="57.4"/>
    <x v="753"/>
    <n v="0"/>
  </r>
  <r>
    <x v="18"/>
    <n v="19"/>
    <x v="1"/>
    <x v="6"/>
    <n v="7"/>
    <x v="1"/>
    <x v="0"/>
    <n v="2"/>
    <n v="2653"/>
    <x v="882"/>
    <x v="879"/>
    <n v="698178"/>
    <n v="0.38"/>
    <x v="281"/>
    <n v="5.9"/>
    <n v="186"/>
    <n v="1.2"/>
    <n v="0.22"/>
    <n v="26400"/>
    <n v="79.8"/>
    <n v="82"/>
    <x v="217"/>
    <n v="57.4"/>
    <x v="754"/>
    <n v="0"/>
  </r>
  <r>
    <x v="18"/>
    <n v="19"/>
    <x v="1"/>
    <x v="6"/>
    <n v="7"/>
    <x v="2"/>
    <x v="0"/>
    <n v="3"/>
    <n v="1589"/>
    <x v="883"/>
    <x v="880"/>
    <n v="288315"/>
    <n v="0.55000000000000004"/>
    <x v="281"/>
    <n v="5.9"/>
    <n v="186"/>
    <n v="1.2"/>
    <n v="0.22"/>
    <n v="26400"/>
    <n v="79.8"/>
    <n v="82"/>
    <x v="217"/>
    <n v="57.4"/>
    <x v="755"/>
    <n v="0"/>
  </r>
  <r>
    <x v="18"/>
    <n v="19"/>
    <x v="1"/>
    <x v="7"/>
    <n v="8"/>
    <x v="0"/>
    <x v="0"/>
    <n v="1"/>
    <n v="483"/>
    <x v="884"/>
    <x v="881"/>
    <n v="186345"/>
    <n v="0.26"/>
    <x v="282"/>
    <n v="7.8"/>
    <n v="225"/>
    <n v="1.2370000000000001"/>
    <n v="0.216"/>
    <n v="27770"/>
    <n v="80.2"/>
    <n v="83.6"/>
    <x v="218"/>
    <n v="61.7"/>
    <x v="756"/>
    <n v="0"/>
  </r>
  <r>
    <x v="18"/>
    <n v="19"/>
    <x v="1"/>
    <x v="7"/>
    <n v="8"/>
    <x v="1"/>
    <x v="0"/>
    <n v="2"/>
    <n v="5682"/>
    <x v="885"/>
    <x v="882"/>
    <n v="767814"/>
    <n v="0.74"/>
    <x v="282"/>
    <n v="7.8"/>
    <n v="225"/>
    <n v="1.2370000000000001"/>
    <n v="0.216"/>
    <n v="27770"/>
    <n v="80.2"/>
    <n v="83.6"/>
    <x v="218"/>
    <n v="61.7"/>
    <x v="757"/>
    <n v="0"/>
  </r>
  <r>
    <x v="18"/>
    <n v="19"/>
    <x v="1"/>
    <x v="7"/>
    <n v="8"/>
    <x v="2"/>
    <x v="0"/>
    <n v="3"/>
    <n v="3417"/>
    <x v="886"/>
    <x v="883"/>
    <n v="318428"/>
    <n v="1.07"/>
    <x v="282"/>
    <n v="7.8"/>
    <n v="225"/>
    <n v="1.2370000000000001"/>
    <n v="0.216"/>
    <n v="27770"/>
    <n v="80.2"/>
    <n v="83.6"/>
    <x v="218"/>
    <n v="61.7"/>
    <x v="758"/>
    <n v="0"/>
  </r>
  <r>
    <x v="18"/>
    <n v="19"/>
    <x v="1"/>
    <x v="8"/>
    <n v="9"/>
    <x v="0"/>
    <x v="0"/>
    <n v="1"/>
    <n v="711"/>
    <x v="887"/>
    <x v="884"/>
    <n v="188151"/>
    <n v="0.38"/>
    <x v="283"/>
    <n v="9.1"/>
    <n v="262"/>
    <n v="1.2729999999999999"/>
    <n v="0.217"/>
    <n v="28848"/>
    <n v="80.2"/>
    <n v="83.7"/>
    <x v="219"/>
    <n v="63.6"/>
    <x v="759"/>
    <n v="0"/>
  </r>
  <r>
    <x v="18"/>
    <n v="19"/>
    <x v="1"/>
    <x v="8"/>
    <n v="9"/>
    <x v="1"/>
    <x v="0"/>
    <n v="2"/>
    <n v="8223"/>
    <x v="888"/>
    <x v="885"/>
    <n v="761393"/>
    <n v="1.08"/>
    <x v="283"/>
    <n v="9.1"/>
    <n v="262"/>
    <n v="1.2729999999999999"/>
    <n v="0.217"/>
    <n v="28848"/>
    <n v="80.2"/>
    <n v="83.7"/>
    <x v="219"/>
    <n v="63.6"/>
    <x v="760"/>
    <n v="0"/>
  </r>
  <r>
    <x v="18"/>
    <n v="19"/>
    <x v="1"/>
    <x v="8"/>
    <n v="9"/>
    <x v="2"/>
    <x v="0"/>
    <n v="3"/>
    <n v="4873"/>
    <x v="889"/>
    <x v="886"/>
    <n v="311203"/>
    <n v="1.57"/>
    <x v="283"/>
    <n v="9.1"/>
    <n v="262"/>
    <n v="1.2729999999999999"/>
    <n v="0.217"/>
    <n v="28848"/>
    <n v="80.2"/>
    <n v="83.7"/>
    <x v="219"/>
    <n v="63.6"/>
    <x v="761"/>
    <n v="0"/>
  </r>
  <r>
    <x v="18"/>
    <n v="19"/>
    <x v="1"/>
    <x v="9"/>
    <n v="10"/>
    <x v="0"/>
    <x v="0"/>
    <n v="1"/>
    <n v="957"/>
    <x v="890"/>
    <x v="887"/>
    <n v="184678"/>
    <n v="0.52"/>
    <x v="284"/>
    <n v="9.1999999999999993"/>
    <n v="290"/>
    <n v="1.34"/>
    <n v="0.219"/>
    <n v="29815"/>
    <n v="80.5"/>
    <n v="79.099999999999994"/>
    <x v="64"/>
    <n v="67.599999999999994"/>
    <x v="762"/>
    <n v="0"/>
  </r>
  <r>
    <x v="18"/>
    <n v="19"/>
    <x v="1"/>
    <x v="9"/>
    <n v="10"/>
    <x v="1"/>
    <x v="0"/>
    <n v="2"/>
    <n v="10973"/>
    <x v="891"/>
    <x v="888"/>
    <n v="741449"/>
    <n v="1.48"/>
    <x v="284"/>
    <n v="9.1999999999999993"/>
    <n v="290"/>
    <n v="1.34"/>
    <n v="0.219"/>
    <n v="29815"/>
    <n v="80.5"/>
    <n v="79.099999999999994"/>
    <x v="64"/>
    <n v="67.599999999999994"/>
    <x v="763"/>
    <n v="0"/>
  </r>
  <r>
    <x v="18"/>
    <n v="19"/>
    <x v="1"/>
    <x v="9"/>
    <n v="10"/>
    <x v="2"/>
    <x v="0"/>
    <n v="3"/>
    <n v="6702"/>
    <x v="892"/>
    <x v="889"/>
    <n v="312287"/>
    <n v="2.15"/>
    <x v="284"/>
    <n v="9.1999999999999993"/>
    <n v="290"/>
    <n v="1.34"/>
    <n v="0.219"/>
    <n v="29815"/>
    <n v="80.5"/>
    <n v="79.099999999999994"/>
    <x v="64"/>
    <n v="67.599999999999994"/>
    <x v="764"/>
    <n v="0"/>
  </r>
  <r>
    <x v="18"/>
    <n v="19"/>
    <x v="1"/>
    <x v="10"/>
    <n v="11"/>
    <x v="0"/>
    <x v="0"/>
    <n v="1"/>
    <n v="1863"/>
    <x v="893"/>
    <x v="890"/>
    <n v="128857"/>
    <n v="1.45"/>
    <x v="285"/>
    <n v="12.5"/>
    <n v="342"/>
    <n v="1.48"/>
    <n v="0.24"/>
    <n v="29562"/>
    <n v="80.8"/>
    <n v="75.2"/>
    <x v="220"/>
    <n v="69.5"/>
    <x v="765"/>
    <n v="0"/>
  </r>
  <r>
    <x v="18"/>
    <n v="19"/>
    <x v="1"/>
    <x v="10"/>
    <n v="11"/>
    <x v="1"/>
    <x v="0"/>
    <n v="2"/>
    <n v="21262"/>
    <x v="894"/>
    <x v="891"/>
    <n v="514807"/>
    <n v="4.13"/>
    <x v="285"/>
    <n v="12.5"/>
    <n v="342"/>
    <n v="1.48"/>
    <n v="0.24"/>
    <n v="29562"/>
    <n v="80.8"/>
    <n v="75.2"/>
    <x v="220"/>
    <n v="69.5"/>
    <x v="766"/>
    <n v="0"/>
  </r>
  <r>
    <x v="18"/>
    <n v="19"/>
    <x v="1"/>
    <x v="10"/>
    <n v="11"/>
    <x v="2"/>
    <x v="0"/>
    <n v="3"/>
    <n v="12601"/>
    <x v="895"/>
    <x v="892"/>
    <n v="210413"/>
    <n v="5.99"/>
    <x v="285"/>
    <n v="12.5"/>
    <n v="342"/>
    <n v="1.48"/>
    <n v="0.24"/>
    <n v="29562"/>
    <n v="80.8"/>
    <n v="75.2"/>
    <x v="220"/>
    <n v="69.5"/>
    <x v="767"/>
    <n v="0"/>
  </r>
  <r>
    <x v="18"/>
    <n v="19"/>
    <x v="1"/>
    <x v="11"/>
    <n v="12"/>
    <x v="0"/>
    <x v="0"/>
    <n v="1"/>
    <n v="3409"/>
    <x v="896"/>
    <x v="893"/>
    <n v="133412"/>
    <n v="2.56"/>
    <x v="286"/>
    <n v="14.9"/>
    <n v="363"/>
    <n v="1.673"/>
    <n v="0.28000000000000003"/>
    <n v="30251"/>
    <n v="81.2"/>
    <n v="72"/>
    <x v="221"/>
    <n v="72.8"/>
    <x v="768"/>
    <n v="0"/>
  </r>
  <r>
    <x v="18"/>
    <n v="19"/>
    <x v="1"/>
    <x v="11"/>
    <n v="12"/>
    <x v="1"/>
    <x v="0"/>
    <n v="2"/>
    <n v="38644"/>
    <x v="897"/>
    <x v="894"/>
    <n v="529374"/>
    <n v="7.3"/>
    <x v="286"/>
    <n v="14.9"/>
    <n v="363"/>
    <n v="1.673"/>
    <n v="0.28000000000000003"/>
    <n v="30251"/>
    <n v="81.2"/>
    <n v="72"/>
    <x v="221"/>
    <n v="72.8"/>
    <x v="769"/>
    <n v="0"/>
  </r>
  <r>
    <x v="18"/>
    <n v="19"/>
    <x v="1"/>
    <x v="11"/>
    <n v="12"/>
    <x v="2"/>
    <x v="0"/>
    <n v="3"/>
    <n v="23271"/>
    <x v="898"/>
    <x v="895"/>
    <n v="219852"/>
    <n v="10.58"/>
    <x v="286"/>
    <n v="14.9"/>
    <n v="363"/>
    <n v="1.673"/>
    <n v="0.28000000000000003"/>
    <n v="30251"/>
    <n v="81.2"/>
    <n v="72"/>
    <x v="221"/>
    <n v="72.8"/>
    <x v="770"/>
    <n v="0"/>
  </r>
  <r>
    <x v="18"/>
    <n v="19"/>
    <x v="1"/>
    <x v="12"/>
    <n v="13"/>
    <x v="0"/>
    <x v="0"/>
    <n v="1"/>
    <n v="3540"/>
    <x v="899"/>
    <x v="896"/>
    <n v="122879"/>
    <n v="2.88"/>
    <x v="287"/>
    <n v="15.3"/>
    <n v="398"/>
    <n v="1.7969999999999999"/>
    <n v="0.307"/>
    <n v="29259"/>
    <n v="81.2"/>
    <n v="75.2"/>
    <x v="222"/>
    <n v="75.7"/>
    <x v="771"/>
    <n v="0"/>
  </r>
  <r>
    <x v="18"/>
    <n v="19"/>
    <x v="1"/>
    <x v="12"/>
    <n v="13"/>
    <x v="1"/>
    <x v="0"/>
    <n v="2"/>
    <n v="40060"/>
    <x v="900"/>
    <x v="897"/>
    <n v="486761"/>
    <n v="8.23"/>
    <x v="287"/>
    <n v="15.3"/>
    <n v="398"/>
    <n v="1.7969999999999999"/>
    <n v="0.307"/>
    <n v="29259"/>
    <n v="81.2"/>
    <n v="75.2"/>
    <x v="222"/>
    <n v="75.7"/>
    <x v="772"/>
    <n v="0"/>
  </r>
  <r>
    <x v="18"/>
    <n v="19"/>
    <x v="1"/>
    <x v="12"/>
    <n v="13"/>
    <x v="2"/>
    <x v="0"/>
    <n v="3"/>
    <n v="24337"/>
    <x v="901"/>
    <x v="898"/>
    <n v="203941"/>
    <n v="11.93"/>
    <x v="287"/>
    <n v="15.3"/>
    <n v="398"/>
    <n v="1.7969999999999999"/>
    <n v="0.307"/>
    <n v="29259"/>
    <n v="81.2"/>
    <n v="75.2"/>
    <x v="222"/>
    <n v="75.7"/>
    <x v="773"/>
    <n v="0"/>
  </r>
  <r>
    <x v="18"/>
    <n v="19"/>
    <x v="1"/>
    <x v="13"/>
    <n v="14"/>
    <x v="0"/>
    <x v="0"/>
    <n v="1"/>
    <n v="4203"/>
    <x v="902"/>
    <x v="899"/>
    <n v="143284"/>
    <n v="2.93"/>
    <x v="288"/>
    <n v="17.5"/>
    <n v="431"/>
    <n v="1.8129999999999999"/>
    <n v="0.309"/>
    <n v="32207"/>
    <n v="81.2"/>
    <n v="75.599999999999994"/>
    <x v="223"/>
    <n v="78.400000000000006"/>
    <x v="774"/>
    <n v="0"/>
  </r>
  <r>
    <x v="18"/>
    <n v="19"/>
    <x v="1"/>
    <x v="13"/>
    <n v="14"/>
    <x v="1"/>
    <x v="0"/>
    <n v="2"/>
    <n v="48369"/>
    <x v="903"/>
    <x v="900"/>
    <n v="577195"/>
    <n v="8.3800000000000008"/>
    <x v="288"/>
    <n v="17.5"/>
    <n v="431"/>
    <n v="1.8129999999999999"/>
    <n v="0.309"/>
    <n v="32207"/>
    <n v="81.2"/>
    <n v="75.599999999999994"/>
    <x v="223"/>
    <n v="78.400000000000006"/>
    <x v="775"/>
    <n v="0"/>
  </r>
  <r>
    <x v="18"/>
    <n v="19"/>
    <x v="1"/>
    <x v="13"/>
    <n v="14"/>
    <x v="2"/>
    <x v="0"/>
    <n v="3"/>
    <n v="29006"/>
    <x v="904"/>
    <x v="901"/>
    <n v="238713"/>
    <n v="12.15"/>
    <x v="288"/>
    <n v="17.5"/>
    <n v="431"/>
    <n v="1.8129999999999999"/>
    <n v="0.309"/>
    <n v="32207"/>
    <n v="81.2"/>
    <n v="75.599999999999994"/>
    <x v="223"/>
    <n v="78.400000000000006"/>
    <x v="776"/>
    <n v="0"/>
  </r>
  <r>
    <x v="18"/>
    <n v="19"/>
    <x v="1"/>
    <x v="14"/>
    <n v="15"/>
    <x v="0"/>
    <x v="0"/>
    <n v="1"/>
    <n v="5138"/>
    <x v="905"/>
    <x v="902"/>
    <n v="144356"/>
    <n v="3.56"/>
    <x v="289"/>
    <n v="20.6"/>
    <n v="461"/>
    <n v="1.72"/>
    <n v="0.28100000000000003"/>
    <n v="33322"/>
    <n v="81.3"/>
    <n v="74.2"/>
    <x v="224"/>
    <n v="80.099999999999994"/>
    <x v="777"/>
    <n v="0"/>
  </r>
  <r>
    <x v="18"/>
    <n v="19"/>
    <x v="1"/>
    <x v="14"/>
    <n v="15"/>
    <x v="1"/>
    <x v="0"/>
    <n v="2"/>
    <n v="60168"/>
    <x v="906"/>
    <x v="903"/>
    <n v="591624"/>
    <n v="10.17"/>
    <x v="289"/>
    <n v="20.6"/>
    <n v="461"/>
    <n v="1.72"/>
    <n v="0.28100000000000003"/>
    <n v="33322"/>
    <n v="81.3"/>
    <n v="74.2"/>
    <x v="224"/>
    <n v="80.099999999999994"/>
    <x v="778"/>
    <n v="0"/>
  </r>
  <r>
    <x v="18"/>
    <n v="19"/>
    <x v="1"/>
    <x v="14"/>
    <n v="15"/>
    <x v="2"/>
    <x v="0"/>
    <n v="3"/>
    <n v="35282"/>
    <x v="907"/>
    <x v="904"/>
    <n v="239258"/>
    <n v="14.75"/>
    <x v="289"/>
    <n v="20.6"/>
    <n v="461"/>
    <n v="1.72"/>
    <n v="0.28100000000000003"/>
    <n v="33322"/>
    <n v="81.3"/>
    <n v="74.2"/>
    <x v="224"/>
    <n v="80.099999999999994"/>
    <x v="779"/>
    <n v="0"/>
  </r>
  <r>
    <x v="18"/>
    <n v="19"/>
    <x v="1"/>
    <x v="15"/>
    <n v="16"/>
    <x v="0"/>
    <x v="0"/>
    <n v="1"/>
    <n v="6460"/>
    <x v="908"/>
    <x v="905"/>
    <n v="155355"/>
    <n v="4.16"/>
    <x v="290"/>
    <n v="22.6"/>
    <n v="477"/>
    <n v="1.59"/>
    <n v="0.25600000000000001"/>
    <n v="34583"/>
    <n v="81.2"/>
    <n v="70.5"/>
    <x v="225"/>
    <n v="83.4"/>
    <x v="780"/>
    <n v="0"/>
  </r>
  <r>
    <x v="18"/>
    <n v="19"/>
    <x v="1"/>
    <x v="15"/>
    <n v="16"/>
    <x v="1"/>
    <x v="0"/>
    <n v="2"/>
    <n v="73568"/>
    <x v="909"/>
    <x v="906"/>
    <n v="619256"/>
    <n v="11.88"/>
    <x v="290"/>
    <n v="22.6"/>
    <n v="477"/>
    <n v="1.59"/>
    <n v="0.25600000000000001"/>
    <n v="34583"/>
    <n v="81.2"/>
    <n v="70.5"/>
    <x v="225"/>
    <n v="83.4"/>
    <x v="781"/>
    <n v="0"/>
  </r>
  <r>
    <x v="18"/>
    <n v="19"/>
    <x v="1"/>
    <x v="15"/>
    <n v="16"/>
    <x v="2"/>
    <x v="0"/>
    <n v="3"/>
    <n v="43923"/>
    <x v="910"/>
    <x v="907"/>
    <n v="254980"/>
    <n v="17.23"/>
    <x v="290"/>
    <n v="22.6"/>
    <n v="477"/>
    <n v="1.59"/>
    <n v="0.25600000000000001"/>
    <n v="34583"/>
    <n v="81.2"/>
    <n v="70.5"/>
    <x v="225"/>
    <n v="83.4"/>
    <x v="782"/>
    <n v="0"/>
  </r>
  <r>
    <x v="19"/>
    <n v="20"/>
    <x v="1"/>
    <x v="0"/>
    <n v="1"/>
    <x v="0"/>
    <x v="0"/>
    <n v="1"/>
    <n v="5"/>
    <x v="911"/>
    <x v="908"/>
    <n v="45650"/>
    <n v="0.01"/>
    <x v="291"/>
    <n v="2.9"/>
    <n v="121"/>
    <n v="1.56"/>
    <n v="0.13200000000000001"/>
    <n v="52754"/>
    <n v="85.1"/>
    <n v="19.5"/>
    <x v="0"/>
    <n v="64.5"/>
    <x v="0"/>
    <n v="0"/>
  </r>
  <r>
    <x v="19"/>
    <n v="20"/>
    <x v="1"/>
    <x v="0"/>
    <n v="1"/>
    <x v="1"/>
    <x v="0"/>
    <n v="2"/>
    <n v="54"/>
    <x v="912"/>
    <x v="909"/>
    <n v="179265"/>
    <n v="0.03"/>
    <x v="291"/>
    <n v="2.9"/>
    <n v="121"/>
    <n v="1.56"/>
    <n v="0.13200000000000001"/>
    <n v="52754"/>
    <n v="85.1"/>
    <n v="19.5"/>
    <x v="0"/>
    <n v="64.5"/>
    <x v="0"/>
    <n v="0"/>
  </r>
  <r>
    <x v="19"/>
    <n v="20"/>
    <x v="1"/>
    <x v="0"/>
    <n v="1"/>
    <x v="2"/>
    <x v="0"/>
    <n v="3"/>
    <n v="32"/>
    <x v="913"/>
    <x v="910"/>
    <n v="73864"/>
    <n v="0.04"/>
    <x v="291"/>
    <n v="2.9"/>
    <n v="121"/>
    <n v="1.56"/>
    <n v="0.13200000000000001"/>
    <n v="52754"/>
    <n v="85.1"/>
    <n v="19.5"/>
    <x v="0"/>
    <n v="64.5"/>
    <x v="0"/>
    <n v="0"/>
  </r>
  <r>
    <x v="19"/>
    <n v="20"/>
    <x v="1"/>
    <x v="1"/>
    <n v="2"/>
    <x v="0"/>
    <x v="0"/>
    <n v="1"/>
    <n v="29"/>
    <x v="914"/>
    <x v="911"/>
    <n v="41995"/>
    <n v="7.0000000000000007E-2"/>
    <x v="292"/>
    <n v="4.8"/>
    <n v="131"/>
    <n v="1.5129999999999999"/>
    <n v="0.124"/>
    <n v="51125"/>
    <n v="84.7"/>
    <n v="19.5"/>
    <x v="226"/>
    <n v="66"/>
    <x v="33"/>
    <n v="0"/>
  </r>
  <r>
    <x v="19"/>
    <n v="20"/>
    <x v="1"/>
    <x v="1"/>
    <n v="2"/>
    <x v="1"/>
    <x v="0"/>
    <n v="2"/>
    <n v="336"/>
    <x v="915"/>
    <x v="912"/>
    <n v="167806"/>
    <n v="0.2"/>
    <x v="292"/>
    <n v="4.8"/>
    <n v="131"/>
    <n v="1.5129999999999999"/>
    <n v="0.124"/>
    <n v="51125"/>
    <n v="84.7"/>
    <n v="19.5"/>
    <x v="226"/>
    <n v="66"/>
    <x v="33"/>
    <n v="0"/>
  </r>
  <r>
    <x v="19"/>
    <n v="20"/>
    <x v="1"/>
    <x v="1"/>
    <n v="2"/>
    <x v="2"/>
    <x v="0"/>
    <n v="3"/>
    <n v="203"/>
    <x v="916"/>
    <x v="913"/>
    <n v="70145"/>
    <n v="0.28999999999999998"/>
    <x v="292"/>
    <n v="4.8"/>
    <n v="131"/>
    <n v="1.5129999999999999"/>
    <n v="0.124"/>
    <n v="51125"/>
    <n v="84.7"/>
    <n v="19.5"/>
    <x v="226"/>
    <n v="66"/>
    <x v="33"/>
    <n v="0"/>
  </r>
  <r>
    <x v="19"/>
    <n v="20"/>
    <x v="1"/>
    <x v="2"/>
    <n v="3"/>
    <x v="0"/>
    <x v="0"/>
    <n v="1"/>
    <n v="54"/>
    <x v="917"/>
    <x v="914"/>
    <n v="40395"/>
    <n v="0.13"/>
    <x v="293"/>
    <n v="6.9"/>
    <n v="150"/>
    <n v="1.4830000000000001"/>
    <n v="0.11700000000000001"/>
    <n v="52345"/>
    <n v="85.1"/>
    <n v="19.399999999999999"/>
    <x v="146"/>
    <n v="68.900000000000006"/>
    <x v="783"/>
    <n v="0"/>
  </r>
  <r>
    <x v="19"/>
    <n v="20"/>
    <x v="1"/>
    <x v="2"/>
    <n v="3"/>
    <x v="1"/>
    <x v="0"/>
    <n v="2"/>
    <n v="614"/>
    <x v="918"/>
    <x v="915"/>
    <n v="161608"/>
    <n v="0.38"/>
    <x v="293"/>
    <n v="6.9"/>
    <n v="150"/>
    <n v="1.4830000000000001"/>
    <n v="0.11700000000000001"/>
    <n v="52345"/>
    <n v="85.1"/>
    <n v="19.399999999999999"/>
    <x v="146"/>
    <n v="68.900000000000006"/>
    <x v="784"/>
    <n v="0"/>
  </r>
  <r>
    <x v="19"/>
    <n v="20"/>
    <x v="1"/>
    <x v="2"/>
    <n v="3"/>
    <x v="2"/>
    <x v="0"/>
    <n v="3"/>
    <n v="372"/>
    <x v="919"/>
    <x v="916"/>
    <n v="67454"/>
    <n v="0.55000000000000004"/>
    <x v="293"/>
    <n v="6.9"/>
    <n v="150"/>
    <n v="1.4830000000000001"/>
    <n v="0.11700000000000001"/>
    <n v="52345"/>
    <n v="85.1"/>
    <n v="19.399999999999999"/>
    <x v="146"/>
    <n v="68.900000000000006"/>
    <x v="785"/>
    <n v="0"/>
  </r>
  <r>
    <x v="19"/>
    <n v="20"/>
    <x v="1"/>
    <x v="3"/>
    <n v="4"/>
    <x v="0"/>
    <x v="0"/>
    <n v="1"/>
    <n v="131"/>
    <x v="920"/>
    <x v="917"/>
    <n v="39682"/>
    <n v="0.33"/>
    <x v="294"/>
    <n v="8.8000000000000007"/>
    <n v="160"/>
    <n v="1.4470000000000001"/>
    <n v="0.111"/>
    <n v="52102"/>
    <n v="85.5"/>
    <n v="19.2"/>
    <x v="227"/>
    <n v="71.8"/>
    <x v="786"/>
    <n v="0"/>
  </r>
  <r>
    <x v="19"/>
    <n v="20"/>
    <x v="1"/>
    <x v="3"/>
    <n v="4"/>
    <x v="1"/>
    <x v="0"/>
    <n v="2"/>
    <n v="1546"/>
    <x v="921"/>
    <x v="918"/>
    <n v="164489"/>
    <n v="0.94"/>
    <x v="294"/>
    <n v="8.8000000000000007"/>
    <n v="160"/>
    <n v="1.4470000000000001"/>
    <n v="0.111"/>
    <n v="52102"/>
    <n v="85.5"/>
    <n v="19.2"/>
    <x v="227"/>
    <n v="71.8"/>
    <x v="787"/>
    <n v="0"/>
  </r>
  <r>
    <x v="19"/>
    <n v="20"/>
    <x v="1"/>
    <x v="3"/>
    <n v="4"/>
    <x v="2"/>
    <x v="0"/>
    <n v="3"/>
    <n v="909"/>
    <x v="922"/>
    <x v="919"/>
    <n v="66681"/>
    <n v="1.36"/>
    <x v="294"/>
    <n v="8.8000000000000007"/>
    <n v="160"/>
    <n v="1.4470000000000001"/>
    <n v="0.111"/>
    <n v="52102"/>
    <n v="85.5"/>
    <n v="19.2"/>
    <x v="227"/>
    <n v="71.8"/>
    <x v="788"/>
    <n v="0"/>
  </r>
  <r>
    <x v="19"/>
    <n v="20"/>
    <x v="1"/>
    <x v="4"/>
    <n v="5"/>
    <x v="0"/>
    <x v="0"/>
    <n v="1"/>
    <n v="208"/>
    <x v="923"/>
    <x v="920"/>
    <n v="46321"/>
    <n v="0.45"/>
    <x v="295"/>
    <n v="11.2"/>
    <n v="154"/>
    <n v="1.4370000000000001"/>
    <n v="0.106"/>
    <n v="50923"/>
    <n v="85.7"/>
    <n v="19.100000000000001"/>
    <x v="228"/>
    <n v="72.900000000000006"/>
    <x v="789"/>
    <n v="0"/>
  </r>
  <r>
    <x v="19"/>
    <n v="20"/>
    <x v="1"/>
    <x v="4"/>
    <n v="5"/>
    <x v="1"/>
    <x v="0"/>
    <n v="2"/>
    <n v="2394"/>
    <x v="924"/>
    <x v="921"/>
    <n v="187000"/>
    <n v="1.28"/>
    <x v="295"/>
    <n v="11.2"/>
    <n v="154"/>
    <n v="1.4370000000000001"/>
    <n v="0.106"/>
    <n v="50923"/>
    <n v="85.7"/>
    <n v="19.100000000000001"/>
    <x v="228"/>
    <n v="72.900000000000006"/>
    <x v="790"/>
    <n v="0"/>
  </r>
  <r>
    <x v="19"/>
    <n v="20"/>
    <x v="1"/>
    <x v="4"/>
    <n v="5"/>
    <x v="2"/>
    <x v="0"/>
    <n v="3"/>
    <n v="1398"/>
    <x v="925"/>
    <x v="922"/>
    <n v="75347"/>
    <n v="1.86"/>
    <x v="295"/>
    <n v="11.2"/>
    <n v="154"/>
    <n v="1.4370000000000001"/>
    <n v="0.106"/>
    <n v="50923"/>
    <n v="85.7"/>
    <n v="19.100000000000001"/>
    <x v="228"/>
    <n v="72.900000000000006"/>
    <x v="791"/>
    <n v="0"/>
  </r>
  <r>
    <x v="19"/>
    <n v="20"/>
    <x v="1"/>
    <x v="5"/>
    <n v="6"/>
    <x v="0"/>
    <x v="0"/>
    <n v="1"/>
    <n v="451"/>
    <x v="926"/>
    <x v="923"/>
    <n v="52133"/>
    <n v="0.87"/>
    <x v="296"/>
    <n v="13"/>
    <n v="177"/>
    <n v="1.43"/>
    <n v="0.10199999999999999"/>
    <n v="51149"/>
    <n v="86.1"/>
    <n v="19.2"/>
    <x v="229"/>
    <n v="76.3"/>
    <x v="792"/>
    <n v="0"/>
  </r>
  <r>
    <x v="19"/>
    <n v="20"/>
    <x v="1"/>
    <x v="5"/>
    <n v="6"/>
    <x v="1"/>
    <x v="0"/>
    <n v="2"/>
    <n v="5040"/>
    <x v="927"/>
    <x v="924"/>
    <n v="204054"/>
    <n v="2.4700000000000002"/>
    <x v="296"/>
    <n v="13"/>
    <n v="177"/>
    <n v="1.43"/>
    <n v="0.10199999999999999"/>
    <n v="51149"/>
    <n v="86.1"/>
    <n v="19.2"/>
    <x v="229"/>
    <n v="76.3"/>
    <x v="793"/>
    <n v="0"/>
  </r>
  <r>
    <x v="19"/>
    <n v="20"/>
    <x v="1"/>
    <x v="5"/>
    <n v="6"/>
    <x v="2"/>
    <x v="0"/>
    <n v="3"/>
    <n v="3079"/>
    <x v="928"/>
    <x v="925"/>
    <n v="85982"/>
    <n v="3.58"/>
    <x v="296"/>
    <n v="13"/>
    <n v="177"/>
    <n v="1.43"/>
    <n v="0.10199999999999999"/>
    <n v="51149"/>
    <n v="86.1"/>
    <n v="19.2"/>
    <x v="229"/>
    <n v="76.3"/>
    <x v="794"/>
    <n v="0"/>
  </r>
  <r>
    <x v="19"/>
    <n v="20"/>
    <x v="1"/>
    <x v="6"/>
    <n v="7"/>
    <x v="0"/>
    <x v="0"/>
    <n v="1"/>
    <n v="663"/>
    <x v="929"/>
    <x v="926"/>
    <n v="54146"/>
    <n v="1.22"/>
    <x v="297"/>
    <n v="14.3"/>
    <n v="193"/>
    <n v="1.4370000000000001"/>
    <n v="0.1"/>
    <n v="51881"/>
    <n v="86.3"/>
    <n v="18.7"/>
    <x v="230"/>
    <n v="77.3"/>
    <x v="795"/>
    <n v="0"/>
  </r>
  <r>
    <x v="19"/>
    <n v="20"/>
    <x v="1"/>
    <x v="6"/>
    <n v="7"/>
    <x v="1"/>
    <x v="0"/>
    <n v="2"/>
    <n v="7643"/>
    <x v="930"/>
    <x v="927"/>
    <n v="218358"/>
    <n v="3.5"/>
    <x v="297"/>
    <n v="14.3"/>
    <n v="193"/>
    <n v="1.4370000000000001"/>
    <n v="0.1"/>
    <n v="51881"/>
    <n v="86.3"/>
    <n v="18.7"/>
    <x v="230"/>
    <n v="77.3"/>
    <x v="12"/>
    <n v="0"/>
  </r>
  <r>
    <x v="19"/>
    <n v="20"/>
    <x v="1"/>
    <x v="6"/>
    <n v="7"/>
    <x v="2"/>
    <x v="0"/>
    <n v="3"/>
    <n v="4600"/>
    <x v="931"/>
    <x v="928"/>
    <n v="90638"/>
    <n v="5.08"/>
    <x v="297"/>
    <n v="14.3"/>
    <n v="193"/>
    <n v="1.4370000000000001"/>
    <n v="0.1"/>
    <n v="51881"/>
    <n v="86.3"/>
    <n v="18.7"/>
    <x v="230"/>
    <n v="77.3"/>
    <x v="380"/>
    <n v="0"/>
  </r>
  <r>
    <x v="19"/>
    <n v="20"/>
    <x v="1"/>
    <x v="7"/>
    <n v="8"/>
    <x v="0"/>
    <x v="0"/>
    <n v="1"/>
    <n v="1093"/>
    <x v="932"/>
    <x v="929"/>
    <n v="55067"/>
    <n v="1.98"/>
    <x v="298"/>
    <n v="15.5"/>
    <n v="229"/>
    <n v="1.4670000000000001"/>
    <n v="0.1"/>
    <n v="51106"/>
    <n v="86.5"/>
    <n v="18.5"/>
    <x v="231"/>
    <n v="79.7"/>
    <x v="796"/>
    <n v="0"/>
  </r>
  <r>
    <x v="19"/>
    <n v="20"/>
    <x v="1"/>
    <x v="7"/>
    <n v="8"/>
    <x v="1"/>
    <x v="0"/>
    <n v="2"/>
    <n v="12432"/>
    <x v="933"/>
    <x v="930"/>
    <n v="219262"/>
    <n v="5.67"/>
    <x v="298"/>
    <n v="15.5"/>
    <n v="229"/>
    <n v="1.4670000000000001"/>
    <n v="0.1"/>
    <n v="51106"/>
    <n v="86.5"/>
    <n v="18.5"/>
    <x v="231"/>
    <n v="79.7"/>
    <x v="797"/>
    <n v="0"/>
  </r>
  <r>
    <x v="19"/>
    <n v="20"/>
    <x v="1"/>
    <x v="7"/>
    <n v="8"/>
    <x v="2"/>
    <x v="0"/>
    <n v="3"/>
    <n v="7607"/>
    <x v="934"/>
    <x v="931"/>
    <n v="92523"/>
    <n v="8.2200000000000006"/>
    <x v="298"/>
    <n v="15.5"/>
    <n v="229"/>
    <n v="1.4670000000000001"/>
    <n v="0.1"/>
    <n v="51106"/>
    <n v="86.5"/>
    <n v="18.5"/>
    <x v="231"/>
    <n v="79.7"/>
    <x v="798"/>
    <n v="0"/>
  </r>
  <r>
    <x v="19"/>
    <n v="20"/>
    <x v="1"/>
    <x v="8"/>
    <n v="9"/>
    <x v="0"/>
    <x v="0"/>
    <n v="1"/>
    <n v="1500"/>
    <x v="935"/>
    <x v="932"/>
    <n v="57054"/>
    <n v="2.63"/>
    <x v="299"/>
    <n v="17.5"/>
    <n v="262"/>
    <n v="1.4970000000000001"/>
    <n v="0.10100000000000001"/>
    <n v="51422"/>
    <n v="87"/>
    <n v="17.7"/>
    <x v="232"/>
    <n v="83"/>
    <x v="799"/>
    <n v="0"/>
  </r>
  <r>
    <x v="19"/>
    <n v="20"/>
    <x v="1"/>
    <x v="8"/>
    <n v="9"/>
    <x v="1"/>
    <x v="0"/>
    <n v="2"/>
    <n v="16733"/>
    <x v="936"/>
    <x v="933"/>
    <n v="222809"/>
    <n v="7.51"/>
    <x v="299"/>
    <n v="17.5"/>
    <n v="262"/>
    <n v="1.4970000000000001"/>
    <n v="0.10100000000000001"/>
    <n v="51422"/>
    <n v="87"/>
    <n v="17.7"/>
    <x v="232"/>
    <n v="83"/>
    <x v="762"/>
    <n v="0"/>
  </r>
  <r>
    <x v="19"/>
    <n v="20"/>
    <x v="1"/>
    <x v="8"/>
    <n v="9"/>
    <x v="2"/>
    <x v="0"/>
    <n v="3"/>
    <n v="10303"/>
    <x v="937"/>
    <x v="934"/>
    <n v="94617"/>
    <n v="10.89"/>
    <x v="299"/>
    <n v="17.5"/>
    <n v="262"/>
    <n v="1.4970000000000001"/>
    <n v="0.10100000000000001"/>
    <n v="51422"/>
    <n v="87"/>
    <n v="17.7"/>
    <x v="232"/>
    <n v="83"/>
    <x v="800"/>
    <n v="0"/>
  </r>
  <r>
    <x v="19"/>
    <n v="20"/>
    <x v="1"/>
    <x v="9"/>
    <n v="10"/>
    <x v="0"/>
    <x v="0"/>
    <n v="1"/>
    <n v="2120"/>
    <x v="938"/>
    <x v="935"/>
    <n v="53086"/>
    <n v="3.99"/>
    <x v="300"/>
    <n v="17.7"/>
    <n v="307"/>
    <n v="1.617"/>
    <n v="0.10100000000000001"/>
    <n v="51731"/>
    <n v="88"/>
    <n v="17.100000000000001"/>
    <x v="233"/>
    <n v="83.8"/>
    <x v="801"/>
    <n v="0"/>
  </r>
  <r>
    <x v="19"/>
    <n v="20"/>
    <x v="1"/>
    <x v="9"/>
    <n v="10"/>
    <x v="1"/>
    <x v="0"/>
    <n v="2"/>
    <n v="24617"/>
    <x v="939"/>
    <x v="936"/>
    <n v="215748"/>
    <n v="11.41"/>
    <x v="300"/>
    <n v="17.7"/>
    <n v="307"/>
    <n v="1.617"/>
    <n v="0.10100000000000001"/>
    <n v="51731"/>
    <n v="88"/>
    <n v="17.100000000000001"/>
    <x v="233"/>
    <n v="83.8"/>
    <x v="802"/>
    <n v="0"/>
  </r>
  <r>
    <x v="19"/>
    <n v="20"/>
    <x v="1"/>
    <x v="9"/>
    <n v="10"/>
    <x v="2"/>
    <x v="0"/>
    <n v="3"/>
    <n v="14999"/>
    <x v="940"/>
    <x v="937"/>
    <n v="90660"/>
    <n v="16.54"/>
    <x v="300"/>
    <n v="17.7"/>
    <n v="307"/>
    <n v="1.617"/>
    <n v="0.10100000000000001"/>
    <n v="51731"/>
    <n v="88"/>
    <n v="17.100000000000001"/>
    <x v="233"/>
    <n v="83.8"/>
    <x v="803"/>
    <n v="0"/>
  </r>
  <r>
    <x v="19"/>
    <n v="20"/>
    <x v="1"/>
    <x v="10"/>
    <n v="11"/>
    <x v="0"/>
    <x v="0"/>
    <n v="1"/>
    <n v="3595"/>
    <x v="941"/>
    <x v="938"/>
    <n v="42774"/>
    <n v="8.4"/>
    <x v="301"/>
    <n v="18.8"/>
    <n v="347"/>
    <n v="1.7569999999999999"/>
    <n v="0.114"/>
    <n v="53986"/>
    <n v="88.7"/>
    <n v="16.100000000000001"/>
    <x v="234"/>
    <n v="89.3"/>
    <x v="804"/>
    <n v="0"/>
  </r>
  <r>
    <x v="19"/>
    <n v="20"/>
    <x v="1"/>
    <x v="10"/>
    <n v="11"/>
    <x v="1"/>
    <x v="0"/>
    <n v="2"/>
    <n v="41275"/>
    <x v="942"/>
    <x v="939"/>
    <n v="171908"/>
    <n v="24.01"/>
    <x v="301"/>
    <n v="18.8"/>
    <n v="347"/>
    <n v="1.7569999999999999"/>
    <n v="0.114"/>
    <n v="53986"/>
    <n v="88.7"/>
    <n v="16.100000000000001"/>
    <x v="234"/>
    <n v="89.3"/>
    <x v="805"/>
    <n v="0"/>
  </r>
  <r>
    <x v="19"/>
    <n v="20"/>
    <x v="1"/>
    <x v="10"/>
    <n v="11"/>
    <x v="2"/>
    <x v="0"/>
    <n v="3"/>
    <n v="24658"/>
    <x v="943"/>
    <x v="940"/>
    <n v="70827"/>
    <n v="34.81"/>
    <x v="301"/>
    <n v="18.8"/>
    <n v="347"/>
    <n v="1.7569999999999999"/>
    <n v="0.114"/>
    <n v="53986"/>
    <n v="88.7"/>
    <n v="16.100000000000001"/>
    <x v="234"/>
    <n v="89.3"/>
    <x v="806"/>
    <n v="0"/>
  </r>
  <r>
    <x v="19"/>
    <n v="20"/>
    <x v="1"/>
    <x v="11"/>
    <n v="12"/>
    <x v="0"/>
    <x v="0"/>
    <n v="1"/>
    <n v="6335"/>
    <x v="944"/>
    <x v="941"/>
    <n v="45282"/>
    <n v="13.99"/>
    <x v="302"/>
    <n v="20.7"/>
    <n v="378"/>
    <n v="1.9830000000000001"/>
    <n v="0.14000000000000001"/>
    <n v="54611"/>
    <n v="88.6"/>
    <n v="15.5"/>
    <x v="235"/>
    <n v="89.8"/>
    <x v="807"/>
    <n v="0"/>
  </r>
  <r>
    <x v="19"/>
    <n v="20"/>
    <x v="1"/>
    <x v="11"/>
    <n v="12"/>
    <x v="1"/>
    <x v="0"/>
    <n v="2"/>
    <n v="73125"/>
    <x v="945"/>
    <x v="942"/>
    <n v="182949"/>
    <n v="39.97"/>
    <x v="302"/>
    <n v="20.7"/>
    <n v="378"/>
    <n v="1.9830000000000001"/>
    <n v="0.14000000000000001"/>
    <n v="54611"/>
    <n v="88.6"/>
    <n v="15.5"/>
    <x v="235"/>
    <n v="89.8"/>
    <x v="808"/>
    <n v="0"/>
  </r>
  <r>
    <x v="19"/>
    <n v="20"/>
    <x v="1"/>
    <x v="11"/>
    <n v="12"/>
    <x v="2"/>
    <x v="1"/>
    <n v="4"/>
    <n v="44384"/>
    <x v="946"/>
    <x v="943"/>
    <n v="76581"/>
    <n v="57.96"/>
    <x v="302"/>
    <n v="20.7"/>
    <n v="378"/>
    <n v="1.9830000000000001"/>
    <n v="0.14000000000000001"/>
    <n v="54611"/>
    <n v="88.6"/>
    <n v="15.5"/>
    <x v="235"/>
    <n v="89.8"/>
    <x v="740"/>
    <n v="1"/>
  </r>
  <r>
    <x v="19"/>
    <n v="20"/>
    <x v="1"/>
    <x v="12"/>
    <n v="13"/>
    <x v="0"/>
    <x v="0"/>
    <n v="1"/>
    <n v="7293"/>
    <x v="947"/>
    <x v="944"/>
    <n v="41784"/>
    <n v="17.45"/>
    <x v="303"/>
    <n v="21.9"/>
    <n v="408"/>
    <n v="2.093"/>
    <n v="0.16400000000000001"/>
    <n v="55893"/>
    <n v="88.2"/>
    <n v="14.7"/>
    <x v="236"/>
    <n v="90.9"/>
    <x v="809"/>
    <n v="0"/>
  </r>
  <r>
    <x v="19"/>
    <n v="20"/>
    <x v="1"/>
    <x v="12"/>
    <n v="13"/>
    <x v="1"/>
    <x v="1"/>
    <n v="5"/>
    <n v="82922"/>
    <x v="948"/>
    <x v="945"/>
    <n v="166277"/>
    <n v="49.87"/>
    <x v="303"/>
    <n v="21.9"/>
    <n v="408"/>
    <n v="2.093"/>
    <n v="0.16400000000000001"/>
    <n v="55893"/>
    <n v="88.2"/>
    <n v="14.7"/>
    <x v="236"/>
    <n v="90.9"/>
    <x v="810"/>
    <n v="0"/>
  </r>
  <r>
    <x v="19"/>
    <n v="20"/>
    <x v="1"/>
    <x v="12"/>
    <n v="13"/>
    <x v="2"/>
    <x v="1"/>
    <n v="4"/>
    <n v="50761"/>
    <x v="949"/>
    <x v="946"/>
    <n v="70197"/>
    <n v="72.31"/>
    <x v="303"/>
    <n v="21.9"/>
    <n v="408"/>
    <n v="2.093"/>
    <n v="0.16400000000000001"/>
    <n v="55893"/>
    <n v="88.2"/>
    <n v="14.7"/>
    <x v="236"/>
    <n v="90.9"/>
    <x v="811"/>
    <n v="1"/>
  </r>
  <r>
    <x v="19"/>
    <n v="20"/>
    <x v="1"/>
    <x v="13"/>
    <n v="14"/>
    <x v="0"/>
    <x v="0"/>
    <n v="1"/>
    <n v="6977"/>
    <x v="950"/>
    <x v="947"/>
    <n v="43234"/>
    <n v="16.14"/>
    <x v="304"/>
    <n v="25.3"/>
    <n v="438"/>
    <n v="2.097"/>
    <n v="0.16800000000000001"/>
    <n v="56992"/>
    <n v="88.4"/>
    <n v="14.1"/>
    <x v="237"/>
    <n v="91.6"/>
    <x v="812"/>
    <n v="0"/>
  </r>
  <r>
    <x v="19"/>
    <n v="20"/>
    <x v="1"/>
    <x v="13"/>
    <n v="14"/>
    <x v="1"/>
    <x v="1"/>
    <n v="5"/>
    <n v="84170"/>
    <x v="951"/>
    <x v="948"/>
    <n v="174013"/>
    <n v="48.37"/>
    <x v="304"/>
    <n v="25.3"/>
    <n v="438"/>
    <n v="2.097"/>
    <n v="0.16800000000000001"/>
    <n v="56992"/>
    <n v="88.4"/>
    <n v="14.1"/>
    <x v="237"/>
    <n v="91.6"/>
    <x v="813"/>
    <n v="0"/>
  </r>
  <r>
    <x v="19"/>
    <n v="20"/>
    <x v="1"/>
    <x v="13"/>
    <n v="14"/>
    <x v="2"/>
    <x v="1"/>
    <n v="4"/>
    <n v="51268"/>
    <x v="952"/>
    <x v="949"/>
    <n v="72402"/>
    <n v="70.81"/>
    <x v="304"/>
    <n v="25.3"/>
    <n v="438"/>
    <n v="2.097"/>
    <n v="0.16800000000000001"/>
    <n v="56992"/>
    <n v="88.4"/>
    <n v="14.1"/>
    <x v="237"/>
    <n v="91.6"/>
    <x v="814"/>
    <n v="1"/>
  </r>
  <r>
    <x v="19"/>
    <n v="20"/>
    <x v="1"/>
    <x v="14"/>
    <n v="15"/>
    <x v="0"/>
    <x v="0"/>
    <n v="1"/>
    <n v="7746"/>
    <x v="953"/>
    <x v="950"/>
    <n v="43773"/>
    <n v="17.7"/>
    <x v="305"/>
    <n v="26.7"/>
    <n v="466"/>
    <n v="2"/>
    <n v="0.155"/>
    <n v="57305"/>
    <n v="88.8"/>
    <n v="13.2"/>
    <x v="0"/>
    <n v="92.7"/>
    <x v="815"/>
    <n v="0"/>
  </r>
  <r>
    <x v="19"/>
    <n v="20"/>
    <x v="1"/>
    <x v="14"/>
    <n v="15"/>
    <x v="1"/>
    <x v="1"/>
    <n v="5"/>
    <n v="88121"/>
    <x v="954"/>
    <x v="951"/>
    <n v="174290"/>
    <n v="50.56"/>
    <x v="305"/>
    <n v="26.7"/>
    <n v="466"/>
    <n v="2"/>
    <n v="0.155"/>
    <n v="57305"/>
    <n v="88.8"/>
    <n v="13.2"/>
    <x v="0"/>
    <n v="92.7"/>
    <x v="816"/>
    <n v="1"/>
  </r>
  <r>
    <x v="19"/>
    <n v="20"/>
    <x v="1"/>
    <x v="14"/>
    <n v="15"/>
    <x v="2"/>
    <x v="1"/>
    <n v="4"/>
    <n v="54057"/>
    <x v="955"/>
    <x v="952"/>
    <n v="73735"/>
    <n v="73.31"/>
    <x v="305"/>
    <n v="26.7"/>
    <n v="466"/>
    <n v="2"/>
    <n v="0.155"/>
    <n v="57305"/>
    <n v="88.8"/>
    <n v="13.2"/>
    <x v="0"/>
    <n v="92.7"/>
    <x v="817"/>
    <n v="1"/>
  </r>
  <r>
    <x v="19"/>
    <n v="20"/>
    <x v="1"/>
    <x v="15"/>
    <n v="16"/>
    <x v="0"/>
    <x v="0"/>
    <n v="1"/>
    <n v="8259"/>
    <x v="956"/>
    <x v="953"/>
    <n v="45212"/>
    <n v="18.27"/>
    <x v="306"/>
    <n v="26.6"/>
    <n v="486"/>
    <n v="1.93"/>
    <n v="0.14099999999999999"/>
    <n v="61242"/>
    <n v="89"/>
    <n v="12.2"/>
    <x v="0"/>
    <n v="95.602000000000004"/>
    <x v="818"/>
    <n v="0"/>
  </r>
  <r>
    <x v="19"/>
    <n v="20"/>
    <x v="1"/>
    <x v="15"/>
    <n v="16"/>
    <x v="1"/>
    <x v="1"/>
    <n v="5"/>
    <n v="95051"/>
    <x v="957"/>
    <x v="954"/>
    <n v="182124"/>
    <n v="52.19"/>
    <x v="306"/>
    <n v="26.6"/>
    <n v="486"/>
    <n v="1.93"/>
    <n v="0.14099999999999999"/>
    <n v="61242"/>
    <n v="89"/>
    <n v="12.2"/>
    <x v="0"/>
    <n v="95.602000000000004"/>
    <x v="819"/>
    <n v="1"/>
  </r>
  <r>
    <x v="19"/>
    <n v="20"/>
    <x v="1"/>
    <x v="15"/>
    <n v="16"/>
    <x v="2"/>
    <x v="1"/>
    <n v="4"/>
    <n v="57311"/>
    <x v="958"/>
    <x v="955"/>
    <n v="75733"/>
    <n v="75.680000000000007"/>
    <x v="306"/>
    <n v="26.6"/>
    <n v="486"/>
    <n v="1.93"/>
    <n v="0.14099999999999999"/>
    <n v="61242"/>
    <n v="89"/>
    <n v="12.2"/>
    <x v="0"/>
    <n v="95.602000000000004"/>
    <x v="820"/>
    <n v="1"/>
  </r>
  <r>
    <x v="20"/>
    <n v="21"/>
    <x v="1"/>
    <x v="0"/>
    <n v="1"/>
    <x v="0"/>
    <x v="0"/>
    <n v="1"/>
    <n v="5"/>
    <x v="959"/>
    <x v="956"/>
    <n v="43131"/>
    <n v="0.01"/>
    <x v="307"/>
    <n v="2.9"/>
    <n v="130"/>
    <n v="1.4"/>
    <n v="0.158"/>
    <n v="74958"/>
    <n v="73.099999999999994"/>
    <n v="16.100000000000001"/>
    <x v="0"/>
    <n v="58.1"/>
    <x v="0"/>
    <n v="0"/>
  </r>
  <r>
    <x v="20"/>
    <n v="21"/>
    <x v="1"/>
    <x v="0"/>
    <n v="1"/>
    <x v="1"/>
    <x v="0"/>
    <n v="2"/>
    <n v="51"/>
    <x v="960"/>
    <x v="957"/>
    <n v="170627"/>
    <n v="0.03"/>
    <x v="307"/>
    <n v="2.9"/>
    <n v="130"/>
    <n v="1.4"/>
    <n v="0.158"/>
    <n v="74958"/>
    <n v="73.099999999999994"/>
    <n v="16.100000000000001"/>
    <x v="0"/>
    <n v="58.1"/>
    <x v="0"/>
    <n v="0"/>
  </r>
  <r>
    <x v="20"/>
    <n v="21"/>
    <x v="1"/>
    <x v="0"/>
    <n v="1"/>
    <x v="2"/>
    <x v="0"/>
    <n v="3"/>
    <n v="31"/>
    <x v="961"/>
    <x v="958"/>
    <n v="71707"/>
    <n v="0.04"/>
    <x v="307"/>
    <n v="2.9"/>
    <n v="130"/>
    <n v="1.4"/>
    <n v="0.158"/>
    <n v="74958"/>
    <n v="73.099999999999994"/>
    <n v="16.100000000000001"/>
    <x v="0"/>
    <n v="58.1"/>
    <x v="0"/>
    <n v="0"/>
  </r>
  <r>
    <x v="20"/>
    <n v="21"/>
    <x v="1"/>
    <x v="1"/>
    <n v="2"/>
    <x v="0"/>
    <x v="0"/>
    <n v="1"/>
    <n v="12"/>
    <x v="962"/>
    <x v="959"/>
    <n v="42116"/>
    <n v="0.03"/>
    <x v="308"/>
    <n v="4.2"/>
    <n v="134"/>
    <n v="1.417"/>
    <n v="0.16200000000000001"/>
    <n v="75673"/>
    <n v="73.599999999999994"/>
    <n v="16.2"/>
    <x v="0"/>
    <n v="59.4"/>
    <x v="821"/>
    <n v="0"/>
  </r>
  <r>
    <x v="20"/>
    <n v="21"/>
    <x v="1"/>
    <x v="1"/>
    <n v="2"/>
    <x v="1"/>
    <x v="0"/>
    <n v="2"/>
    <n v="132"/>
    <x v="963"/>
    <x v="960"/>
    <n v="165382"/>
    <n v="0.08"/>
    <x v="308"/>
    <n v="4.2"/>
    <n v="134"/>
    <n v="1.417"/>
    <n v="0.16200000000000001"/>
    <n v="75673"/>
    <n v="73.599999999999994"/>
    <n v="16.2"/>
    <x v="0"/>
    <n v="59.4"/>
    <x v="822"/>
    <n v="0"/>
  </r>
  <r>
    <x v="20"/>
    <n v="21"/>
    <x v="1"/>
    <x v="1"/>
    <n v="2"/>
    <x v="2"/>
    <x v="0"/>
    <n v="3"/>
    <n v="80"/>
    <x v="964"/>
    <x v="961"/>
    <n v="68557"/>
    <n v="0.12"/>
    <x v="308"/>
    <n v="4.2"/>
    <n v="134"/>
    <n v="1.417"/>
    <n v="0.16200000000000001"/>
    <n v="75673"/>
    <n v="73.599999999999994"/>
    <n v="16.2"/>
    <x v="0"/>
    <n v="59.4"/>
    <x v="823"/>
    <n v="0"/>
  </r>
  <r>
    <x v="20"/>
    <n v="21"/>
    <x v="1"/>
    <x v="2"/>
    <n v="3"/>
    <x v="0"/>
    <x v="0"/>
    <n v="1"/>
    <n v="21"/>
    <x v="965"/>
    <x v="962"/>
    <n v="45425"/>
    <n v="0.05"/>
    <x v="309"/>
    <n v="5.9"/>
    <n v="149"/>
    <n v="1.407"/>
    <n v="0.16700000000000001"/>
    <n v="77325"/>
    <n v="73.599999999999994"/>
    <n v="15.9"/>
    <x v="0"/>
    <n v="61.1"/>
    <x v="824"/>
    <n v="0"/>
  </r>
  <r>
    <x v="20"/>
    <n v="21"/>
    <x v="1"/>
    <x v="2"/>
    <n v="3"/>
    <x v="1"/>
    <x v="0"/>
    <n v="2"/>
    <n v="226"/>
    <x v="966"/>
    <x v="963"/>
    <n v="173464"/>
    <n v="0.13"/>
    <x v="309"/>
    <n v="5.9"/>
    <n v="149"/>
    <n v="1.407"/>
    <n v="0.16700000000000001"/>
    <n v="77325"/>
    <n v="73.599999999999994"/>
    <n v="15.9"/>
    <x v="0"/>
    <n v="61.1"/>
    <x v="825"/>
    <n v="0"/>
  </r>
  <r>
    <x v="20"/>
    <n v="21"/>
    <x v="1"/>
    <x v="2"/>
    <n v="3"/>
    <x v="2"/>
    <x v="0"/>
    <n v="3"/>
    <n v="140"/>
    <x v="967"/>
    <x v="964"/>
    <n v="74154"/>
    <n v="0.19"/>
    <x v="309"/>
    <n v="5.9"/>
    <n v="149"/>
    <n v="1.407"/>
    <n v="0.16700000000000001"/>
    <n v="77325"/>
    <n v="73.599999999999994"/>
    <n v="15.9"/>
    <x v="0"/>
    <n v="61.1"/>
    <x v="826"/>
    <n v="0"/>
  </r>
  <r>
    <x v="20"/>
    <n v="21"/>
    <x v="1"/>
    <x v="3"/>
    <n v="4"/>
    <x v="0"/>
    <x v="0"/>
    <n v="1"/>
    <n v="25"/>
    <x v="968"/>
    <x v="965"/>
    <n v="44433"/>
    <n v="0.06"/>
    <x v="310"/>
    <n v="6.8"/>
    <n v="144"/>
    <n v="1.373"/>
    <n v="0.17199999999999999"/>
    <n v="79469"/>
    <n v="73.7"/>
    <n v="15.9"/>
    <x v="0"/>
    <n v="64"/>
    <x v="827"/>
    <n v="0"/>
  </r>
  <r>
    <x v="20"/>
    <n v="21"/>
    <x v="1"/>
    <x v="3"/>
    <n v="4"/>
    <x v="1"/>
    <x v="0"/>
    <n v="2"/>
    <n v="287"/>
    <x v="969"/>
    <x v="966"/>
    <n v="179401"/>
    <n v="0.16"/>
    <x v="310"/>
    <n v="6.8"/>
    <n v="144"/>
    <n v="1.373"/>
    <n v="0.17199999999999999"/>
    <n v="79469"/>
    <n v="73.7"/>
    <n v="15.9"/>
    <x v="0"/>
    <n v="64"/>
    <x v="828"/>
    <n v="0"/>
  </r>
  <r>
    <x v="20"/>
    <n v="21"/>
    <x v="1"/>
    <x v="3"/>
    <n v="4"/>
    <x v="2"/>
    <x v="0"/>
    <n v="3"/>
    <n v="172"/>
    <x v="970"/>
    <x v="964"/>
    <n v="74189"/>
    <n v="0.23"/>
    <x v="310"/>
    <n v="6.8"/>
    <n v="144"/>
    <n v="1.373"/>
    <n v="0.17199999999999999"/>
    <n v="79469"/>
    <n v="73.7"/>
    <n v="15.9"/>
    <x v="0"/>
    <n v="64"/>
    <x v="829"/>
    <n v="0"/>
  </r>
  <r>
    <x v="20"/>
    <n v="21"/>
    <x v="1"/>
    <x v="4"/>
    <n v="5"/>
    <x v="0"/>
    <x v="0"/>
    <n v="1"/>
    <n v="121"/>
    <x v="971"/>
    <x v="967"/>
    <n v="47488"/>
    <n v="0.25"/>
    <x v="311"/>
    <n v="8.1999999999999993"/>
    <n v="156"/>
    <n v="1.347"/>
    <n v="0.17699999999999999"/>
    <n v="79105"/>
    <n v="73.7"/>
    <n v="15.8"/>
    <x v="0"/>
    <n v="66.7"/>
    <x v="830"/>
    <n v="0"/>
  </r>
  <r>
    <x v="20"/>
    <n v="21"/>
    <x v="1"/>
    <x v="4"/>
    <n v="5"/>
    <x v="1"/>
    <x v="0"/>
    <n v="2"/>
    <n v="1378"/>
    <x v="972"/>
    <x v="968"/>
    <n v="188792"/>
    <n v="0.73"/>
    <x v="311"/>
    <n v="8.1999999999999993"/>
    <n v="156"/>
    <n v="1.347"/>
    <n v="0.17699999999999999"/>
    <n v="79105"/>
    <n v="73.7"/>
    <n v="15.8"/>
    <x v="0"/>
    <n v="66.7"/>
    <x v="33"/>
    <n v="0"/>
  </r>
  <r>
    <x v="20"/>
    <n v="21"/>
    <x v="1"/>
    <x v="4"/>
    <n v="5"/>
    <x v="2"/>
    <x v="0"/>
    <n v="3"/>
    <n v="837"/>
    <x v="973"/>
    <x v="969"/>
    <n v="79103"/>
    <n v="1.06"/>
    <x v="311"/>
    <n v="8.1999999999999993"/>
    <n v="156"/>
    <n v="1.347"/>
    <n v="0.17699999999999999"/>
    <n v="79105"/>
    <n v="73.7"/>
    <n v="15.8"/>
    <x v="0"/>
    <n v="66.7"/>
    <x v="33"/>
    <n v="0"/>
  </r>
  <r>
    <x v="20"/>
    <n v="21"/>
    <x v="1"/>
    <x v="5"/>
    <n v="6"/>
    <x v="0"/>
    <x v="0"/>
    <n v="1"/>
    <n v="201"/>
    <x v="974"/>
    <x v="970"/>
    <n v="47945"/>
    <n v="0.42"/>
    <x v="312"/>
    <n v="10"/>
    <n v="175"/>
    <n v="1.343"/>
    <n v="0.17899999999999999"/>
    <n v="82996"/>
    <n v="73.5"/>
    <n v="15.9"/>
    <x v="0"/>
    <n v="67.5"/>
    <x v="831"/>
    <n v="0"/>
  </r>
  <r>
    <x v="20"/>
    <n v="21"/>
    <x v="1"/>
    <x v="5"/>
    <n v="6"/>
    <x v="1"/>
    <x v="0"/>
    <n v="2"/>
    <n v="2342"/>
    <x v="975"/>
    <x v="971"/>
    <n v="195157"/>
    <n v="1.2"/>
    <x v="312"/>
    <n v="10"/>
    <n v="175"/>
    <n v="1.343"/>
    <n v="0.17899999999999999"/>
    <n v="82996"/>
    <n v="73.5"/>
    <n v="15.9"/>
    <x v="0"/>
    <n v="67.5"/>
    <x v="832"/>
    <n v="0"/>
  </r>
  <r>
    <x v="20"/>
    <n v="21"/>
    <x v="1"/>
    <x v="5"/>
    <n v="6"/>
    <x v="2"/>
    <x v="0"/>
    <n v="3"/>
    <n v="1399"/>
    <x v="976"/>
    <x v="972"/>
    <n v="80376"/>
    <n v="1.74"/>
    <x v="312"/>
    <n v="10"/>
    <n v="175"/>
    <n v="1.343"/>
    <n v="0.17899999999999999"/>
    <n v="82996"/>
    <n v="73.5"/>
    <n v="15.9"/>
    <x v="0"/>
    <n v="67.5"/>
    <x v="833"/>
    <n v="0"/>
  </r>
  <r>
    <x v="20"/>
    <n v="21"/>
    <x v="1"/>
    <x v="6"/>
    <n v="7"/>
    <x v="0"/>
    <x v="0"/>
    <n v="1"/>
    <n v="266"/>
    <x v="977"/>
    <x v="973"/>
    <n v="48694"/>
    <n v="0.55000000000000004"/>
    <x v="313"/>
    <n v="12.1"/>
    <n v="197"/>
    <n v="1.387"/>
    <n v="0.18099999999999999"/>
    <n v="82128"/>
    <n v="74.099999999999994"/>
    <n v="15.7"/>
    <x v="0"/>
    <n v="71.2"/>
    <x v="834"/>
    <n v="0"/>
  </r>
  <r>
    <x v="20"/>
    <n v="21"/>
    <x v="1"/>
    <x v="6"/>
    <n v="7"/>
    <x v="1"/>
    <x v="0"/>
    <n v="2"/>
    <n v="3011"/>
    <x v="978"/>
    <x v="974"/>
    <n v="193043"/>
    <n v="1.56"/>
    <x v="313"/>
    <n v="12.1"/>
    <n v="197"/>
    <n v="1.387"/>
    <n v="0.18099999999999999"/>
    <n v="82128"/>
    <n v="74.099999999999994"/>
    <n v="15.7"/>
    <x v="0"/>
    <n v="71.2"/>
    <x v="835"/>
    <n v="0"/>
  </r>
  <r>
    <x v="20"/>
    <n v="21"/>
    <x v="1"/>
    <x v="6"/>
    <n v="7"/>
    <x v="2"/>
    <x v="0"/>
    <n v="3"/>
    <n v="1836"/>
    <x v="979"/>
    <x v="975"/>
    <n v="81187"/>
    <n v="2.2599999999999998"/>
    <x v="313"/>
    <n v="12.1"/>
    <n v="197"/>
    <n v="1.387"/>
    <n v="0.18099999999999999"/>
    <n v="82128"/>
    <n v="74.099999999999994"/>
    <n v="15.7"/>
    <x v="0"/>
    <n v="71.2"/>
    <x v="836"/>
    <n v="0"/>
  </r>
  <r>
    <x v="20"/>
    <n v="21"/>
    <x v="1"/>
    <x v="7"/>
    <n v="8"/>
    <x v="0"/>
    <x v="0"/>
    <n v="1"/>
    <n v="314"/>
    <x v="980"/>
    <x v="976"/>
    <n v="46796"/>
    <n v="0.67"/>
    <x v="314"/>
    <n v="13.6"/>
    <n v="226"/>
    <n v="1.427"/>
    <n v="0.183"/>
    <n v="83563"/>
    <n v="74.099999999999994"/>
    <n v="15.5"/>
    <x v="0"/>
    <n v="74.5"/>
    <x v="837"/>
    <n v="0"/>
  </r>
  <r>
    <x v="20"/>
    <n v="21"/>
    <x v="1"/>
    <x v="7"/>
    <n v="8"/>
    <x v="1"/>
    <x v="0"/>
    <n v="2"/>
    <n v="3582"/>
    <x v="981"/>
    <x v="977"/>
    <n v="186546"/>
    <n v="1.92"/>
    <x v="314"/>
    <n v="13.6"/>
    <n v="226"/>
    <n v="1.427"/>
    <n v="0.183"/>
    <n v="83563"/>
    <n v="74.099999999999994"/>
    <n v="15.5"/>
    <x v="0"/>
    <n v="74.5"/>
    <x v="838"/>
    <n v="0"/>
  </r>
  <r>
    <x v="20"/>
    <n v="21"/>
    <x v="1"/>
    <x v="7"/>
    <n v="8"/>
    <x v="2"/>
    <x v="0"/>
    <n v="3"/>
    <n v="2153"/>
    <x v="982"/>
    <x v="978"/>
    <n v="77341"/>
    <n v="2.78"/>
    <x v="314"/>
    <n v="13.6"/>
    <n v="226"/>
    <n v="1.427"/>
    <n v="0.183"/>
    <n v="83563"/>
    <n v="74.099999999999994"/>
    <n v="15.5"/>
    <x v="0"/>
    <n v="74.5"/>
    <x v="839"/>
    <n v="0"/>
  </r>
  <r>
    <x v="20"/>
    <n v="21"/>
    <x v="1"/>
    <x v="8"/>
    <n v="9"/>
    <x v="0"/>
    <x v="0"/>
    <n v="1"/>
    <n v="471"/>
    <x v="983"/>
    <x v="979"/>
    <n v="46230"/>
    <n v="1.02"/>
    <x v="315"/>
    <n v="15.4"/>
    <n v="268"/>
    <n v="1.47"/>
    <n v="0.189"/>
    <n v="83171"/>
    <n v="73.599999999999994"/>
    <n v="15.4"/>
    <x v="0"/>
    <n v="77.5"/>
    <x v="840"/>
    <n v="0"/>
  </r>
  <r>
    <x v="20"/>
    <n v="21"/>
    <x v="1"/>
    <x v="8"/>
    <n v="9"/>
    <x v="1"/>
    <x v="0"/>
    <n v="2"/>
    <n v="5483"/>
    <x v="984"/>
    <x v="980"/>
    <n v="188423"/>
    <n v="2.91"/>
    <x v="315"/>
    <n v="15.4"/>
    <n v="268"/>
    <n v="1.47"/>
    <n v="0.189"/>
    <n v="83171"/>
    <n v="73.599999999999994"/>
    <n v="15.4"/>
    <x v="0"/>
    <n v="77.5"/>
    <x v="841"/>
    <n v="0"/>
  </r>
  <r>
    <x v="20"/>
    <n v="21"/>
    <x v="1"/>
    <x v="8"/>
    <n v="9"/>
    <x v="2"/>
    <x v="0"/>
    <n v="3"/>
    <n v="3295"/>
    <x v="985"/>
    <x v="981"/>
    <n v="78082"/>
    <n v="4.22"/>
    <x v="315"/>
    <n v="15.4"/>
    <n v="268"/>
    <n v="1.47"/>
    <n v="0.189"/>
    <n v="83171"/>
    <n v="73.599999999999994"/>
    <n v="15.4"/>
    <x v="0"/>
    <n v="77.5"/>
    <x v="842"/>
    <n v="0"/>
  </r>
  <r>
    <x v="20"/>
    <n v="21"/>
    <x v="1"/>
    <x v="9"/>
    <n v="10"/>
    <x v="0"/>
    <x v="0"/>
    <n v="1"/>
    <n v="678"/>
    <x v="986"/>
    <x v="982"/>
    <n v="46205"/>
    <n v="1.47"/>
    <x v="316"/>
    <n v="16"/>
    <n v="310"/>
    <n v="1.5269999999999999"/>
    <n v="0.192"/>
    <n v="83108"/>
    <n v="74"/>
    <n v="14.5"/>
    <x v="0"/>
    <n v="78.3"/>
    <x v="843"/>
    <n v="0"/>
  </r>
  <r>
    <x v="20"/>
    <n v="21"/>
    <x v="1"/>
    <x v="9"/>
    <n v="10"/>
    <x v="1"/>
    <x v="0"/>
    <n v="2"/>
    <n v="7735"/>
    <x v="987"/>
    <x v="983"/>
    <n v="184602"/>
    <n v="4.1900000000000004"/>
    <x v="316"/>
    <n v="16"/>
    <n v="310"/>
    <n v="1.5269999999999999"/>
    <n v="0.192"/>
    <n v="83108"/>
    <n v="74"/>
    <n v="14.5"/>
    <x v="0"/>
    <n v="78.3"/>
    <x v="844"/>
    <n v="0"/>
  </r>
  <r>
    <x v="20"/>
    <n v="21"/>
    <x v="1"/>
    <x v="9"/>
    <n v="10"/>
    <x v="2"/>
    <x v="0"/>
    <n v="3"/>
    <n v="4659"/>
    <x v="988"/>
    <x v="131"/>
    <n v="76683"/>
    <n v="6.08"/>
    <x v="316"/>
    <n v="16"/>
    <n v="310"/>
    <n v="1.5269999999999999"/>
    <n v="0.192"/>
    <n v="83108"/>
    <n v="74"/>
    <n v="14.5"/>
    <x v="0"/>
    <n v="78.3"/>
    <x v="845"/>
    <n v="0"/>
  </r>
  <r>
    <x v="20"/>
    <n v="21"/>
    <x v="1"/>
    <x v="10"/>
    <n v="11"/>
    <x v="0"/>
    <x v="0"/>
    <n v="1"/>
    <n v="1304"/>
    <x v="989"/>
    <x v="984"/>
    <n v="35798"/>
    <n v="3.64"/>
    <x v="317"/>
    <n v="17"/>
    <n v="347"/>
    <n v="1.653"/>
    <n v="0.19800000000000001"/>
    <n v="87934"/>
    <n v="74.2"/>
    <n v="13.7"/>
    <x v="0"/>
    <n v="82"/>
    <x v="846"/>
    <n v="0"/>
  </r>
  <r>
    <x v="20"/>
    <n v="21"/>
    <x v="1"/>
    <x v="10"/>
    <n v="11"/>
    <x v="1"/>
    <x v="0"/>
    <n v="2"/>
    <n v="14913"/>
    <x v="990"/>
    <x v="985"/>
    <n v="143253"/>
    <n v="10.41"/>
    <x v="317"/>
    <n v="17"/>
    <n v="347"/>
    <n v="1.653"/>
    <n v="0.19800000000000001"/>
    <n v="87934"/>
    <n v="74.2"/>
    <n v="13.7"/>
    <x v="0"/>
    <n v="82"/>
    <x v="847"/>
    <n v="0"/>
  </r>
  <r>
    <x v="20"/>
    <n v="21"/>
    <x v="1"/>
    <x v="10"/>
    <n v="11"/>
    <x v="2"/>
    <x v="0"/>
    <n v="3"/>
    <n v="8956"/>
    <x v="991"/>
    <x v="986"/>
    <n v="59332"/>
    <n v="15.09"/>
    <x v="317"/>
    <n v="17"/>
    <n v="347"/>
    <n v="1.653"/>
    <n v="0.19800000000000001"/>
    <n v="87934"/>
    <n v="74.2"/>
    <n v="13.7"/>
    <x v="0"/>
    <n v="82"/>
    <x v="848"/>
    <n v="0"/>
  </r>
  <r>
    <x v="20"/>
    <n v="21"/>
    <x v="1"/>
    <x v="11"/>
    <n v="12"/>
    <x v="0"/>
    <x v="0"/>
    <n v="1"/>
    <n v="2189"/>
    <x v="992"/>
    <x v="987"/>
    <n v="34975"/>
    <n v="6.26"/>
    <x v="318"/>
    <n v="18.2"/>
    <n v="386"/>
    <n v="1.8169999999999999"/>
    <n v="0.20200000000000001"/>
    <n v="90562"/>
    <n v="73.599999999999994"/>
    <n v="13.1"/>
    <x v="0"/>
    <n v="84.3"/>
    <x v="849"/>
    <n v="0"/>
  </r>
  <r>
    <x v="20"/>
    <n v="21"/>
    <x v="1"/>
    <x v="11"/>
    <n v="12"/>
    <x v="1"/>
    <x v="0"/>
    <n v="2"/>
    <n v="24555"/>
    <x v="993"/>
    <x v="988"/>
    <n v="137335"/>
    <n v="17.88"/>
    <x v="318"/>
    <n v="18.2"/>
    <n v="386"/>
    <n v="1.8169999999999999"/>
    <n v="0.20200000000000001"/>
    <n v="90562"/>
    <n v="73.599999999999994"/>
    <n v="13.1"/>
    <x v="0"/>
    <n v="84.3"/>
    <x v="850"/>
    <n v="0"/>
  </r>
  <r>
    <x v="20"/>
    <n v="21"/>
    <x v="1"/>
    <x v="11"/>
    <n v="12"/>
    <x v="2"/>
    <x v="0"/>
    <n v="3"/>
    <n v="14992"/>
    <x v="994"/>
    <x v="989"/>
    <n v="57828"/>
    <n v="25.93"/>
    <x v="318"/>
    <n v="18.2"/>
    <n v="386"/>
    <n v="1.8169999999999999"/>
    <n v="0.20200000000000001"/>
    <n v="90562"/>
    <n v="73.599999999999994"/>
    <n v="13.1"/>
    <x v="0"/>
    <n v="84.3"/>
    <x v="851"/>
    <n v="0"/>
  </r>
  <r>
    <x v="20"/>
    <n v="21"/>
    <x v="1"/>
    <x v="12"/>
    <n v="13"/>
    <x v="0"/>
    <x v="0"/>
    <n v="1"/>
    <n v="2725"/>
    <x v="995"/>
    <x v="990"/>
    <n v="34235"/>
    <n v="7.96"/>
    <x v="319"/>
    <n v="21.1"/>
    <n v="419"/>
    <n v="1.9370000000000001"/>
    <n v="0.21099999999999999"/>
    <n v="94194"/>
    <n v="74.5"/>
    <n v="13.2"/>
    <x v="0"/>
    <n v="85.4"/>
    <x v="782"/>
    <n v="0"/>
  </r>
  <r>
    <x v="20"/>
    <n v="21"/>
    <x v="1"/>
    <x v="12"/>
    <n v="13"/>
    <x v="1"/>
    <x v="0"/>
    <n v="2"/>
    <n v="30949"/>
    <x v="996"/>
    <x v="991"/>
    <n v="136101"/>
    <n v="22.74"/>
    <x v="319"/>
    <n v="21.1"/>
    <n v="419"/>
    <n v="1.9370000000000001"/>
    <n v="0.21099999999999999"/>
    <n v="94194"/>
    <n v="74.5"/>
    <n v="13.2"/>
    <x v="0"/>
    <n v="85.4"/>
    <x v="852"/>
    <n v="0"/>
  </r>
  <r>
    <x v="20"/>
    <n v="21"/>
    <x v="1"/>
    <x v="12"/>
    <n v="13"/>
    <x v="2"/>
    <x v="0"/>
    <n v="3"/>
    <n v="18872"/>
    <x v="997"/>
    <x v="992"/>
    <n v="57234"/>
    <n v="32.97"/>
    <x v="319"/>
    <n v="21.1"/>
    <n v="419"/>
    <n v="1.9370000000000001"/>
    <n v="0.21099999999999999"/>
    <n v="94194"/>
    <n v="74.5"/>
    <n v="13.2"/>
    <x v="0"/>
    <n v="85.4"/>
    <x v="853"/>
    <n v="0"/>
  </r>
  <r>
    <x v="20"/>
    <n v="21"/>
    <x v="1"/>
    <x v="13"/>
    <n v="14"/>
    <x v="0"/>
    <x v="0"/>
    <n v="1"/>
    <n v="3070"/>
    <x v="998"/>
    <x v="993"/>
    <n v="36711"/>
    <n v="8.36"/>
    <x v="320"/>
    <n v="26"/>
    <n v="444"/>
    <n v="1.93"/>
    <n v="0.219"/>
    <n v="95322"/>
    <n v="74.599999999999994"/>
    <n v="13.1"/>
    <x v="0"/>
    <n v="88.4"/>
    <x v="854"/>
    <n v="0"/>
  </r>
  <r>
    <x v="20"/>
    <n v="21"/>
    <x v="1"/>
    <x v="13"/>
    <n v="14"/>
    <x v="1"/>
    <x v="0"/>
    <n v="2"/>
    <n v="35725"/>
    <x v="999"/>
    <x v="994"/>
    <n v="149539"/>
    <n v="23.89"/>
    <x v="320"/>
    <n v="26"/>
    <n v="444"/>
    <n v="1.93"/>
    <n v="0.219"/>
    <n v="95322"/>
    <n v="74.599999999999994"/>
    <n v="13.1"/>
    <x v="0"/>
    <n v="88.4"/>
    <x v="855"/>
    <n v="0"/>
  </r>
  <r>
    <x v="20"/>
    <n v="21"/>
    <x v="1"/>
    <x v="13"/>
    <n v="14"/>
    <x v="2"/>
    <x v="0"/>
    <n v="3"/>
    <n v="21298"/>
    <x v="1000"/>
    <x v="995"/>
    <n v="61484"/>
    <n v="34.64"/>
    <x v="320"/>
    <n v="26"/>
    <n v="444"/>
    <n v="1.93"/>
    <n v="0.219"/>
    <n v="95322"/>
    <n v="74.599999999999994"/>
    <n v="13.1"/>
    <x v="0"/>
    <n v="88.4"/>
    <x v="128"/>
    <n v="0"/>
  </r>
  <r>
    <x v="20"/>
    <n v="21"/>
    <x v="1"/>
    <x v="14"/>
    <n v="15"/>
    <x v="0"/>
    <x v="0"/>
    <n v="1"/>
    <n v="3342"/>
    <x v="1001"/>
    <x v="996"/>
    <n v="37894"/>
    <n v="8.82"/>
    <x v="321"/>
    <n v="27.3"/>
    <n v="466"/>
    <n v="1.867"/>
    <n v="0.22700000000000001"/>
    <n v="97910"/>
    <n v="74.400000000000006"/>
    <n v="12.6"/>
    <x v="0"/>
    <n v="90.3"/>
    <x v="856"/>
    <n v="0"/>
  </r>
  <r>
    <x v="20"/>
    <n v="21"/>
    <x v="1"/>
    <x v="14"/>
    <n v="15"/>
    <x v="1"/>
    <x v="0"/>
    <n v="2"/>
    <n v="38017"/>
    <x v="1002"/>
    <x v="997"/>
    <n v="150861"/>
    <n v="25.2"/>
    <x v="321"/>
    <n v="27.3"/>
    <n v="466"/>
    <n v="1.867"/>
    <n v="0.22700000000000001"/>
    <n v="97910"/>
    <n v="74.400000000000006"/>
    <n v="12.6"/>
    <x v="0"/>
    <n v="90.3"/>
    <x v="857"/>
    <n v="0"/>
  </r>
  <r>
    <x v="20"/>
    <n v="21"/>
    <x v="1"/>
    <x v="14"/>
    <n v="15"/>
    <x v="2"/>
    <x v="0"/>
    <n v="3"/>
    <n v="22949"/>
    <x v="1003"/>
    <x v="998"/>
    <n v="62805"/>
    <n v="36.54"/>
    <x v="321"/>
    <n v="27.3"/>
    <n v="466"/>
    <n v="1.867"/>
    <n v="0.22700000000000001"/>
    <n v="97910"/>
    <n v="74.400000000000006"/>
    <n v="12.6"/>
    <x v="0"/>
    <n v="90.3"/>
    <x v="858"/>
    <n v="0"/>
  </r>
  <r>
    <x v="20"/>
    <n v="21"/>
    <x v="1"/>
    <x v="15"/>
    <n v="16"/>
    <x v="0"/>
    <x v="0"/>
    <n v="1"/>
    <n v="3872"/>
    <x v="1004"/>
    <x v="999"/>
    <n v="39257"/>
    <n v="9.86"/>
    <x v="322"/>
    <n v="27.5"/>
    <n v="503"/>
    <n v="1.79"/>
    <n v="0.23200000000000001"/>
    <n v="99664"/>
    <n v="74.7"/>
    <n v="12.1"/>
    <x v="0"/>
    <n v="93.1"/>
    <x v="859"/>
    <n v="0"/>
  </r>
  <r>
    <x v="20"/>
    <n v="21"/>
    <x v="1"/>
    <x v="15"/>
    <n v="16"/>
    <x v="1"/>
    <x v="0"/>
    <n v="2"/>
    <n v="43731"/>
    <x v="1005"/>
    <x v="1000"/>
    <n v="155184"/>
    <n v="28.18"/>
    <x v="322"/>
    <n v="27.5"/>
    <n v="503"/>
    <n v="1.79"/>
    <n v="0.23200000000000001"/>
    <n v="99664"/>
    <n v="74.7"/>
    <n v="12.1"/>
    <x v="0"/>
    <n v="93.1"/>
    <x v="860"/>
    <n v="0"/>
  </r>
  <r>
    <x v="20"/>
    <n v="21"/>
    <x v="1"/>
    <x v="15"/>
    <n v="16"/>
    <x v="2"/>
    <x v="1"/>
    <n v="4"/>
    <n v="26536"/>
    <x v="1006"/>
    <x v="1001"/>
    <n v="64941"/>
    <n v="40.86"/>
    <x v="322"/>
    <n v="27.5"/>
    <n v="503"/>
    <n v="1.79"/>
    <n v="0.23200000000000001"/>
    <n v="99664"/>
    <n v="74.7"/>
    <n v="12.1"/>
    <x v="0"/>
    <n v="93.1"/>
    <x v="861"/>
    <n v="0"/>
  </r>
  <r>
    <x v="21"/>
    <n v="22"/>
    <x v="4"/>
    <x v="0"/>
    <n v="1"/>
    <x v="0"/>
    <x v="0"/>
    <n v="1"/>
    <n v="5"/>
    <x v="1007"/>
    <x v="1002"/>
    <n v="124311"/>
    <n v="0"/>
    <x v="0"/>
    <n v="0"/>
    <n v="119"/>
    <n v="0.9"/>
    <n v="6.9000000000000006E-2"/>
    <n v="5170"/>
    <n v="44"/>
    <n v="68.3"/>
    <x v="0"/>
    <n v="20.8"/>
    <x v="0"/>
    <n v="0"/>
  </r>
  <r>
    <x v="21"/>
    <n v="22"/>
    <x v="4"/>
    <x v="0"/>
    <n v="1"/>
    <x v="1"/>
    <x v="0"/>
    <n v="2"/>
    <n v="15"/>
    <x v="1008"/>
    <x v="1003"/>
    <n v="485324"/>
    <n v="0"/>
    <x v="0"/>
    <n v="0"/>
    <n v="119"/>
    <n v="0.9"/>
    <n v="6.9000000000000006E-2"/>
    <n v="5170"/>
    <n v="44"/>
    <n v="68.3"/>
    <x v="0"/>
    <n v="20.8"/>
    <x v="0"/>
    <n v="0"/>
  </r>
  <r>
    <x v="21"/>
    <n v="22"/>
    <x v="4"/>
    <x v="0"/>
    <n v="1"/>
    <x v="2"/>
    <x v="0"/>
    <n v="3"/>
    <n v="10"/>
    <x v="1009"/>
    <x v="1004"/>
    <n v="200024"/>
    <n v="0"/>
    <x v="0"/>
    <n v="0"/>
    <n v="119"/>
    <n v="0.9"/>
    <n v="6.9000000000000006E-2"/>
    <n v="5170"/>
    <n v="44"/>
    <n v="68.3"/>
    <x v="0"/>
    <n v="20.8"/>
    <x v="0"/>
    <n v="0"/>
  </r>
  <r>
    <x v="21"/>
    <n v="22"/>
    <x v="4"/>
    <x v="1"/>
    <n v="2"/>
    <x v="0"/>
    <x v="0"/>
    <n v="1"/>
    <n v="5"/>
    <x v="1010"/>
    <x v="1005"/>
    <n v="142224"/>
    <n v="0"/>
    <x v="323"/>
    <n v="1"/>
    <n v="124"/>
    <n v="0.88300000000000001"/>
    <n v="7.2999999999999995E-2"/>
    <n v="5316"/>
    <n v="45.2"/>
    <n v="70"/>
    <x v="238"/>
    <n v="20.5"/>
    <x v="0"/>
    <n v="0"/>
  </r>
  <r>
    <x v="21"/>
    <n v="22"/>
    <x v="4"/>
    <x v="1"/>
    <n v="2"/>
    <x v="1"/>
    <x v="0"/>
    <n v="2"/>
    <n v="30"/>
    <x v="1011"/>
    <x v="1006"/>
    <n v="578033"/>
    <n v="0.01"/>
    <x v="323"/>
    <n v="1"/>
    <n v="124"/>
    <n v="0.88300000000000001"/>
    <n v="7.2999999999999995E-2"/>
    <n v="5316"/>
    <n v="45.2"/>
    <n v="70"/>
    <x v="238"/>
    <n v="20.5"/>
    <x v="696"/>
    <n v="0"/>
  </r>
  <r>
    <x v="21"/>
    <n v="22"/>
    <x v="4"/>
    <x v="1"/>
    <n v="2"/>
    <x v="2"/>
    <x v="0"/>
    <n v="3"/>
    <n v="16"/>
    <x v="1012"/>
    <x v="1007"/>
    <n v="238565"/>
    <n v="0.01"/>
    <x v="323"/>
    <n v="1"/>
    <n v="124"/>
    <n v="0.88300000000000001"/>
    <n v="7.2999999999999995E-2"/>
    <n v="5316"/>
    <n v="45.2"/>
    <n v="70"/>
    <x v="238"/>
    <n v="20.5"/>
    <x v="862"/>
    <n v="0"/>
  </r>
  <r>
    <x v="21"/>
    <n v="22"/>
    <x v="4"/>
    <x v="2"/>
    <n v="3"/>
    <x v="0"/>
    <x v="0"/>
    <n v="1"/>
    <n v="6"/>
    <x v="1013"/>
    <x v="1008"/>
    <n v="167212"/>
    <n v="0"/>
    <x v="324"/>
    <n v="2"/>
    <n v="129"/>
    <n v="0.87"/>
    <n v="7.6999999999999999E-2"/>
    <n v="5415"/>
    <n v="46.1"/>
    <n v="71.7"/>
    <x v="239"/>
    <n v="23.6"/>
    <x v="863"/>
    <n v="0"/>
  </r>
  <r>
    <x v="21"/>
    <n v="22"/>
    <x v="4"/>
    <x v="2"/>
    <n v="3"/>
    <x v="1"/>
    <x v="0"/>
    <n v="2"/>
    <n v="69"/>
    <x v="1014"/>
    <x v="1009"/>
    <n v="691852"/>
    <n v="0.01"/>
    <x v="324"/>
    <n v="2"/>
    <n v="129"/>
    <n v="0.87"/>
    <n v="7.6999999999999999E-2"/>
    <n v="5415"/>
    <n v="46.1"/>
    <n v="71.7"/>
    <x v="239"/>
    <n v="23.6"/>
    <x v="864"/>
    <n v="0"/>
  </r>
  <r>
    <x v="21"/>
    <n v="22"/>
    <x v="4"/>
    <x v="2"/>
    <n v="3"/>
    <x v="2"/>
    <x v="0"/>
    <n v="3"/>
    <n v="41"/>
    <x v="1015"/>
    <x v="1010"/>
    <n v="284450"/>
    <n v="0.01"/>
    <x v="324"/>
    <n v="2"/>
    <n v="129"/>
    <n v="0.87"/>
    <n v="7.6999999999999999E-2"/>
    <n v="5415"/>
    <n v="46.1"/>
    <n v="71.7"/>
    <x v="239"/>
    <n v="23.6"/>
    <x v="865"/>
    <n v="0"/>
  </r>
  <r>
    <x v="21"/>
    <n v="22"/>
    <x v="4"/>
    <x v="3"/>
    <n v="4"/>
    <x v="0"/>
    <x v="0"/>
    <n v="1"/>
    <n v="7"/>
    <x v="1016"/>
    <x v="1011"/>
    <n v="201303"/>
    <n v="0"/>
    <x v="187"/>
    <n v="2.8"/>
    <n v="132"/>
    <n v="0.86699999999999999"/>
    <n v="8.1000000000000003E-2"/>
    <n v="5516"/>
    <n v="47"/>
    <n v="73.8"/>
    <x v="240"/>
    <n v="24.4"/>
    <x v="136"/>
    <n v="0"/>
  </r>
  <r>
    <x v="21"/>
    <n v="22"/>
    <x v="4"/>
    <x v="3"/>
    <n v="4"/>
    <x v="1"/>
    <x v="0"/>
    <n v="2"/>
    <n v="81"/>
    <x v="1017"/>
    <x v="1012"/>
    <n v="806888"/>
    <n v="0.01"/>
    <x v="187"/>
    <n v="2.8"/>
    <n v="132"/>
    <n v="0.86699999999999999"/>
    <n v="8.1000000000000003E-2"/>
    <n v="5516"/>
    <n v="47"/>
    <n v="73.8"/>
    <x v="240"/>
    <n v="24.4"/>
    <x v="866"/>
    <n v="0"/>
  </r>
  <r>
    <x v="21"/>
    <n v="22"/>
    <x v="4"/>
    <x v="3"/>
    <n v="4"/>
    <x v="2"/>
    <x v="0"/>
    <n v="3"/>
    <n v="48"/>
    <x v="1018"/>
    <x v="1013"/>
    <n v="329939"/>
    <n v="0.01"/>
    <x v="187"/>
    <n v="2.8"/>
    <n v="132"/>
    <n v="0.86699999999999999"/>
    <n v="8.1000000000000003E-2"/>
    <n v="5516"/>
    <n v="47"/>
    <n v="73.8"/>
    <x v="240"/>
    <n v="24.4"/>
    <x v="138"/>
    <n v="0"/>
  </r>
  <r>
    <x v="21"/>
    <n v="22"/>
    <x v="4"/>
    <x v="4"/>
    <n v="5"/>
    <x v="0"/>
    <x v="0"/>
    <n v="1"/>
    <n v="6"/>
    <x v="1019"/>
    <x v="1014"/>
    <n v="159533"/>
    <n v="0"/>
    <x v="325"/>
    <n v="4"/>
    <n v="142"/>
    <n v="0.85699999999999998"/>
    <n v="8.5000000000000006E-2"/>
    <n v="5586"/>
    <n v="48.1"/>
    <n v="75.900000000000006"/>
    <x v="1"/>
    <n v="26.4"/>
    <x v="385"/>
    <n v="0"/>
  </r>
  <r>
    <x v="21"/>
    <n v="22"/>
    <x v="4"/>
    <x v="4"/>
    <n v="5"/>
    <x v="1"/>
    <x v="0"/>
    <n v="2"/>
    <n v="65"/>
    <x v="1020"/>
    <x v="1015"/>
    <n v="648134"/>
    <n v="0.01"/>
    <x v="325"/>
    <n v="4"/>
    <n v="142"/>
    <n v="0.85699999999999998"/>
    <n v="8.5000000000000006E-2"/>
    <n v="5586"/>
    <n v="48.1"/>
    <n v="75.900000000000006"/>
    <x v="1"/>
    <n v="26.4"/>
    <x v="867"/>
    <n v="0"/>
  </r>
  <r>
    <x v="21"/>
    <n v="22"/>
    <x v="4"/>
    <x v="4"/>
    <n v="5"/>
    <x v="2"/>
    <x v="0"/>
    <n v="3"/>
    <n v="39"/>
    <x v="1021"/>
    <x v="1016"/>
    <n v="268821"/>
    <n v="0.01"/>
    <x v="325"/>
    <n v="4"/>
    <n v="142"/>
    <n v="0.85699999999999998"/>
    <n v="8.5000000000000006E-2"/>
    <n v="5586"/>
    <n v="48.1"/>
    <n v="75.900000000000006"/>
    <x v="1"/>
    <n v="26.4"/>
    <x v="868"/>
    <n v="0"/>
  </r>
  <r>
    <x v="21"/>
    <n v="22"/>
    <x v="4"/>
    <x v="5"/>
    <n v="6"/>
    <x v="0"/>
    <x v="0"/>
    <n v="1"/>
    <n v="9"/>
    <x v="1022"/>
    <x v="1017"/>
    <n v="123528"/>
    <n v="0.01"/>
    <x v="326"/>
    <n v="4.5999999999999996"/>
    <n v="153"/>
    <n v="0.86699999999999999"/>
    <n v="8.8999999999999996E-2"/>
    <n v="5869"/>
    <n v="49.1"/>
    <n v="78.599999999999994"/>
    <x v="241"/>
    <n v="29"/>
    <x v="623"/>
    <n v="0"/>
  </r>
  <r>
    <x v="21"/>
    <n v="22"/>
    <x v="4"/>
    <x v="5"/>
    <n v="6"/>
    <x v="1"/>
    <x v="0"/>
    <n v="2"/>
    <n v="100"/>
    <x v="1023"/>
    <x v="1018"/>
    <n v="497975"/>
    <n v="0.02"/>
    <x v="326"/>
    <n v="4.5999999999999996"/>
    <n v="153"/>
    <n v="0.86699999999999999"/>
    <n v="8.8999999999999996E-2"/>
    <n v="5869"/>
    <n v="49.1"/>
    <n v="78.599999999999994"/>
    <x v="241"/>
    <n v="29"/>
    <x v="869"/>
    <n v="0"/>
  </r>
  <r>
    <x v="21"/>
    <n v="22"/>
    <x v="4"/>
    <x v="5"/>
    <n v="6"/>
    <x v="2"/>
    <x v="0"/>
    <n v="3"/>
    <n v="60"/>
    <x v="1024"/>
    <x v="1019"/>
    <n v="207762"/>
    <n v="0.03"/>
    <x v="326"/>
    <n v="4.5999999999999996"/>
    <n v="153"/>
    <n v="0.86699999999999999"/>
    <n v="8.8999999999999996E-2"/>
    <n v="5869"/>
    <n v="49.1"/>
    <n v="78.599999999999994"/>
    <x v="241"/>
    <n v="29"/>
    <x v="870"/>
    <n v="0"/>
  </r>
  <r>
    <x v="21"/>
    <n v="22"/>
    <x v="4"/>
    <x v="6"/>
    <n v="7"/>
    <x v="0"/>
    <x v="0"/>
    <n v="1"/>
    <n v="14"/>
    <x v="1025"/>
    <x v="1020"/>
    <n v="130717"/>
    <n v="0.01"/>
    <x v="327"/>
    <n v="5.9"/>
    <n v="186"/>
    <n v="0.88300000000000001"/>
    <n v="9.2999999999999999E-2"/>
    <n v="6192"/>
    <n v="49.6"/>
    <n v="81.3"/>
    <x v="242"/>
    <n v="30"/>
    <x v="383"/>
    <n v="0"/>
  </r>
  <r>
    <x v="21"/>
    <n v="22"/>
    <x v="4"/>
    <x v="6"/>
    <n v="7"/>
    <x v="1"/>
    <x v="0"/>
    <n v="2"/>
    <n v="153"/>
    <x v="1026"/>
    <x v="1021"/>
    <n v="509519"/>
    <n v="0.03"/>
    <x v="327"/>
    <n v="5.9"/>
    <n v="186"/>
    <n v="0.88300000000000001"/>
    <n v="9.2999999999999999E-2"/>
    <n v="6192"/>
    <n v="49.6"/>
    <n v="81.3"/>
    <x v="242"/>
    <n v="30"/>
    <x v="871"/>
    <n v="0"/>
  </r>
  <r>
    <x v="21"/>
    <n v="22"/>
    <x v="4"/>
    <x v="6"/>
    <n v="7"/>
    <x v="2"/>
    <x v="0"/>
    <n v="3"/>
    <n v="93"/>
    <x v="1027"/>
    <x v="1022"/>
    <n v="213824"/>
    <n v="0.04"/>
    <x v="327"/>
    <n v="5.9"/>
    <n v="186"/>
    <n v="0.88300000000000001"/>
    <n v="9.2999999999999999E-2"/>
    <n v="6192"/>
    <n v="49.6"/>
    <n v="81.3"/>
    <x v="242"/>
    <n v="30"/>
    <x v="872"/>
    <n v="0"/>
  </r>
  <r>
    <x v="21"/>
    <n v="22"/>
    <x v="4"/>
    <x v="7"/>
    <n v="8"/>
    <x v="0"/>
    <x v="0"/>
    <n v="1"/>
    <n v="22"/>
    <x v="1028"/>
    <x v="1023"/>
    <n v="127628"/>
    <n v="0.02"/>
    <x v="328"/>
    <n v="6.5"/>
    <n v="213"/>
    <n v="0.92700000000000005"/>
    <n v="9.5000000000000001E-2"/>
    <n v="6696"/>
    <n v="49.9"/>
    <n v="82.7"/>
    <x v="243"/>
    <n v="31.7"/>
    <x v="873"/>
    <n v="0"/>
  </r>
  <r>
    <x v="21"/>
    <n v="22"/>
    <x v="4"/>
    <x v="7"/>
    <n v="8"/>
    <x v="1"/>
    <x v="0"/>
    <n v="2"/>
    <n v="252"/>
    <x v="1029"/>
    <x v="1024"/>
    <n v="503330"/>
    <n v="0.05"/>
    <x v="328"/>
    <n v="6.5"/>
    <n v="213"/>
    <n v="0.92700000000000005"/>
    <n v="9.5000000000000001E-2"/>
    <n v="6696"/>
    <n v="49.9"/>
    <n v="82.7"/>
    <x v="243"/>
    <n v="31.7"/>
    <x v="874"/>
    <n v="0"/>
  </r>
  <r>
    <x v="21"/>
    <n v="22"/>
    <x v="4"/>
    <x v="7"/>
    <n v="8"/>
    <x v="2"/>
    <x v="0"/>
    <n v="3"/>
    <n v="157"/>
    <x v="1030"/>
    <x v="1025"/>
    <n v="216296"/>
    <n v="7.0000000000000007E-2"/>
    <x v="328"/>
    <n v="6.5"/>
    <n v="213"/>
    <n v="0.92700000000000005"/>
    <n v="9.5000000000000001E-2"/>
    <n v="6696"/>
    <n v="49.9"/>
    <n v="82.7"/>
    <x v="243"/>
    <n v="31.7"/>
    <x v="875"/>
    <n v="0"/>
  </r>
  <r>
    <x v="21"/>
    <n v="22"/>
    <x v="4"/>
    <x v="8"/>
    <n v="9"/>
    <x v="0"/>
    <x v="0"/>
    <n v="1"/>
    <n v="25"/>
    <x v="1031"/>
    <x v="1026"/>
    <n v="142898"/>
    <n v="0.02"/>
    <x v="329"/>
    <n v="8.1"/>
    <n v="251"/>
    <n v="0.97"/>
    <n v="9.6000000000000002E-2"/>
    <n v="7199"/>
    <n v="50.7"/>
    <n v="84.9"/>
    <x v="244"/>
    <n v="34.700000000000003"/>
    <x v="635"/>
    <n v="0"/>
  </r>
  <r>
    <x v="21"/>
    <n v="22"/>
    <x v="4"/>
    <x v="8"/>
    <n v="9"/>
    <x v="1"/>
    <x v="0"/>
    <n v="2"/>
    <n v="284"/>
    <x v="1032"/>
    <x v="1027"/>
    <n v="567181"/>
    <n v="0.05"/>
    <x v="329"/>
    <n v="8.1"/>
    <n v="251"/>
    <n v="0.97"/>
    <n v="9.6000000000000002E-2"/>
    <n v="7199"/>
    <n v="50.7"/>
    <n v="84.9"/>
    <x v="244"/>
    <n v="34.700000000000003"/>
    <x v="876"/>
    <n v="0"/>
  </r>
  <r>
    <x v="21"/>
    <n v="22"/>
    <x v="4"/>
    <x v="8"/>
    <n v="9"/>
    <x v="2"/>
    <x v="0"/>
    <n v="3"/>
    <n v="169"/>
    <x v="1033"/>
    <x v="1028"/>
    <n v="232477"/>
    <n v="7.0000000000000007E-2"/>
    <x v="329"/>
    <n v="8.1"/>
    <n v="251"/>
    <n v="0.97"/>
    <n v="9.6000000000000002E-2"/>
    <n v="7199"/>
    <n v="50.7"/>
    <n v="84.9"/>
    <x v="244"/>
    <n v="34.700000000000003"/>
    <x v="877"/>
    <n v="0"/>
  </r>
  <r>
    <x v="21"/>
    <n v="22"/>
    <x v="4"/>
    <x v="9"/>
    <n v="10"/>
    <x v="0"/>
    <x v="0"/>
    <n v="1"/>
    <n v="78"/>
    <x v="1034"/>
    <x v="1029"/>
    <n v="147664"/>
    <n v="0.05"/>
    <x v="330"/>
    <n v="7.8"/>
    <n v="275"/>
    <n v="1.0169999999999999"/>
    <n v="9.8000000000000004E-2"/>
    <n v="7722"/>
    <n v="51"/>
    <n v="80.599999999999994"/>
    <x v="245"/>
    <n v="38.1"/>
    <x v="878"/>
    <n v="0"/>
  </r>
  <r>
    <x v="21"/>
    <n v="22"/>
    <x v="4"/>
    <x v="9"/>
    <n v="10"/>
    <x v="1"/>
    <x v="0"/>
    <n v="2"/>
    <n v="887"/>
    <x v="1035"/>
    <x v="1030"/>
    <n v="591356"/>
    <n v="0.15"/>
    <x v="330"/>
    <n v="7.8"/>
    <n v="275"/>
    <n v="1.0169999999999999"/>
    <n v="9.8000000000000004E-2"/>
    <n v="7722"/>
    <n v="51"/>
    <n v="80.599999999999994"/>
    <x v="245"/>
    <n v="38.1"/>
    <x v="879"/>
    <n v="0"/>
  </r>
  <r>
    <x v="21"/>
    <n v="22"/>
    <x v="4"/>
    <x v="9"/>
    <n v="10"/>
    <x v="2"/>
    <x v="0"/>
    <n v="3"/>
    <n v="550"/>
    <x v="1036"/>
    <x v="1031"/>
    <n v="252948"/>
    <n v="0.22"/>
    <x v="330"/>
    <n v="7.8"/>
    <n v="275"/>
    <n v="1.0169999999999999"/>
    <n v="9.8000000000000004E-2"/>
    <n v="7722"/>
    <n v="51"/>
    <n v="80.599999999999994"/>
    <x v="245"/>
    <n v="38.1"/>
    <x v="880"/>
    <n v="0"/>
  </r>
  <r>
    <x v="21"/>
    <n v="22"/>
    <x v="4"/>
    <x v="10"/>
    <n v="11"/>
    <x v="0"/>
    <x v="0"/>
    <n v="1"/>
    <n v="104"/>
    <x v="1037"/>
    <x v="1032"/>
    <n v="119356"/>
    <n v="0.09"/>
    <x v="331"/>
    <n v="11.7"/>
    <n v="322"/>
    <n v="1.077"/>
    <n v="9.9000000000000005E-2"/>
    <n v="7613"/>
    <n v="51.5"/>
    <n v="78.400000000000006"/>
    <x v="246"/>
    <n v="40.6"/>
    <x v="881"/>
    <n v="0"/>
  </r>
  <r>
    <x v="21"/>
    <n v="22"/>
    <x v="4"/>
    <x v="10"/>
    <n v="11"/>
    <x v="1"/>
    <x v="0"/>
    <n v="2"/>
    <n v="1179"/>
    <x v="1038"/>
    <x v="1033"/>
    <n v="471490"/>
    <n v="0.25"/>
    <x v="331"/>
    <n v="11.7"/>
    <n v="322"/>
    <n v="1.077"/>
    <n v="9.9000000000000005E-2"/>
    <n v="7613"/>
    <n v="51.5"/>
    <n v="78.400000000000006"/>
    <x v="246"/>
    <n v="40.6"/>
    <x v="882"/>
    <n v="0"/>
  </r>
  <r>
    <x v="21"/>
    <n v="22"/>
    <x v="4"/>
    <x v="10"/>
    <n v="11"/>
    <x v="2"/>
    <x v="0"/>
    <n v="3"/>
    <n v="719"/>
    <x v="1039"/>
    <x v="1034"/>
    <n v="198417"/>
    <n v="0.36"/>
    <x v="331"/>
    <n v="11.7"/>
    <n v="322"/>
    <n v="1.077"/>
    <n v="9.9000000000000005E-2"/>
    <n v="7613"/>
    <n v="51.5"/>
    <n v="78.400000000000006"/>
    <x v="246"/>
    <n v="40.6"/>
    <x v="883"/>
    <n v="0"/>
  </r>
  <r>
    <x v="21"/>
    <n v="22"/>
    <x v="4"/>
    <x v="11"/>
    <n v="12"/>
    <x v="0"/>
    <x v="0"/>
    <n v="1"/>
    <n v="266"/>
    <x v="1040"/>
    <x v="1035"/>
    <n v="111574"/>
    <n v="0.24"/>
    <x v="332"/>
    <n v="16.399999999999999"/>
    <n v="350"/>
    <n v="1.1299999999999999"/>
    <n v="0.10299999999999999"/>
    <n v="7312"/>
    <n v="51.7"/>
    <n v="77.2"/>
    <x v="247"/>
    <n v="43.6"/>
    <x v="884"/>
    <n v="0"/>
  </r>
  <r>
    <x v="21"/>
    <n v="22"/>
    <x v="4"/>
    <x v="11"/>
    <n v="12"/>
    <x v="1"/>
    <x v="0"/>
    <n v="2"/>
    <n v="3033"/>
    <x v="1041"/>
    <x v="1036"/>
    <n v="445958"/>
    <n v="0.68"/>
    <x v="332"/>
    <n v="16.399999999999999"/>
    <n v="350"/>
    <n v="1.1299999999999999"/>
    <n v="0.10299999999999999"/>
    <n v="7312"/>
    <n v="51.7"/>
    <n v="77.2"/>
    <x v="247"/>
    <n v="43.6"/>
    <x v="885"/>
    <n v="0"/>
  </r>
  <r>
    <x v="21"/>
    <n v="22"/>
    <x v="4"/>
    <x v="11"/>
    <n v="12"/>
    <x v="2"/>
    <x v="0"/>
    <n v="3"/>
    <n v="1855"/>
    <x v="1042"/>
    <x v="1037"/>
    <n v="188087"/>
    <n v="0.99"/>
    <x v="332"/>
    <n v="16.399999999999999"/>
    <n v="350"/>
    <n v="1.1299999999999999"/>
    <n v="0.10299999999999999"/>
    <n v="7312"/>
    <n v="51.7"/>
    <n v="77.2"/>
    <x v="247"/>
    <n v="43.6"/>
    <x v="886"/>
    <n v="0"/>
  </r>
  <r>
    <x v="21"/>
    <n v="22"/>
    <x v="4"/>
    <x v="12"/>
    <n v="13"/>
    <x v="0"/>
    <x v="0"/>
    <n v="1"/>
    <n v="1310"/>
    <x v="1043"/>
    <x v="1038"/>
    <n v="128144"/>
    <n v="1.02"/>
    <x v="333"/>
    <n v="19.399999999999999"/>
    <n v="361"/>
    <n v="1.2070000000000001"/>
    <n v="0.107"/>
    <n v="7032"/>
    <n v="52.2"/>
    <n v="80.099999999999994"/>
    <x v="248"/>
    <n v="48.8"/>
    <x v="33"/>
    <n v="0"/>
  </r>
  <r>
    <x v="21"/>
    <n v="22"/>
    <x v="4"/>
    <x v="12"/>
    <n v="13"/>
    <x v="1"/>
    <x v="0"/>
    <n v="2"/>
    <n v="14960"/>
    <x v="1044"/>
    <x v="1039"/>
    <n v="512331"/>
    <n v="2.92"/>
    <x v="333"/>
    <n v="19.399999999999999"/>
    <n v="361"/>
    <n v="1.2070000000000001"/>
    <n v="0.107"/>
    <n v="7032"/>
    <n v="52.2"/>
    <n v="80.099999999999994"/>
    <x v="248"/>
    <n v="48.8"/>
    <x v="33"/>
    <n v="0"/>
  </r>
  <r>
    <x v="21"/>
    <n v="22"/>
    <x v="4"/>
    <x v="12"/>
    <n v="13"/>
    <x v="2"/>
    <x v="0"/>
    <n v="3"/>
    <n v="8993"/>
    <x v="1045"/>
    <x v="1040"/>
    <n v="212401"/>
    <n v="4.2300000000000004"/>
    <x v="333"/>
    <n v="19.399999999999999"/>
    <n v="361"/>
    <n v="1.2070000000000001"/>
    <n v="0.107"/>
    <n v="7032"/>
    <n v="52.2"/>
    <n v="80.099999999999994"/>
    <x v="248"/>
    <n v="48.8"/>
    <x v="33"/>
    <n v="0"/>
  </r>
  <r>
    <x v="21"/>
    <n v="22"/>
    <x v="4"/>
    <x v="13"/>
    <n v="14"/>
    <x v="0"/>
    <x v="0"/>
    <n v="1"/>
    <n v="3983"/>
    <x v="1046"/>
    <x v="1041"/>
    <n v="128289"/>
    <n v="3.1"/>
    <x v="334"/>
    <n v="25.3"/>
    <n v="389"/>
    <n v="1.2030000000000001"/>
    <n v="0.113"/>
    <n v="7181"/>
    <n v="52.9"/>
    <n v="82.3"/>
    <x v="249"/>
    <n v="49.7"/>
    <x v="887"/>
    <n v="0"/>
  </r>
  <r>
    <x v="21"/>
    <n v="22"/>
    <x v="4"/>
    <x v="13"/>
    <n v="14"/>
    <x v="1"/>
    <x v="0"/>
    <n v="2"/>
    <n v="45373"/>
    <x v="1047"/>
    <x v="1042"/>
    <n v="511532"/>
    <n v="8.8699999999999992"/>
    <x v="334"/>
    <n v="25.3"/>
    <n v="389"/>
    <n v="1.2030000000000001"/>
    <n v="0.113"/>
    <n v="7181"/>
    <n v="52.9"/>
    <n v="82.3"/>
    <x v="249"/>
    <n v="49.7"/>
    <x v="888"/>
    <n v="0"/>
  </r>
  <r>
    <x v="21"/>
    <n v="22"/>
    <x v="4"/>
    <x v="13"/>
    <n v="14"/>
    <x v="2"/>
    <x v="0"/>
    <n v="3"/>
    <n v="28014"/>
    <x v="1048"/>
    <x v="1043"/>
    <n v="217813"/>
    <n v="12.86"/>
    <x v="334"/>
    <n v="25.3"/>
    <n v="389"/>
    <n v="1.2030000000000001"/>
    <n v="0.113"/>
    <n v="7181"/>
    <n v="52.9"/>
    <n v="82.3"/>
    <x v="249"/>
    <n v="49.7"/>
    <x v="889"/>
    <n v="0"/>
  </r>
  <r>
    <x v="21"/>
    <n v="22"/>
    <x v="4"/>
    <x v="14"/>
    <n v="15"/>
    <x v="0"/>
    <x v="0"/>
    <n v="1"/>
    <n v="5740"/>
    <x v="1049"/>
    <x v="1044"/>
    <n v="135878"/>
    <n v="4.22"/>
    <x v="335"/>
    <n v="27.7"/>
    <n v="420"/>
    <n v="1.18"/>
    <n v="0.11700000000000001"/>
    <n v="7514"/>
    <n v="53"/>
    <n v="79.8"/>
    <x v="250"/>
    <n v="53.6"/>
    <x v="890"/>
    <n v="0"/>
  </r>
  <r>
    <x v="21"/>
    <n v="22"/>
    <x v="4"/>
    <x v="14"/>
    <n v="15"/>
    <x v="1"/>
    <x v="0"/>
    <n v="2"/>
    <n v="65483"/>
    <x v="1050"/>
    <x v="1045"/>
    <n v="542528"/>
    <n v="12.07"/>
    <x v="335"/>
    <n v="27.7"/>
    <n v="420"/>
    <n v="1.18"/>
    <n v="0.11700000000000001"/>
    <n v="7514"/>
    <n v="53"/>
    <n v="79.8"/>
    <x v="250"/>
    <n v="53.6"/>
    <x v="891"/>
    <n v="0"/>
  </r>
  <r>
    <x v="21"/>
    <n v="22"/>
    <x v="4"/>
    <x v="14"/>
    <n v="15"/>
    <x v="2"/>
    <x v="0"/>
    <n v="3"/>
    <n v="39818"/>
    <x v="1051"/>
    <x v="1046"/>
    <n v="227513"/>
    <n v="17.5"/>
    <x v="335"/>
    <n v="27.7"/>
    <n v="420"/>
    <n v="1.18"/>
    <n v="0.11700000000000001"/>
    <n v="7514"/>
    <n v="53"/>
    <n v="79.8"/>
    <x v="250"/>
    <n v="53.6"/>
    <x v="892"/>
    <n v="0"/>
  </r>
  <r>
    <x v="21"/>
    <n v="22"/>
    <x v="4"/>
    <x v="15"/>
    <n v="16"/>
    <x v="0"/>
    <x v="0"/>
    <n v="1"/>
    <n v="7297"/>
    <x v="1052"/>
    <x v="1047"/>
    <n v="143886"/>
    <n v="5.07"/>
    <x v="336"/>
    <n v="38.200000000000003"/>
    <n v="446"/>
    <n v="1.1100000000000001"/>
    <n v="0.12"/>
    <n v="7908"/>
    <n v="53.7"/>
    <n v="76.900000000000006"/>
    <x v="251"/>
    <n v="58.8"/>
    <x v="893"/>
    <n v="0"/>
  </r>
  <r>
    <x v="21"/>
    <n v="22"/>
    <x v="4"/>
    <x v="15"/>
    <n v="16"/>
    <x v="1"/>
    <x v="0"/>
    <n v="2"/>
    <n v="81541"/>
    <x v="1053"/>
    <x v="1048"/>
    <n v="562741"/>
    <n v="14.49"/>
    <x v="336"/>
    <n v="38.200000000000003"/>
    <n v="446"/>
    <n v="1.1100000000000001"/>
    <n v="0.12"/>
    <n v="7908"/>
    <n v="53.7"/>
    <n v="76.900000000000006"/>
    <x v="251"/>
    <n v="58.8"/>
    <x v="894"/>
    <n v="0"/>
  </r>
  <r>
    <x v="21"/>
    <n v="22"/>
    <x v="4"/>
    <x v="15"/>
    <n v="16"/>
    <x v="2"/>
    <x v="0"/>
    <n v="3"/>
    <n v="48934"/>
    <x v="1054"/>
    <x v="1049"/>
    <n v="232904"/>
    <n v="21.01"/>
    <x v="336"/>
    <n v="38.200000000000003"/>
    <n v="446"/>
    <n v="1.1100000000000001"/>
    <n v="0.12"/>
    <n v="7908"/>
    <n v="53.7"/>
    <n v="76.900000000000006"/>
    <x v="251"/>
    <n v="58.8"/>
    <x v="895"/>
    <n v="0"/>
  </r>
  <r>
    <x v="22"/>
    <n v="23"/>
    <x v="1"/>
    <x v="0"/>
    <n v="1"/>
    <x v="0"/>
    <x v="0"/>
    <n v="1"/>
    <n v="5"/>
    <x v="1055"/>
    <x v="1050"/>
    <n v="115147"/>
    <n v="0"/>
    <x v="0"/>
    <n v="0"/>
    <n v="114"/>
    <n v="1.56"/>
    <n v="0.10199999999999999"/>
    <n v="10688"/>
    <n v="70.599999999999994"/>
    <n v="51.3"/>
    <x v="0"/>
    <n v="24.7"/>
    <x v="0"/>
    <n v="0"/>
  </r>
  <r>
    <x v="22"/>
    <n v="23"/>
    <x v="1"/>
    <x v="0"/>
    <n v="1"/>
    <x v="1"/>
    <x v="0"/>
    <n v="2"/>
    <n v="15"/>
    <x v="1056"/>
    <x v="1051"/>
    <n v="456890"/>
    <n v="0"/>
    <x v="0"/>
    <n v="0"/>
    <n v="114"/>
    <n v="1.56"/>
    <n v="0.10199999999999999"/>
    <n v="10688"/>
    <n v="70.599999999999994"/>
    <n v="51.3"/>
    <x v="0"/>
    <n v="24.7"/>
    <x v="0"/>
    <n v="0"/>
  </r>
  <r>
    <x v="22"/>
    <n v="23"/>
    <x v="1"/>
    <x v="0"/>
    <n v="1"/>
    <x v="2"/>
    <x v="0"/>
    <n v="3"/>
    <n v="10"/>
    <x v="1057"/>
    <x v="1052"/>
    <n v="193385"/>
    <n v="0.01"/>
    <x v="0"/>
    <n v="0"/>
    <n v="114"/>
    <n v="1.56"/>
    <n v="0.10199999999999999"/>
    <n v="10688"/>
    <n v="70.599999999999994"/>
    <n v="51.3"/>
    <x v="0"/>
    <n v="24.7"/>
    <x v="0"/>
    <n v="0"/>
  </r>
  <r>
    <x v="22"/>
    <n v="23"/>
    <x v="1"/>
    <x v="1"/>
    <n v="2"/>
    <x v="0"/>
    <x v="0"/>
    <n v="1"/>
    <n v="5"/>
    <x v="1058"/>
    <x v="1053"/>
    <n v="121934"/>
    <n v="0"/>
    <x v="323"/>
    <n v="1"/>
    <n v="118"/>
    <n v="1.5329999999999999"/>
    <n v="0.10100000000000001"/>
    <n v="10943"/>
    <n v="71.099999999999994"/>
    <n v="53.3"/>
    <x v="252"/>
    <n v="26.8"/>
    <x v="0"/>
    <n v="0"/>
  </r>
  <r>
    <x v="22"/>
    <n v="23"/>
    <x v="1"/>
    <x v="1"/>
    <n v="2"/>
    <x v="1"/>
    <x v="0"/>
    <n v="2"/>
    <n v="15"/>
    <x v="1059"/>
    <x v="1054"/>
    <n v="493714"/>
    <n v="0"/>
    <x v="323"/>
    <n v="1"/>
    <n v="118"/>
    <n v="1.5329999999999999"/>
    <n v="0.10100000000000001"/>
    <n v="10943"/>
    <n v="71.099999999999994"/>
    <n v="53.3"/>
    <x v="252"/>
    <n v="26.8"/>
    <x v="0"/>
    <n v="0"/>
  </r>
  <r>
    <x v="22"/>
    <n v="23"/>
    <x v="1"/>
    <x v="1"/>
    <n v="2"/>
    <x v="2"/>
    <x v="0"/>
    <n v="3"/>
    <n v="10"/>
    <x v="1060"/>
    <x v="1055"/>
    <n v="200059"/>
    <n v="0"/>
    <x v="323"/>
    <n v="1"/>
    <n v="118"/>
    <n v="1.5329999999999999"/>
    <n v="0.10100000000000001"/>
    <n v="10943"/>
    <n v="71.099999999999994"/>
    <n v="53.3"/>
    <x v="252"/>
    <n v="26.8"/>
    <x v="0"/>
    <n v="0"/>
  </r>
  <r>
    <x v="22"/>
    <n v="23"/>
    <x v="1"/>
    <x v="2"/>
    <n v="3"/>
    <x v="0"/>
    <x v="0"/>
    <n v="1"/>
    <n v="5"/>
    <x v="1061"/>
    <x v="1056"/>
    <n v="125229"/>
    <n v="0"/>
    <x v="337"/>
    <n v="2.1"/>
    <n v="124"/>
    <n v="1.4870000000000001"/>
    <n v="0.10100000000000001"/>
    <n v="10924"/>
    <n v="71.900000000000006"/>
    <n v="55"/>
    <x v="253"/>
    <n v="27.8"/>
    <x v="0"/>
    <n v="0"/>
  </r>
  <r>
    <x v="22"/>
    <n v="23"/>
    <x v="1"/>
    <x v="2"/>
    <n v="3"/>
    <x v="1"/>
    <x v="0"/>
    <n v="2"/>
    <n v="23"/>
    <x v="1062"/>
    <x v="1057"/>
    <n v="499725"/>
    <n v="0"/>
    <x v="337"/>
    <n v="2.1"/>
    <n v="124"/>
    <n v="1.4870000000000001"/>
    <n v="0.10100000000000001"/>
    <n v="10924"/>
    <n v="71.900000000000006"/>
    <n v="55"/>
    <x v="253"/>
    <n v="27.8"/>
    <x v="896"/>
    <n v="0"/>
  </r>
  <r>
    <x v="22"/>
    <n v="23"/>
    <x v="1"/>
    <x v="2"/>
    <n v="3"/>
    <x v="2"/>
    <x v="0"/>
    <n v="3"/>
    <n v="13"/>
    <x v="1063"/>
    <x v="1058"/>
    <n v="210835"/>
    <n v="0.01"/>
    <x v="337"/>
    <n v="2.1"/>
    <n v="124"/>
    <n v="1.4870000000000001"/>
    <n v="0.10100000000000001"/>
    <n v="10924"/>
    <n v="71.900000000000006"/>
    <n v="55"/>
    <x v="253"/>
    <n v="27.8"/>
    <x v="897"/>
    <n v="0"/>
  </r>
  <r>
    <x v="22"/>
    <n v="23"/>
    <x v="1"/>
    <x v="3"/>
    <n v="4"/>
    <x v="0"/>
    <x v="0"/>
    <n v="1"/>
    <n v="9"/>
    <x v="1064"/>
    <x v="1059"/>
    <n v="125383"/>
    <n v="0.01"/>
    <x v="49"/>
    <n v="2.8"/>
    <n v="123"/>
    <n v="1.43"/>
    <n v="0.10100000000000001"/>
    <n v="10837"/>
    <n v="72.2"/>
    <n v="56.9"/>
    <x v="254"/>
    <n v="29.6"/>
    <x v="779"/>
    <n v="0"/>
  </r>
  <r>
    <x v="22"/>
    <n v="23"/>
    <x v="1"/>
    <x v="3"/>
    <n v="4"/>
    <x v="1"/>
    <x v="0"/>
    <n v="2"/>
    <n v="51"/>
    <x v="1065"/>
    <x v="1060"/>
    <n v="511202"/>
    <n v="0.01"/>
    <x v="49"/>
    <n v="2.8"/>
    <n v="123"/>
    <n v="1.43"/>
    <n v="0.10100000000000001"/>
    <n v="10837"/>
    <n v="72.2"/>
    <n v="56.9"/>
    <x v="254"/>
    <n v="29.6"/>
    <x v="139"/>
    <n v="0"/>
  </r>
  <r>
    <x v="22"/>
    <n v="23"/>
    <x v="1"/>
    <x v="3"/>
    <n v="4"/>
    <x v="2"/>
    <x v="0"/>
    <n v="3"/>
    <n v="30"/>
    <x v="1066"/>
    <x v="1061"/>
    <n v="209971"/>
    <n v="0.01"/>
    <x v="49"/>
    <n v="2.8"/>
    <n v="123"/>
    <n v="1.43"/>
    <n v="0.10100000000000001"/>
    <n v="10837"/>
    <n v="72.2"/>
    <n v="56.9"/>
    <x v="254"/>
    <n v="29.6"/>
    <x v="898"/>
    <n v="0"/>
  </r>
  <r>
    <x v="22"/>
    <n v="23"/>
    <x v="1"/>
    <x v="4"/>
    <n v="5"/>
    <x v="0"/>
    <x v="0"/>
    <n v="1"/>
    <n v="5"/>
    <x v="1067"/>
    <x v="1062"/>
    <n v="130099"/>
    <n v="0"/>
    <x v="325"/>
    <n v="3.8"/>
    <n v="144"/>
    <n v="1.393"/>
    <n v="0.10199999999999999"/>
    <n v="10796"/>
    <n v="73.099999999999994"/>
    <n v="58.6"/>
    <x v="255"/>
    <n v="29.8"/>
    <x v="0"/>
    <n v="0"/>
  </r>
  <r>
    <x v="22"/>
    <n v="23"/>
    <x v="1"/>
    <x v="4"/>
    <n v="5"/>
    <x v="1"/>
    <x v="0"/>
    <n v="2"/>
    <n v="52"/>
    <x v="1068"/>
    <x v="1063"/>
    <n v="515855"/>
    <n v="0.01"/>
    <x v="325"/>
    <n v="3.8"/>
    <n v="144"/>
    <n v="1.393"/>
    <n v="0.10199999999999999"/>
    <n v="10796"/>
    <n v="73.099999999999994"/>
    <n v="58.6"/>
    <x v="255"/>
    <n v="29.8"/>
    <x v="481"/>
    <n v="0"/>
  </r>
  <r>
    <x v="22"/>
    <n v="23"/>
    <x v="1"/>
    <x v="4"/>
    <n v="5"/>
    <x v="2"/>
    <x v="0"/>
    <n v="3"/>
    <n v="32"/>
    <x v="1069"/>
    <x v="1064"/>
    <n v="223759"/>
    <n v="0.01"/>
    <x v="325"/>
    <n v="3.8"/>
    <n v="144"/>
    <n v="1.393"/>
    <n v="0.10199999999999999"/>
    <n v="10796"/>
    <n v="73.099999999999994"/>
    <n v="58.6"/>
    <x v="255"/>
    <n v="29.8"/>
    <x v="899"/>
    <n v="0"/>
  </r>
  <r>
    <x v="22"/>
    <n v="23"/>
    <x v="1"/>
    <x v="5"/>
    <n v="6"/>
    <x v="0"/>
    <x v="0"/>
    <n v="1"/>
    <n v="5"/>
    <x v="1070"/>
    <x v="1065"/>
    <n v="146860"/>
    <n v="0"/>
    <x v="338"/>
    <n v="5.0999999999999996"/>
    <n v="162"/>
    <n v="1.36"/>
    <n v="0.1"/>
    <n v="10985"/>
    <n v="73.099999999999994"/>
    <n v="59"/>
    <x v="256"/>
    <n v="31.8"/>
    <x v="0"/>
    <n v="0"/>
  </r>
  <r>
    <x v="22"/>
    <n v="23"/>
    <x v="1"/>
    <x v="5"/>
    <n v="6"/>
    <x v="1"/>
    <x v="0"/>
    <n v="2"/>
    <n v="58"/>
    <x v="1071"/>
    <x v="1066"/>
    <n v="581074"/>
    <n v="0.01"/>
    <x v="338"/>
    <n v="5.0999999999999996"/>
    <n v="162"/>
    <n v="1.36"/>
    <n v="0.1"/>
    <n v="10985"/>
    <n v="73.099999999999994"/>
    <n v="59"/>
    <x v="256"/>
    <n v="31.8"/>
    <x v="900"/>
    <n v="0"/>
  </r>
  <r>
    <x v="22"/>
    <n v="23"/>
    <x v="1"/>
    <x v="5"/>
    <n v="6"/>
    <x v="2"/>
    <x v="0"/>
    <n v="3"/>
    <n v="35"/>
    <x v="1072"/>
    <x v="1067"/>
    <n v="243533"/>
    <n v="0.01"/>
    <x v="338"/>
    <n v="5.0999999999999996"/>
    <n v="162"/>
    <n v="1.36"/>
    <n v="0.1"/>
    <n v="10985"/>
    <n v="73.099999999999994"/>
    <n v="59"/>
    <x v="256"/>
    <n v="31.8"/>
    <x v="901"/>
    <n v="0"/>
  </r>
  <r>
    <x v="22"/>
    <n v="23"/>
    <x v="1"/>
    <x v="6"/>
    <n v="7"/>
    <x v="0"/>
    <x v="0"/>
    <n v="1"/>
    <n v="10"/>
    <x v="1073"/>
    <x v="1068"/>
    <n v="142505"/>
    <n v="0.01"/>
    <x v="339"/>
    <n v="5.9"/>
    <n v="177"/>
    <n v="1.3069999999999999"/>
    <n v="9.5000000000000001E-2"/>
    <n v="10520"/>
    <n v="73.7"/>
    <n v="59.3"/>
    <x v="257"/>
    <n v="35.299999999999997"/>
    <x v="902"/>
    <n v="0"/>
  </r>
  <r>
    <x v="22"/>
    <n v="23"/>
    <x v="1"/>
    <x v="6"/>
    <n v="7"/>
    <x v="1"/>
    <x v="0"/>
    <n v="2"/>
    <n v="113"/>
    <x v="1074"/>
    <x v="1069"/>
    <n v="565100"/>
    <n v="0.02"/>
    <x v="339"/>
    <n v="5.9"/>
    <n v="177"/>
    <n v="1.3069999999999999"/>
    <n v="9.5000000000000001E-2"/>
    <n v="10520"/>
    <n v="73.7"/>
    <n v="59.3"/>
    <x v="257"/>
    <n v="35.299999999999997"/>
    <x v="903"/>
    <n v="0"/>
  </r>
  <r>
    <x v="22"/>
    <n v="23"/>
    <x v="1"/>
    <x v="6"/>
    <n v="7"/>
    <x v="2"/>
    <x v="0"/>
    <n v="3"/>
    <n v="69"/>
    <x v="1075"/>
    <x v="1070"/>
    <n v="236443"/>
    <n v="0.03"/>
    <x v="339"/>
    <n v="5.9"/>
    <n v="177"/>
    <n v="1.3069999999999999"/>
    <n v="9.5000000000000001E-2"/>
    <n v="10520"/>
    <n v="73.7"/>
    <n v="59.3"/>
    <x v="257"/>
    <n v="35.299999999999997"/>
    <x v="904"/>
    <n v="0"/>
  </r>
  <r>
    <x v="22"/>
    <n v="23"/>
    <x v="1"/>
    <x v="7"/>
    <n v="8"/>
    <x v="0"/>
    <x v="0"/>
    <n v="1"/>
    <n v="21"/>
    <x v="1076"/>
    <x v="1071"/>
    <n v="146846"/>
    <n v="0.01"/>
    <x v="340"/>
    <n v="7.1"/>
    <n v="202"/>
    <n v="1.2"/>
    <n v="8.8999999999999996E-2"/>
    <n v="9859"/>
    <n v="74.8"/>
    <n v="58.3"/>
    <x v="258"/>
    <n v="37"/>
    <x v="905"/>
    <n v="0"/>
  </r>
  <r>
    <x v="22"/>
    <n v="23"/>
    <x v="1"/>
    <x v="7"/>
    <n v="8"/>
    <x v="1"/>
    <x v="0"/>
    <n v="2"/>
    <n v="237"/>
    <x v="1077"/>
    <x v="1072"/>
    <n v="592470"/>
    <n v="0.04"/>
    <x v="340"/>
    <n v="7.1"/>
    <n v="202"/>
    <n v="1.2"/>
    <n v="8.8999999999999996E-2"/>
    <n v="9859"/>
    <n v="74.8"/>
    <n v="58.3"/>
    <x v="258"/>
    <n v="37"/>
    <x v="906"/>
    <n v="0"/>
  </r>
  <r>
    <x v="22"/>
    <n v="23"/>
    <x v="1"/>
    <x v="7"/>
    <n v="8"/>
    <x v="2"/>
    <x v="0"/>
    <n v="3"/>
    <n v="142"/>
    <x v="1078"/>
    <x v="1073"/>
    <n v="244150"/>
    <n v="0.06"/>
    <x v="340"/>
    <n v="7.1"/>
    <n v="202"/>
    <n v="1.2"/>
    <n v="8.8999999999999996E-2"/>
    <n v="9859"/>
    <n v="74.8"/>
    <n v="58.3"/>
    <x v="258"/>
    <n v="37"/>
    <x v="907"/>
    <n v="0"/>
  </r>
  <r>
    <x v="22"/>
    <n v="23"/>
    <x v="1"/>
    <x v="8"/>
    <n v="9"/>
    <x v="0"/>
    <x v="0"/>
    <n v="1"/>
    <n v="26"/>
    <x v="1079"/>
    <x v="1074"/>
    <n v="104091"/>
    <n v="0.02"/>
    <x v="63"/>
    <n v="9.5"/>
    <n v="238"/>
    <n v="1.097"/>
    <n v="8.2000000000000003E-2"/>
    <n v="9430"/>
    <n v="75.3"/>
    <n v="58.3"/>
    <x v="259"/>
    <n v="40.299999999999997"/>
    <x v="908"/>
    <n v="0"/>
  </r>
  <r>
    <x v="22"/>
    <n v="23"/>
    <x v="1"/>
    <x v="8"/>
    <n v="9"/>
    <x v="1"/>
    <x v="0"/>
    <n v="2"/>
    <n v="299"/>
    <x v="1080"/>
    <x v="1075"/>
    <n v="426783"/>
    <n v="7.0000000000000007E-2"/>
    <x v="63"/>
    <n v="9.5"/>
    <n v="238"/>
    <n v="1.097"/>
    <n v="8.2000000000000003E-2"/>
    <n v="9430"/>
    <n v="75.3"/>
    <n v="58.3"/>
    <x v="259"/>
    <n v="40.299999999999997"/>
    <x v="909"/>
    <n v="0"/>
  </r>
  <r>
    <x v="22"/>
    <n v="23"/>
    <x v="1"/>
    <x v="8"/>
    <n v="9"/>
    <x v="2"/>
    <x v="0"/>
    <n v="3"/>
    <n v="179"/>
    <x v="1081"/>
    <x v="1076"/>
    <n v="176082"/>
    <n v="0.1"/>
    <x v="63"/>
    <n v="9.5"/>
    <n v="238"/>
    <n v="1.097"/>
    <n v="8.2000000000000003E-2"/>
    <n v="9430"/>
    <n v="75.3"/>
    <n v="58.3"/>
    <x v="259"/>
    <n v="40.299999999999997"/>
    <x v="910"/>
    <n v="0"/>
  </r>
  <r>
    <x v="22"/>
    <n v="23"/>
    <x v="1"/>
    <x v="9"/>
    <n v="10"/>
    <x v="0"/>
    <x v="0"/>
    <n v="1"/>
    <n v="45"/>
    <x v="1082"/>
    <x v="1077"/>
    <n v="71963"/>
    <n v="0.06"/>
    <x v="341"/>
    <n v="9.6999999999999993"/>
    <n v="279"/>
    <n v="1.0329999999999999"/>
    <n v="7.4999999999999997E-2"/>
    <n v="9049"/>
    <n v="75.400000000000006"/>
    <n v="55.6"/>
    <x v="260"/>
    <n v="42.7"/>
    <x v="423"/>
    <n v="0"/>
  </r>
  <r>
    <x v="22"/>
    <n v="23"/>
    <x v="1"/>
    <x v="9"/>
    <n v="10"/>
    <x v="1"/>
    <x v="0"/>
    <n v="2"/>
    <n v="512"/>
    <x v="1083"/>
    <x v="1078"/>
    <n v="284310"/>
    <n v="0.18"/>
    <x v="341"/>
    <n v="9.6999999999999993"/>
    <n v="279"/>
    <n v="1.0329999999999999"/>
    <n v="7.4999999999999997E-2"/>
    <n v="9049"/>
    <n v="75.400000000000006"/>
    <n v="55.6"/>
    <x v="260"/>
    <n v="42.7"/>
    <x v="911"/>
    <n v="0"/>
  </r>
  <r>
    <x v="22"/>
    <n v="23"/>
    <x v="1"/>
    <x v="9"/>
    <n v="10"/>
    <x v="2"/>
    <x v="0"/>
    <n v="3"/>
    <n v="310"/>
    <x v="1084"/>
    <x v="1079"/>
    <n v="118609"/>
    <n v="0.26"/>
    <x v="341"/>
    <n v="9.6999999999999993"/>
    <n v="279"/>
    <n v="1.0329999999999999"/>
    <n v="7.4999999999999997E-2"/>
    <n v="9049"/>
    <n v="75.400000000000006"/>
    <n v="55.6"/>
    <x v="260"/>
    <n v="42.7"/>
    <x v="912"/>
    <n v="0"/>
  </r>
  <r>
    <x v="22"/>
    <n v="23"/>
    <x v="1"/>
    <x v="10"/>
    <n v="11"/>
    <x v="0"/>
    <x v="0"/>
    <n v="1"/>
    <n v="108"/>
    <x v="1085"/>
    <x v="1080"/>
    <n v="114158"/>
    <n v="0.09"/>
    <x v="342"/>
    <n v="13.7"/>
    <n v="308"/>
    <n v="1.0169999999999999"/>
    <n v="7.3999999999999996E-2"/>
    <n v="9518"/>
    <n v="76.5"/>
    <n v="54.1"/>
    <x v="261"/>
    <n v="46"/>
    <x v="913"/>
    <n v="0"/>
  </r>
  <r>
    <x v="22"/>
    <n v="23"/>
    <x v="1"/>
    <x v="10"/>
    <n v="11"/>
    <x v="1"/>
    <x v="0"/>
    <n v="2"/>
    <n v="1213"/>
    <x v="1086"/>
    <x v="1081"/>
    <n v="449086"/>
    <n v="0.27"/>
    <x v="342"/>
    <n v="13.7"/>
    <n v="308"/>
    <n v="1.0169999999999999"/>
    <n v="7.3999999999999996E-2"/>
    <n v="9518"/>
    <n v="76.5"/>
    <n v="54.1"/>
    <x v="261"/>
    <n v="46"/>
    <x v="914"/>
    <n v="0"/>
  </r>
  <r>
    <x v="22"/>
    <n v="23"/>
    <x v="1"/>
    <x v="10"/>
    <n v="11"/>
    <x v="2"/>
    <x v="0"/>
    <n v="3"/>
    <n v="735"/>
    <x v="1087"/>
    <x v="1082"/>
    <n v="187657"/>
    <n v="0.39"/>
    <x v="342"/>
    <n v="13.7"/>
    <n v="308"/>
    <n v="1.0169999999999999"/>
    <n v="7.3999999999999996E-2"/>
    <n v="9518"/>
    <n v="76.5"/>
    <n v="54.1"/>
    <x v="261"/>
    <n v="46"/>
    <x v="915"/>
    <n v="0"/>
  </r>
  <r>
    <x v="22"/>
    <n v="23"/>
    <x v="1"/>
    <x v="11"/>
    <n v="12"/>
    <x v="0"/>
    <x v="0"/>
    <n v="1"/>
    <n v="260"/>
    <x v="1088"/>
    <x v="1083"/>
    <n v="114444"/>
    <n v="0.23"/>
    <x v="343"/>
    <n v="21.5"/>
    <n v="340"/>
    <n v="1.0429999999999999"/>
    <n v="7.6999999999999999E-2"/>
    <n v="10026"/>
    <n v="76.3"/>
    <n v="53.8"/>
    <x v="262"/>
    <n v="48.6"/>
    <x v="916"/>
    <n v="0"/>
  </r>
  <r>
    <x v="22"/>
    <n v="23"/>
    <x v="1"/>
    <x v="11"/>
    <n v="12"/>
    <x v="1"/>
    <x v="0"/>
    <n v="2"/>
    <n v="3108"/>
    <x v="1089"/>
    <x v="1084"/>
    <n v="478106"/>
    <n v="0.65"/>
    <x v="343"/>
    <n v="21.5"/>
    <n v="340"/>
    <n v="1.0429999999999999"/>
    <n v="7.6999999999999999E-2"/>
    <n v="10026"/>
    <n v="76.3"/>
    <n v="53.8"/>
    <x v="262"/>
    <n v="48.6"/>
    <x v="917"/>
    <n v="0"/>
  </r>
  <r>
    <x v="22"/>
    <n v="23"/>
    <x v="1"/>
    <x v="11"/>
    <n v="12"/>
    <x v="2"/>
    <x v="0"/>
    <n v="3"/>
    <n v="1840"/>
    <x v="1090"/>
    <x v="1085"/>
    <n v="195257"/>
    <n v="0.94"/>
    <x v="343"/>
    <n v="21.5"/>
    <n v="340"/>
    <n v="1.0429999999999999"/>
    <n v="7.6999999999999999E-2"/>
    <n v="10026"/>
    <n v="76.3"/>
    <n v="53.8"/>
    <x v="262"/>
    <n v="48.6"/>
    <x v="918"/>
    <n v="0"/>
  </r>
  <r>
    <x v="22"/>
    <n v="23"/>
    <x v="1"/>
    <x v="12"/>
    <n v="13"/>
    <x v="0"/>
    <x v="0"/>
    <n v="1"/>
    <n v="452"/>
    <x v="1091"/>
    <x v="1086"/>
    <n v="118443"/>
    <n v="0.38"/>
    <x v="344"/>
    <n v="26.3"/>
    <n v="374"/>
    <n v="1.07"/>
    <n v="8.3000000000000004E-2"/>
    <n v="10587"/>
    <n v="76.7"/>
    <n v="55"/>
    <x v="263"/>
    <n v="52.4"/>
    <x v="919"/>
    <n v="0"/>
  </r>
  <r>
    <x v="22"/>
    <n v="23"/>
    <x v="1"/>
    <x v="12"/>
    <n v="13"/>
    <x v="1"/>
    <x v="0"/>
    <n v="2"/>
    <n v="5149"/>
    <x v="1092"/>
    <x v="1087"/>
    <n v="472396"/>
    <n v="1.0900000000000001"/>
    <x v="344"/>
    <n v="26.3"/>
    <n v="374"/>
    <n v="1.07"/>
    <n v="8.3000000000000004E-2"/>
    <n v="10587"/>
    <n v="76.7"/>
    <n v="55"/>
    <x v="263"/>
    <n v="52.4"/>
    <x v="920"/>
    <n v="0"/>
  </r>
  <r>
    <x v="22"/>
    <n v="23"/>
    <x v="1"/>
    <x v="12"/>
    <n v="13"/>
    <x v="2"/>
    <x v="0"/>
    <n v="3"/>
    <n v="3139"/>
    <x v="1093"/>
    <x v="1088"/>
    <n v="198613"/>
    <n v="1.58"/>
    <x v="344"/>
    <n v="26.3"/>
    <n v="374"/>
    <n v="1.07"/>
    <n v="8.3000000000000004E-2"/>
    <n v="10587"/>
    <n v="76.7"/>
    <n v="55"/>
    <x v="263"/>
    <n v="52.4"/>
    <x v="921"/>
    <n v="0"/>
  </r>
  <r>
    <x v="22"/>
    <n v="23"/>
    <x v="1"/>
    <x v="13"/>
    <n v="14"/>
    <x v="0"/>
    <x v="0"/>
    <n v="1"/>
    <n v="4067"/>
    <x v="1094"/>
    <x v="1089"/>
    <n v="178749"/>
    <n v="2.2799999999999998"/>
    <x v="345"/>
    <n v="31.1"/>
    <n v="395"/>
    <n v="1.083"/>
    <n v="8.7999999999999995E-2"/>
    <n v="11100"/>
    <n v="77.5"/>
    <n v="55.5"/>
    <x v="264"/>
    <n v="55.1"/>
    <x v="33"/>
    <n v="0"/>
  </r>
  <r>
    <x v="22"/>
    <n v="23"/>
    <x v="1"/>
    <x v="13"/>
    <n v="14"/>
    <x v="1"/>
    <x v="0"/>
    <n v="2"/>
    <n v="46300"/>
    <x v="1095"/>
    <x v="1090"/>
    <n v="712300"/>
    <n v="6.5"/>
    <x v="345"/>
    <n v="31.1"/>
    <n v="395"/>
    <n v="1.083"/>
    <n v="8.7999999999999995E-2"/>
    <n v="11100"/>
    <n v="77.5"/>
    <n v="55.5"/>
    <x v="264"/>
    <n v="55.1"/>
    <x v="33"/>
    <n v="0"/>
  </r>
  <r>
    <x v="22"/>
    <n v="23"/>
    <x v="1"/>
    <x v="13"/>
    <n v="14"/>
    <x v="2"/>
    <x v="0"/>
    <n v="3"/>
    <n v="28260"/>
    <x v="1096"/>
    <x v="1091"/>
    <n v="299842"/>
    <n v="9.42"/>
    <x v="345"/>
    <n v="31.1"/>
    <n v="395"/>
    <n v="1.083"/>
    <n v="8.7999999999999995E-2"/>
    <n v="11100"/>
    <n v="77.5"/>
    <n v="55.5"/>
    <x v="264"/>
    <n v="55.1"/>
    <x v="33"/>
    <n v="0"/>
  </r>
  <r>
    <x v="22"/>
    <n v="23"/>
    <x v="1"/>
    <x v="14"/>
    <n v="15"/>
    <x v="0"/>
    <x v="0"/>
    <n v="1"/>
    <n v="5567"/>
    <x v="1097"/>
    <x v="1092"/>
    <n v="167067"/>
    <n v="3.33"/>
    <x v="346"/>
    <n v="27.7"/>
    <n v="418"/>
    <n v="1.06"/>
    <n v="9.4E-2"/>
    <n v="11175"/>
    <n v="77.7"/>
    <n v="54.4"/>
    <x v="27"/>
    <n v="58.1"/>
    <x v="922"/>
    <n v="0"/>
  </r>
  <r>
    <x v="22"/>
    <n v="23"/>
    <x v="1"/>
    <x v="14"/>
    <n v="15"/>
    <x v="1"/>
    <x v="0"/>
    <n v="2"/>
    <n v="63742"/>
    <x v="1098"/>
    <x v="1093"/>
    <n v="669558"/>
    <n v="9.52"/>
    <x v="346"/>
    <n v="27.7"/>
    <n v="418"/>
    <n v="1.06"/>
    <n v="9.4E-2"/>
    <n v="11175"/>
    <n v="77.7"/>
    <n v="54.4"/>
    <x v="27"/>
    <n v="58.1"/>
    <x v="923"/>
    <n v="0"/>
  </r>
  <r>
    <x v="22"/>
    <n v="23"/>
    <x v="1"/>
    <x v="14"/>
    <n v="15"/>
    <x v="2"/>
    <x v="0"/>
    <n v="3"/>
    <n v="38925"/>
    <x v="1099"/>
    <x v="1094"/>
    <n v="281982"/>
    <n v="13.8"/>
    <x v="346"/>
    <n v="27.7"/>
    <n v="418"/>
    <n v="1.06"/>
    <n v="9.4E-2"/>
    <n v="11175"/>
    <n v="77.7"/>
    <n v="54.4"/>
    <x v="27"/>
    <n v="58.1"/>
    <x v="924"/>
    <n v="0"/>
  </r>
  <r>
    <x v="22"/>
    <n v="23"/>
    <x v="1"/>
    <x v="15"/>
    <n v="16"/>
    <x v="0"/>
    <x v="0"/>
    <n v="1"/>
    <n v="6105"/>
    <x v="1100"/>
    <x v="1095"/>
    <n v="161216"/>
    <n v="3.79"/>
    <x v="347"/>
    <n v="36.5"/>
    <n v="434"/>
    <n v="1.02"/>
    <n v="0.1"/>
    <n v="11439"/>
    <n v="77.400000000000006"/>
    <n v="53.9"/>
    <x v="265"/>
    <n v="61"/>
    <x v="925"/>
    <n v="0"/>
  </r>
  <r>
    <x v="22"/>
    <n v="23"/>
    <x v="1"/>
    <x v="15"/>
    <n v="16"/>
    <x v="1"/>
    <x v="0"/>
    <n v="2"/>
    <n v="70514"/>
    <x v="1101"/>
    <x v="1096"/>
    <n v="651705"/>
    <n v="10.82"/>
    <x v="347"/>
    <n v="36.5"/>
    <n v="434"/>
    <n v="1.02"/>
    <n v="0.1"/>
    <n v="11439"/>
    <n v="77.400000000000006"/>
    <n v="53.9"/>
    <x v="265"/>
    <n v="61"/>
    <x v="926"/>
    <n v="0"/>
  </r>
  <r>
    <x v="22"/>
    <n v="23"/>
    <x v="1"/>
    <x v="15"/>
    <n v="16"/>
    <x v="2"/>
    <x v="0"/>
    <n v="3"/>
    <n v="42921"/>
    <x v="1102"/>
    <x v="1097"/>
    <n v="273577"/>
    <n v="15.69"/>
    <x v="347"/>
    <n v="36.5"/>
    <n v="434"/>
    <n v="1.02"/>
    <n v="0.1"/>
    <n v="11439"/>
    <n v="77.400000000000006"/>
    <n v="53.9"/>
    <x v="265"/>
    <n v="61"/>
    <x v="927"/>
    <n v="0"/>
  </r>
  <r>
    <x v="23"/>
    <n v="24"/>
    <x v="1"/>
    <x v="0"/>
    <n v="1"/>
    <x v="0"/>
    <x v="0"/>
    <n v="1"/>
    <n v="35"/>
    <x v="1103"/>
    <x v="1098"/>
    <n v="305051"/>
    <n v="0.01"/>
    <x v="348"/>
    <n v="3"/>
    <n v="114"/>
    <n v="1.43"/>
    <n v="0.158"/>
    <n v="38619"/>
    <n v="81"/>
    <n v="118.2"/>
    <x v="266"/>
    <n v="54.9"/>
    <x v="0"/>
    <n v="0"/>
  </r>
  <r>
    <x v="23"/>
    <n v="24"/>
    <x v="1"/>
    <x v="0"/>
    <n v="1"/>
    <x v="1"/>
    <x v="0"/>
    <n v="2"/>
    <n v="414"/>
    <x v="1104"/>
    <x v="1099"/>
    <n v="1212522"/>
    <n v="0.03"/>
    <x v="348"/>
    <n v="3"/>
    <n v="114"/>
    <n v="1.43"/>
    <n v="0.158"/>
    <n v="38619"/>
    <n v="81"/>
    <n v="118.2"/>
    <x v="266"/>
    <n v="54.9"/>
    <x v="0"/>
    <n v="0"/>
  </r>
  <r>
    <x v="23"/>
    <n v="24"/>
    <x v="1"/>
    <x v="0"/>
    <n v="1"/>
    <x v="2"/>
    <x v="0"/>
    <n v="3"/>
    <n v="226"/>
    <x v="1105"/>
    <x v="1100"/>
    <n v="501179"/>
    <n v="0.05"/>
    <x v="348"/>
    <n v="3"/>
    <n v="114"/>
    <n v="1.43"/>
    <n v="0.158"/>
    <n v="38619"/>
    <n v="81"/>
    <n v="118.2"/>
    <x v="266"/>
    <n v="54.9"/>
    <x v="0"/>
    <n v="0"/>
  </r>
  <r>
    <x v="23"/>
    <n v="24"/>
    <x v="1"/>
    <x v="1"/>
    <n v="2"/>
    <x v="0"/>
    <x v="0"/>
    <n v="1"/>
    <n v="76"/>
    <x v="1106"/>
    <x v="1101"/>
    <n v="308819"/>
    <n v="0.02"/>
    <x v="349"/>
    <n v="4.4000000000000004"/>
    <n v="120"/>
    <n v="1.4"/>
    <n v="0.16800000000000001"/>
    <n v="40135"/>
    <n v="81.599999999999994"/>
    <n v="121.8"/>
    <x v="267"/>
    <n v="56.9"/>
    <x v="928"/>
    <n v="0"/>
  </r>
  <r>
    <x v="23"/>
    <n v="24"/>
    <x v="1"/>
    <x v="1"/>
    <n v="2"/>
    <x v="1"/>
    <x v="0"/>
    <n v="2"/>
    <n v="872"/>
    <x v="1107"/>
    <x v="1102"/>
    <n v="1245909"/>
    <n v="7.0000000000000007E-2"/>
    <x v="349"/>
    <n v="4.4000000000000004"/>
    <n v="120"/>
    <n v="1.4"/>
    <n v="0.16800000000000001"/>
    <n v="40135"/>
    <n v="81.599999999999994"/>
    <n v="121.8"/>
    <x v="267"/>
    <n v="56.9"/>
    <x v="929"/>
    <n v="0"/>
  </r>
  <r>
    <x v="23"/>
    <n v="24"/>
    <x v="1"/>
    <x v="1"/>
    <n v="2"/>
    <x v="2"/>
    <x v="0"/>
    <n v="3"/>
    <n v="520"/>
    <x v="1108"/>
    <x v="1103"/>
    <n v="512372"/>
    <n v="0.1"/>
    <x v="349"/>
    <n v="4.4000000000000004"/>
    <n v="120"/>
    <n v="1.4"/>
    <n v="0.16800000000000001"/>
    <n v="40135"/>
    <n v="81.599999999999994"/>
    <n v="121.8"/>
    <x v="267"/>
    <n v="56.9"/>
    <x v="930"/>
    <n v="0"/>
  </r>
  <r>
    <x v="23"/>
    <n v="24"/>
    <x v="1"/>
    <x v="2"/>
    <n v="3"/>
    <x v="0"/>
    <x v="0"/>
    <n v="1"/>
    <n v="126"/>
    <x v="1109"/>
    <x v="1104"/>
    <n v="327426"/>
    <n v="0.04"/>
    <x v="350"/>
    <n v="5.3"/>
    <n v="140"/>
    <n v="1.39"/>
    <n v="0.17599999999999999"/>
    <n v="41128"/>
    <n v="81.8"/>
    <n v="124.1"/>
    <x v="268"/>
    <n v="59.6"/>
    <x v="931"/>
    <n v="0"/>
  </r>
  <r>
    <x v="23"/>
    <n v="24"/>
    <x v="1"/>
    <x v="2"/>
    <n v="3"/>
    <x v="1"/>
    <x v="0"/>
    <n v="2"/>
    <n v="1441"/>
    <x v="1110"/>
    <x v="1105"/>
    <n v="1310056"/>
    <n v="0.11"/>
    <x v="350"/>
    <n v="5.3"/>
    <n v="140"/>
    <n v="1.39"/>
    <n v="0.17599999999999999"/>
    <n v="41128"/>
    <n v="81.8"/>
    <n v="124.1"/>
    <x v="268"/>
    <n v="59.6"/>
    <x v="932"/>
    <n v="0"/>
  </r>
  <r>
    <x v="23"/>
    <n v="24"/>
    <x v="1"/>
    <x v="2"/>
    <n v="3"/>
    <x v="2"/>
    <x v="0"/>
    <n v="3"/>
    <n v="889"/>
    <x v="1111"/>
    <x v="1106"/>
    <n v="557361"/>
    <n v="0.16"/>
    <x v="350"/>
    <n v="5.3"/>
    <n v="140"/>
    <n v="1.39"/>
    <n v="0.17599999999999999"/>
    <n v="41128"/>
    <n v="81.8"/>
    <n v="124.1"/>
    <x v="268"/>
    <n v="59.6"/>
    <x v="933"/>
    <n v="0"/>
  </r>
  <r>
    <x v="23"/>
    <n v="24"/>
    <x v="1"/>
    <x v="3"/>
    <n v="4"/>
    <x v="0"/>
    <x v="0"/>
    <n v="1"/>
    <n v="417"/>
    <x v="1112"/>
    <x v="1107"/>
    <n v="331065"/>
    <n v="0.13"/>
    <x v="351"/>
    <n v="7.3"/>
    <n v="146"/>
    <n v="1.38"/>
    <n v="0.187"/>
    <n v="42339"/>
    <n v="82.1"/>
    <n v="122.9"/>
    <x v="269"/>
    <n v="61.2"/>
    <x v="934"/>
    <n v="0"/>
  </r>
  <r>
    <x v="23"/>
    <n v="24"/>
    <x v="1"/>
    <x v="3"/>
    <n v="4"/>
    <x v="1"/>
    <x v="0"/>
    <n v="2"/>
    <n v="4898"/>
    <x v="1113"/>
    <x v="1108"/>
    <n v="1360568"/>
    <n v="0.36"/>
    <x v="351"/>
    <n v="7.3"/>
    <n v="146"/>
    <n v="1.38"/>
    <n v="0.187"/>
    <n v="42339"/>
    <n v="82.1"/>
    <n v="122.9"/>
    <x v="269"/>
    <n v="61.2"/>
    <x v="935"/>
    <n v="0"/>
  </r>
  <r>
    <x v="23"/>
    <n v="24"/>
    <x v="1"/>
    <x v="3"/>
    <n v="4"/>
    <x v="2"/>
    <x v="0"/>
    <n v="3"/>
    <n v="2890"/>
    <x v="1114"/>
    <x v="1109"/>
    <n v="553699"/>
    <n v="0.52"/>
    <x v="351"/>
    <n v="7.3"/>
    <n v="146"/>
    <n v="1.38"/>
    <n v="0.187"/>
    <n v="42339"/>
    <n v="82.1"/>
    <n v="122.9"/>
    <x v="269"/>
    <n v="61.2"/>
    <x v="936"/>
    <n v="0"/>
  </r>
  <r>
    <x v="23"/>
    <n v="24"/>
    <x v="1"/>
    <x v="4"/>
    <n v="5"/>
    <x v="0"/>
    <x v="0"/>
    <n v="1"/>
    <n v="710"/>
    <x v="1115"/>
    <x v="1110"/>
    <n v="382480"/>
    <n v="0.19"/>
    <x v="352"/>
    <n v="8.6"/>
    <n v="149"/>
    <n v="1.367"/>
    <n v="0.20200000000000001"/>
    <n v="43303"/>
    <n v="82.2"/>
    <n v="123.7"/>
    <x v="270"/>
    <n v="61.8"/>
    <x v="937"/>
    <n v="0"/>
  </r>
  <r>
    <x v="23"/>
    <n v="24"/>
    <x v="1"/>
    <x v="4"/>
    <n v="5"/>
    <x v="1"/>
    <x v="0"/>
    <n v="2"/>
    <n v="8006"/>
    <x v="1116"/>
    <x v="1111"/>
    <n v="1510592"/>
    <n v="0.53"/>
    <x v="352"/>
    <n v="8.6"/>
    <n v="149"/>
    <n v="1.367"/>
    <n v="0.20200000000000001"/>
    <n v="43303"/>
    <n v="82.2"/>
    <n v="123.7"/>
    <x v="270"/>
    <n v="61.8"/>
    <x v="938"/>
    <n v="0"/>
  </r>
  <r>
    <x v="23"/>
    <n v="24"/>
    <x v="1"/>
    <x v="4"/>
    <n v="5"/>
    <x v="2"/>
    <x v="0"/>
    <n v="3"/>
    <n v="4750"/>
    <x v="1117"/>
    <x v="1112"/>
    <n v="618136"/>
    <n v="0.77"/>
    <x v="352"/>
    <n v="8.6"/>
    <n v="149"/>
    <n v="1.367"/>
    <n v="0.20200000000000001"/>
    <n v="43303"/>
    <n v="82.2"/>
    <n v="123.7"/>
    <x v="270"/>
    <n v="61.8"/>
    <x v="939"/>
    <n v="0"/>
  </r>
  <r>
    <x v="23"/>
    <n v="24"/>
    <x v="1"/>
    <x v="5"/>
    <n v="6"/>
    <x v="0"/>
    <x v="0"/>
    <n v="1"/>
    <n v="1279"/>
    <x v="1118"/>
    <x v="1113"/>
    <n v="397294"/>
    <n v="0.32"/>
    <x v="353"/>
    <n v="9.5"/>
    <n v="165"/>
    <n v="1.373"/>
    <n v="0.21299999999999999"/>
    <n v="44387"/>
    <n v="82.4"/>
    <n v="123.3"/>
    <x v="271"/>
    <n v="64.5"/>
    <x v="940"/>
    <n v="0"/>
  </r>
  <r>
    <x v="23"/>
    <n v="24"/>
    <x v="1"/>
    <x v="5"/>
    <n v="6"/>
    <x v="1"/>
    <x v="0"/>
    <n v="2"/>
    <n v="14359"/>
    <x v="1119"/>
    <x v="1114"/>
    <n v="1560797"/>
    <n v="0.92"/>
    <x v="353"/>
    <n v="9.5"/>
    <n v="165"/>
    <n v="1.373"/>
    <n v="0.21299999999999999"/>
    <n v="44387"/>
    <n v="82.4"/>
    <n v="123.3"/>
    <x v="271"/>
    <n v="64.5"/>
    <x v="941"/>
    <n v="0"/>
  </r>
  <r>
    <x v="23"/>
    <n v="24"/>
    <x v="1"/>
    <x v="5"/>
    <n v="6"/>
    <x v="2"/>
    <x v="0"/>
    <n v="3"/>
    <n v="8793"/>
    <x v="1120"/>
    <x v="1115"/>
    <n v="659145"/>
    <n v="1.33"/>
    <x v="353"/>
    <n v="9.5"/>
    <n v="165"/>
    <n v="1.373"/>
    <n v="0.21299999999999999"/>
    <n v="44387"/>
    <n v="82.4"/>
    <n v="123.3"/>
    <x v="271"/>
    <n v="64.5"/>
    <x v="942"/>
    <n v="0"/>
  </r>
  <r>
    <x v="23"/>
    <n v="24"/>
    <x v="1"/>
    <x v="6"/>
    <n v="7"/>
    <x v="0"/>
    <x v="0"/>
    <n v="1"/>
    <n v="2053"/>
    <x v="1121"/>
    <x v="1116"/>
    <n v="391064"/>
    <n v="0.52"/>
    <x v="354"/>
    <n v="11.6"/>
    <n v="190"/>
    <n v="1.387"/>
    <n v="0.219"/>
    <n v="43543"/>
    <n v="83.3"/>
    <n v="122.3"/>
    <x v="272"/>
    <n v="69.599999999999994"/>
    <x v="943"/>
    <n v="0"/>
  </r>
  <r>
    <x v="23"/>
    <n v="24"/>
    <x v="1"/>
    <x v="6"/>
    <n v="7"/>
    <x v="1"/>
    <x v="0"/>
    <n v="2"/>
    <n v="23607"/>
    <x v="1122"/>
    <x v="1117"/>
    <n v="1573832"/>
    <n v="1.5"/>
    <x v="354"/>
    <n v="11.6"/>
    <n v="190"/>
    <n v="1.387"/>
    <n v="0.219"/>
    <n v="43543"/>
    <n v="83.3"/>
    <n v="122.3"/>
    <x v="272"/>
    <n v="69.599999999999994"/>
    <x v="944"/>
    <n v="0"/>
  </r>
  <r>
    <x v="23"/>
    <n v="24"/>
    <x v="1"/>
    <x v="6"/>
    <n v="7"/>
    <x v="2"/>
    <x v="0"/>
    <n v="3"/>
    <n v="14237"/>
    <x v="1123"/>
    <x v="1118"/>
    <n v="654569"/>
    <n v="2.1800000000000002"/>
    <x v="354"/>
    <n v="11.6"/>
    <n v="190"/>
    <n v="1.387"/>
    <n v="0.219"/>
    <n v="43543"/>
    <n v="83.3"/>
    <n v="122.3"/>
    <x v="272"/>
    <n v="69.599999999999994"/>
    <x v="945"/>
    <n v="0"/>
  </r>
  <r>
    <x v="23"/>
    <n v="24"/>
    <x v="1"/>
    <x v="7"/>
    <n v="8"/>
    <x v="0"/>
    <x v="0"/>
    <n v="1"/>
    <n v="2599"/>
    <x v="1124"/>
    <x v="1119"/>
    <n v="384753"/>
    <n v="0.68"/>
    <x v="355"/>
    <n v="13.5"/>
    <n v="223"/>
    <n v="1.387"/>
    <n v="0.222"/>
    <n v="43598"/>
    <n v="83.2"/>
    <n v="121.2"/>
    <x v="273"/>
    <n v="71.599999999999994"/>
    <x v="946"/>
    <n v="0"/>
  </r>
  <r>
    <x v="23"/>
    <n v="24"/>
    <x v="1"/>
    <x v="7"/>
    <n v="8"/>
    <x v="1"/>
    <x v="0"/>
    <n v="2"/>
    <n v="29540"/>
    <x v="1125"/>
    <x v="1120"/>
    <n v="1530579"/>
    <n v="1.93"/>
    <x v="355"/>
    <n v="13.5"/>
    <n v="223"/>
    <n v="1.387"/>
    <n v="0.222"/>
    <n v="43598"/>
    <n v="83.2"/>
    <n v="121.2"/>
    <x v="273"/>
    <n v="71.599999999999994"/>
    <x v="947"/>
    <n v="0"/>
  </r>
  <r>
    <x v="23"/>
    <n v="24"/>
    <x v="1"/>
    <x v="7"/>
    <n v="8"/>
    <x v="2"/>
    <x v="0"/>
    <n v="3"/>
    <n v="17799"/>
    <x v="1126"/>
    <x v="1121"/>
    <n v="636029"/>
    <n v="2.8"/>
    <x v="355"/>
    <n v="13.5"/>
    <n v="223"/>
    <n v="1.387"/>
    <n v="0.222"/>
    <n v="43598"/>
    <n v="83.2"/>
    <n v="121.2"/>
    <x v="273"/>
    <n v="71.599999999999994"/>
    <x v="948"/>
    <n v="0"/>
  </r>
  <r>
    <x v="23"/>
    <n v="24"/>
    <x v="1"/>
    <x v="8"/>
    <n v="9"/>
    <x v="0"/>
    <x v="0"/>
    <n v="1"/>
    <n v="3231"/>
    <x v="1127"/>
    <x v="1122"/>
    <n v="370741"/>
    <n v="0.87"/>
    <x v="356"/>
    <n v="16.399999999999999"/>
    <n v="265"/>
    <n v="1.397"/>
    <n v="0.22800000000000001"/>
    <n v="43026"/>
    <n v="83.4"/>
    <n v="119.5"/>
    <x v="274"/>
    <n v="73.900000000000006"/>
    <x v="949"/>
    <n v="0"/>
  </r>
  <r>
    <x v="23"/>
    <n v="24"/>
    <x v="1"/>
    <x v="8"/>
    <n v="9"/>
    <x v="1"/>
    <x v="0"/>
    <n v="2"/>
    <n v="36411"/>
    <x v="1128"/>
    <x v="1123"/>
    <n v="1462274"/>
    <n v="2.4900000000000002"/>
    <x v="356"/>
    <n v="16.399999999999999"/>
    <n v="265"/>
    <n v="1.397"/>
    <n v="0.22800000000000001"/>
    <n v="43026"/>
    <n v="83.4"/>
    <n v="119.5"/>
    <x v="274"/>
    <n v="73.900000000000006"/>
    <x v="950"/>
    <n v="0"/>
  </r>
  <r>
    <x v="23"/>
    <n v="24"/>
    <x v="1"/>
    <x v="8"/>
    <n v="9"/>
    <x v="2"/>
    <x v="0"/>
    <n v="3"/>
    <n v="22252"/>
    <x v="1129"/>
    <x v="1124"/>
    <n v="616317"/>
    <n v="3.61"/>
    <x v="356"/>
    <n v="16.399999999999999"/>
    <n v="265"/>
    <n v="1.397"/>
    <n v="0.22800000000000001"/>
    <n v="43026"/>
    <n v="83.4"/>
    <n v="119.5"/>
    <x v="274"/>
    <n v="73.900000000000006"/>
    <x v="948"/>
    <n v="0"/>
  </r>
  <r>
    <x v="23"/>
    <n v="24"/>
    <x v="1"/>
    <x v="9"/>
    <n v="10"/>
    <x v="0"/>
    <x v="0"/>
    <n v="1"/>
    <n v="3896"/>
    <x v="1130"/>
    <x v="1125"/>
    <n v="340368"/>
    <n v="1.1399999999999999"/>
    <x v="357"/>
    <n v="18"/>
    <n v="300"/>
    <n v="1.4630000000000001"/>
    <n v="0.23400000000000001"/>
    <n v="42135"/>
    <n v="83.7"/>
    <n v="113.4"/>
    <x v="275"/>
    <n v="77.099999999999994"/>
    <x v="951"/>
    <n v="0"/>
  </r>
  <r>
    <x v="23"/>
    <n v="24"/>
    <x v="1"/>
    <x v="9"/>
    <n v="10"/>
    <x v="1"/>
    <x v="0"/>
    <n v="2"/>
    <n v="45266"/>
    <x v="1131"/>
    <x v="1126"/>
    <n v="1384270"/>
    <n v="3.27"/>
    <x v="357"/>
    <n v="18"/>
    <n v="300"/>
    <n v="1.4630000000000001"/>
    <n v="0.23400000000000001"/>
    <n v="42135"/>
    <n v="83.7"/>
    <n v="113.4"/>
    <x v="275"/>
    <n v="77.099999999999994"/>
    <x v="949"/>
    <n v="0"/>
  </r>
  <r>
    <x v="23"/>
    <n v="24"/>
    <x v="1"/>
    <x v="9"/>
    <n v="10"/>
    <x v="2"/>
    <x v="0"/>
    <n v="3"/>
    <n v="26642"/>
    <x v="1132"/>
    <x v="1127"/>
    <n v="561892"/>
    <n v="4.74"/>
    <x v="357"/>
    <n v="18"/>
    <n v="300"/>
    <n v="1.4630000000000001"/>
    <n v="0.23400000000000001"/>
    <n v="42135"/>
    <n v="83.7"/>
    <n v="113.4"/>
    <x v="275"/>
    <n v="77.099999999999994"/>
    <x v="952"/>
    <n v="0"/>
  </r>
  <r>
    <x v="23"/>
    <n v="24"/>
    <x v="1"/>
    <x v="10"/>
    <n v="11"/>
    <x v="0"/>
    <x v="0"/>
    <n v="1"/>
    <n v="9287"/>
    <x v="1133"/>
    <x v="1128"/>
    <n v="243219"/>
    <n v="3.82"/>
    <x v="358"/>
    <n v="19.399999999999999"/>
    <n v="338"/>
    <n v="1.627"/>
    <n v="0.25700000000000001"/>
    <n v="44242"/>
    <n v="83.9"/>
    <n v="108.3"/>
    <x v="276"/>
    <n v="79.400000000000006"/>
    <x v="953"/>
    <n v="0"/>
  </r>
  <r>
    <x v="23"/>
    <n v="24"/>
    <x v="1"/>
    <x v="10"/>
    <n v="11"/>
    <x v="1"/>
    <x v="0"/>
    <n v="2"/>
    <n v="104287"/>
    <x v="1134"/>
    <x v="1129"/>
    <n v="955880"/>
    <n v="10.91"/>
    <x v="358"/>
    <n v="19.399999999999999"/>
    <n v="338"/>
    <n v="1.627"/>
    <n v="0.25700000000000001"/>
    <n v="44242"/>
    <n v="83.9"/>
    <n v="108.3"/>
    <x v="276"/>
    <n v="79.400000000000006"/>
    <x v="954"/>
    <n v="0"/>
  </r>
  <r>
    <x v="23"/>
    <n v="24"/>
    <x v="1"/>
    <x v="10"/>
    <n v="11"/>
    <x v="2"/>
    <x v="0"/>
    <n v="3"/>
    <n v="64152"/>
    <x v="1135"/>
    <x v="1130"/>
    <n v="405523"/>
    <n v="15.82"/>
    <x v="358"/>
    <n v="19.399999999999999"/>
    <n v="338"/>
    <n v="1.627"/>
    <n v="0.25700000000000001"/>
    <n v="44242"/>
    <n v="83.9"/>
    <n v="108.3"/>
    <x v="276"/>
    <n v="79.400000000000006"/>
    <x v="955"/>
    <n v="0"/>
  </r>
  <r>
    <x v="23"/>
    <n v="24"/>
    <x v="1"/>
    <x v="11"/>
    <n v="12"/>
    <x v="0"/>
    <x v="0"/>
    <n v="1"/>
    <n v="16747"/>
    <x v="1136"/>
    <x v="1131"/>
    <n v="252638"/>
    <n v="6.63"/>
    <x v="359"/>
    <n v="22.1"/>
    <n v="370"/>
    <n v="1.7829999999999999"/>
    <n v="0.28999999999999998"/>
    <n v="44705"/>
    <n v="84"/>
    <n v="105.8"/>
    <x v="277"/>
    <n v="83.6"/>
    <x v="956"/>
    <n v="0"/>
  </r>
  <r>
    <x v="23"/>
    <n v="24"/>
    <x v="1"/>
    <x v="11"/>
    <n v="12"/>
    <x v="1"/>
    <x v="0"/>
    <n v="2"/>
    <n v="189100"/>
    <x v="1137"/>
    <x v="1132"/>
    <n v="998417"/>
    <n v="18.940000000000001"/>
    <x v="359"/>
    <n v="22.1"/>
    <n v="370"/>
    <n v="1.7829999999999999"/>
    <n v="0.28999999999999998"/>
    <n v="44705"/>
    <n v="84"/>
    <n v="105.8"/>
    <x v="277"/>
    <n v="83.6"/>
    <x v="957"/>
    <n v="0"/>
  </r>
  <r>
    <x v="23"/>
    <n v="24"/>
    <x v="1"/>
    <x v="11"/>
    <n v="12"/>
    <x v="2"/>
    <x v="0"/>
    <n v="3"/>
    <n v="112369"/>
    <x v="1138"/>
    <x v="1133"/>
    <n v="409165"/>
    <n v="27.46"/>
    <x v="359"/>
    <n v="22.1"/>
    <n v="370"/>
    <n v="1.7829999999999999"/>
    <n v="0.28999999999999998"/>
    <n v="44705"/>
    <n v="84"/>
    <n v="105.8"/>
    <x v="277"/>
    <n v="83.6"/>
    <x v="958"/>
    <n v="0"/>
  </r>
  <r>
    <x v="23"/>
    <n v="24"/>
    <x v="1"/>
    <x v="12"/>
    <n v="13"/>
    <x v="0"/>
    <x v="0"/>
    <n v="1"/>
    <n v="18993"/>
    <x v="1139"/>
    <x v="1134"/>
    <n v="237897"/>
    <n v="7.98"/>
    <x v="360"/>
    <n v="23.9"/>
    <n v="399"/>
    <n v="1.883"/>
    <n v="0.32"/>
    <n v="46109"/>
    <n v="84.3"/>
    <n v="109.2"/>
    <x v="278"/>
    <n v="85.8"/>
    <x v="959"/>
    <n v="0"/>
  </r>
  <r>
    <x v="23"/>
    <n v="24"/>
    <x v="1"/>
    <x v="12"/>
    <n v="13"/>
    <x v="1"/>
    <x v="0"/>
    <n v="2"/>
    <n v="220435"/>
    <x v="1140"/>
    <x v="1135"/>
    <n v="966398"/>
    <n v="22.81"/>
    <x v="360"/>
    <n v="23.9"/>
    <n v="399"/>
    <n v="1.883"/>
    <n v="0.32"/>
    <n v="46109"/>
    <n v="84.3"/>
    <n v="109.2"/>
    <x v="278"/>
    <n v="85.8"/>
    <x v="960"/>
    <n v="0"/>
  </r>
  <r>
    <x v="23"/>
    <n v="24"/>
    <x v="1"/>
    <x v="12"/>
    <n v="13"/>
    <x v="2"/>
    <x v="0"/>
    <n v="3"/>
    <n v="132109"/>
    <x v="1141"/>
    <x v="1136"/>
    <n v="399429"/>
    <n v="33.07"/>
    <x v="360"/>
    <n v="23.9"/>
    <n v="399"/>
    <n v="1.883"/>
    <n v="0.32"/>
    <n v="46109"/>
    <n v="84.3"/>
    <n v="109.2"/>
    <x v="278"/>
    <n v="85.8"/>
    <x v="961"/>
    <n v="0"/>
  </r>
  <r>
    <x v="23"/>
    <n v="24"/>
    <x v="1"/>
    <x v="13"/>
    <n v="14"/>
    <x v="0"/>
    <x v="0"/>
    <n v="1"/>
    <n v="20126"/>
    <x v="1142"/>
    <x v="1137"/>
    <n v="274351"/>
    <n v="7.34"/>
    <x v="361"/>
    <n v="25.8"/>
    <n v="430"/>
    <n v="1.883"/>
    <n v="0.32800000000000001"/>
    <n v="47646"/>
    <n v="84.5"/>
    <n v="108.2"/>
    <x v="0"/>
    <n v="86.9"/>
    <x v="962"/>
    <n v="0"/>
  </r>
  <r>
    <x v="23"/>
    <n v="24"/>
    <x v="1"/>
    <x v="13"/>
    <n v="14"/>
    <x v="1"/>
    <x v="0"/>
    <n v="2"/>
    <n v="228986"/>
    <x v="1143"/>
    <x v="1138"/>
    <n v="1092491"/>
    <n v="20.96"/>
    <x v="361"/>
    <n v="25.8"/>
    <n v="430"/>
    <n v="1.883"/>
    <n v="0.32800000000000001"/>
    <n v="47646"/>
    <n v="84.5"/>
    <n v="108.2"/>
    <x v="0"/>
    <n v="86.9"/>
    <x v="963"/>
    <n v="0"/>
  </r>
  <r>
    <x v="23"/>
    <n v="24"/>
    <x v="1"/>
    <x v="13"/>
    <n v="14"/>
    <x v="2"/>
    <x v="0"/>
    <n v="3"/>
    <n v="144839"/>
    <x v="1144"/>
    <x v="1139"/>
    <n v="458788"/>
    <n v="31.57"/>
    <x v="361"/>
    <n v="25.8"/>
    <n v="430"/>
    <n v="1.883"/>
    <n v="0.32800000000000001"/>
    <n v="47646"/>
    <n v="84.5"/>
    <n v="108.2"/>
    <x v="0"/>
    <n v="86.9"/>
    <x v="964"/>
    <n v="0"/>
  </r>
  <r>
    <x v="23"/>
    <n v="24"/>
    <x v="1"/>
    <x v="14"/>
    <n v="15"/>
    <x v="0"/>
    <x v="0"/>
    <n v="1"/>
    <n v="21312"/>
    <x v="1145"/>
    <x v="1140"/>
    <n v="277282"/>
    <n v="7.69"/>
    <x v="362"/>
    <n v="28.7"/>
    <n v="452"/>
    <n v="1.81"/>
    <n v="0.32"/>
    <n v="48422"/>
    <n v="84.4"/>
    <n v="104"/>
    <x v="0"/>
    <n v="89.2"/>
    <x v="965"/>
    <n v="0"/>
  </r>
  <r>
    <x v="23"/>
    <n v="24"/>
    <x v="1"/>
    <x v="14"/>
    <n v="15"/>
    <x v="1"/>
    <x v="0"/>
    <n v="2"/>
    <n v="245173"/>
    <x v="1146"/>
    <x v="1141"/>
    <n v="1116453"/>
    <n v="21.96"/>
    <x v="362"/>
    <n v="28.7"/>
    <n v="452"/>
    <n v="1.81"/>
    <n v="0.32"/>
    <n v="48422"/>
    <n v="84.4"/>
    <n v="104"/>
    <x v="0"/>
    <n v="89.2"/>
    <x v="966"/>
    <n v="0"/>
  </r>
  <r>
    <x v="23"/>
    <n v="24"/>
    <x v="1"/>
    <x v="14"/>
    <n v="15"/>
    <x v="2"/>
    <x v="0"/>
    <n v="3"/>
    <n v="150014"/>
    <x v="1147"/>
    <x v="1142"/>
    <n v="471119"/>
    <n v="31.84"/>
    <x v="362"/>
    <n v="28.7"/>
    <n v="452"/>
    <n v="1.81"/>
    <n v="0.32"/>
    <n v="48422"/>
    <n v="84.4"/>
    <n v="104"/>
    <x v="0"/>
    <n v="89.2"/>
    <x v="902"/>
    <n v="0"/>
  </r>
  <r>
    <x v="23"/>
    <n v="24"/>
    <x v="1"/>
    <x v="15"/>
    <n v="16"/>
    <x v="0"/>
    <x v="0"/>
    <n v="1"/>
    <n v="25267"/>
    <x v="1148"/>
    <x v="1143"/>
    <n v="285451"/>
    <n v="8.85"/>
    <x v="363"/>
    <n v="34.5"/>
    <n v="476"/>
    <n v="1.7"/>
    <n v="0.311"/>
    <n v="49906"/>
    <n v="84.9"/>
    <n v="98.7"/>
    <x v="0"/>
    <n v="92.3"/>
    <x v="450"/>
    <n v="0"/>
  </r>
  <r>
    <x v="23"/>
    <n v="24"/>
    <x v="1"/>
    <x v="15"/>
    <n v="16"/>
    <x v="1"/>
    <x v="0"/>
    <n v="2"/>
    <n v="293009"/>
    <x v="1149"/>
    <x v="1144"/>
    <n v="1158596"/>
    <n v="25.29"/>
    <x v="363"/>
    <n v="34.5"/>
    <n v="476"/>
    <n v="1.7"/>
    <n v="0.311"/>
    <n v="49906"/>
    <n v="84.9"/>
    <n v="98.7"/>
    <x v="0"/>
    <n v="92.3"/>
    <x v="967"/>
    <n v="0"/>
  </r>
  <r>
    <x v="23"/>
    <n v="24"/>
    <x v="1"/>
    <x v="15"/>
    <n v="16"/>
    <x v="2"/>
    <x v="0"/>
    <n v="3"/>
    <n v="176462"/>
    <x v="1150"/>
    <x v="1145"/>
    <n v="481209"/>
    <n v="36.67"/>
    <x v="363"/>
    <n v="34.5"/>
    <n v="476"/>
    <n v="1.7"/>
    <n v="0.311"/>
    <n v="49906"/>
    <n v="84.9"/>
    <n v="98.7"/>
    <x v="0"/>
    <n v="92.3"/>
    <x v="968"/>
    <n v="0"/>
  </r>
  <r>
    <x v="24"/>
    <n v="25"/>
    <x v="3"/>
    <x v="0"/>
    <n v="1"/>
    <x v="0"/>
    <x v="0"/>
    <n v="1"/>
    <n v="630"/>
    <x v="1151"/>
    <x v="1146"/>
    <n v="1691349"/>
    <n v="0.04"/>
    <x v="364"/>
    <n v="5.4"/>
    <n v="127"/>
    <n v="0.79"/>
    <n v="0.11899999999999999"/>
    <n v="48771"/>
    <n v="80.5"/>
    <n v="1771.2"/>
    <x v="279"/>
    <n v="40.4"/>
    <x v="0"/>
    <n v="0"/>
  </r>
  <r>
    <x v="24"/>
    <n v="25"/>
    <x v="3"/>
    <x v="0"/>
    <n v="1"/>
    <x v="1"/>
    <x v="0"/>
    <n v="2"/>
    <n v="7603"/>
    <x v="1152"/>
    <x v="1147"/>
    <n v="6928358"/>
    <n v="0.11"/>
    <x v="364"/>
    <n v="5.4"/>
    <n v="127"/>
    <n v="0.79"/>
    <n v="0.11899999999999999"/>
    <n v="48771"/>
    <n v="80.5"/>
    <n v="1771.2"/>
    <x v="279"/>
    <n v="40.4"/>
    <x v="0"/>
    <n v="0"/>
  </r>
  <r>
    <x v="24"/>
    <n v="25"/>
    <x v="3"/>
    <x v="0"/>
    <n v="1"/>
    <x v="2"/>
    <x v="0"/>
    <n v="3"/>
    <n v="4734"/>
    <x v="1153"/>
    <x v="1148"/>
    <n v="2868322"/>
    <n v="0.17"/>
    <x v="364"/>
    <n v="5.4"/>
    <n v="127"/>
    <n v="0.79"/>
    <n v="0.11899999999999999"/>
    <n v="48771"/>
    <n v="80.5"/>
    <n v="1771.2"/>
    <x v="279"/>
    <n v="40.4"/>
    <x v="0"/>
    <n v="0"/>
  </r>
  <r>
    <x v="24"/>
    <n v="25"/>
    <x v="3"/>
    <x v="1"/>
    <n v="2"/>
    <x v="0"/>
    <x v="0"/>
    <n v="1"/>
    <n v="1408"/>
    <x v="1154"/>
    <x v="1149"/>
    <n v="1916227"/>
    <n v="7.0000000000000007E-2"/>
    <x v="365"/>
    <n v="6.7"/>
    <n v="135"/>
    <n v="0.73299999999999998"/>
    <n v="0.121"/>
    <n v="50576"/>
    <n v="81"/>
    <n v="1767.4"/>
    <x v="280"/>
    <n v="41.6"/>
    <x v="969"/>
    <n v="0"/>
  </r>
  <r>
    <x v="24"/>
    <n v="25"/>
    <x v="3"/>
    <x v="1"/>
    <n v="2"/>
    <x v="1"/>
    <x v="0"/>
    <n v="2"/>
    <n v="16457"/>
    <x v="1155"/>
    <x v="1150"/>
    <n v="7836568"/>
    <n v="0.21"/>
    <x v="365"/>
    <n v="6.7"/>
    <n v="135"/>
    <n v="0.73299999999999998"/>
    <n v="0.121"/>
    <n v="50576"/>
    <n v="81"/>
    <n v="1767.4"/>
    <x v="280"/>
    <n v="41.6"/>
    <x v="970"/>
    <n v="0"/>
  </r>
  <r>
    <x v="24"/>
    <n v="25"/>
    <x v="3"/>
    <x v="1"/>
    <n v="2"/>
    <x v="2"/>
    <x v="0"/>
    <n v="3"/>
    <n v="9932"/>
    <x v="1156"/>
    <x v="1151"/>
    <n v="3261676"/>
    <n v="0.3"/>
    <x v="365"/>
    <n v="6.7"/>
    <n v="135"/>
    <n v="0.73299999999999998"/>
    <n v="0.121"/>
    <n v="50576"/>
    <n v="81"/>
    <n v="1767.4"/>
    <x v="280"/>
    <n v="41.6"/>
    <x v="971"/>
    <n v="0"/>
  </r>
  <r>
    <x v="24"/>
    <n v="25"/>
    <x v="3"/>
    <x v="2"/>
    <n v="3"/>
    <x v="0"/>
    <x v="0"/>
    <n v="1"/>
    <n v="2708"/>
    <x v="1157"/>
    <x v="1152"/>
    <n v="2149281"/>
    <n v="0.13"/>
    <x v="366"/>
    <n v="8.5"/>
    <n v="144"/>
    <n v="0.69299999999999995"/>
    <n v="0.124"/>
    <n v="52387"/>
    <n v="81.400000000000006"/>
    <n v="1791.5"/>
    <x v="281"/>
    <n v="42.7"/>
    <x v="846"/>
    <n v="0"/>
  </r>
  <r>
    <x v="24"/>
    <n v="25"/>
    <x v="3"/>
    <x v="2"/>
    <n v="3"/>
    <x v="1"/>
    <x v="0"/>
    <n v="2"/>
    <n v="31001"/>
    <x v="1158"/>
    <x v="1153"/>
    <n v="8611435"/>
    <n v="0.36"/>
    <x v="366"/>
    <n v="8.5"/>
    <n v="144"/>
    <n v="0.69299999999999995"/>
    <n v="0.124"/>
    <n v="52387"/>
    <n v="81.400000000000006"/>
    <n v="1791.5"/>
    <x v="281"/>
    <n v="42.7"/>
    <x v="972"/>
    <n v="0"/>
  </r>
  <r>
    <x v="24"/>
    <n v="25"/>
    <x v="3"/>
    <x v="2"/>
    <n v="3"/>
    <x v="2"/>
    <x v="0"/>
    <n v="3"/>
    <n v="18456"/>
    <x v="1159"/>
    <x v="1154"/>
    <n v="3535700"/>
    <n v="0.52"/>
    <x v="366"/>
    <n v="8.5"/>
    <n v="144"/>
    <n v="0.69299999999999995"/>
    <n v="0.124"/>
    <n v="52387"/>
    <n v="81.400000000000006"/>
    <n v="1791.5"/>
    <x v="281"/>
    <n v="42.7"/>
    <x v="973"/>
    <n v="0"/>
  </r>
  <r>
    <x v="24"/>
    <n v="25"/>
    <x v="3"/>
    <x v="3"/>
    <n v="4"/>
    <x v="0"/>
    <x v="0"/>
    <n v="1"/>
    <n v="4592"/>
    <x v="1160"/>
    <x v="1155"/>
    <n v="2342715"/>
    <n v="0.2"/>
    <x v="367"/>
    <n v="11.3"/>
    <n v="150"/>
    <n v="0.66"/>
    <n v="0.128"/>
    <n v="53854"/>
    <n v="81.2"/>
    <n v="1809.3"/>
    <x v="282"/>
    <n v="45.4"/>
    <x v="974"/>
    <n v="0"/>
  </r>
  <r>
    <x v="24"/>
    <n v="25"/>
    <x v="3"/>
    <x v="3"/>
    <n v="4"/>
    <x v="1"/>
    <x v="0"/>
    <n v="2"/>
    <n v="53229"/>
    <x v="1161"/>
    <x v="1156"/>
    <n v="9505195"/>
    <n v="0.56000000000000005"/>
    <x v="367"/>
    <n v="11.3"/>
    <n v="150"/>
    <n v="0.66"/>
    <n v="0.128"/>
    <n v="53854"/>
    <n v="81.2"/>
    <n v="1809.3"/>
    <x v="282"/>
    <n v="45.4"/>
    <x v="975"/>
    <n v="0"/>
  </r>
  <r>
    <x v="24"/>
    <n v="25"/>
    <x v="3"/>
    <x v="3"/>
    <n v="4"/>
    <x v="2"/>
    <x v="0"/>
    <n v="3"/>
    <n v="31738"/>
    <x v="1162"/>
    <x v="1157"/>
    <n v="3908576"/>
    <n v="0.81"/>
    <x v="367"/>
    <n v="11.3"/>
    <n v="150"/>
    <n v="0.66"/>
    <n v="0.128"/>
    <n v="53854"/>
    <n v="81.2"/>
    <n v="1809.3"/>
    <x v="282"/>
    <n v="45.4"/>
    <x v="976"/>
    <n v="0"/>
  </r>
  <r>
    <x v="24"/>
    <n v="25"/>
    <x v="3"/>
    <x v="4"/>
    <n v="5"/>
    <x v="0"/>
    <x v="0"/>
    <n v="1"/>
    <n v="6137"/>
    <x v="1163"/>
    <x v="1158"/>
    <n v="2469718"/>
    <n v="0.25"/>
    <x v="368"/>
    <n v="11.8"/>
    <n v="159"/>
    <n v="0.63700000000000001"/>
    <n v="0.129"/>
    <n v="54924"/>
    <n v="81.8"/>
    <n v="1830.2"/>
    <x v="283"/>
    <n v="45.7"/>
    <x v="977"/>
    <n v="0"/>
  </r>
  <r>
    <x v="24"/>
    <n v="25"/>
    <x v="3"/>
    <x v="4"/>
    <n v="5"/>
    <x v="1"/>
    <x v="0"/>
    <n v="2"/>
    <n v="69305"/>
    <x v="1164"/>
    <x v="1159"/>
    <n v="9761324"/>
    <n v="0.71"/>
    <x v="368"/>
    <n v="11.8"/>
    <n v="159"/>
    <n v="0.63700000000000001"/>
    <n v="0.129"/>
    <n v="54924"/>
    <n v="81.8"/>
    <n v="1830.2"/>
    <x v="283"/>
    <n v="45.7"/>
    <x v="978"/>
    <n v="0"/>
  </r>
  <r>
    <x v="24"/>
    <n v="25"/>
    <x v="3"/>
    <x v="4"/>
    <n v="5"/>
    <x v="2"/>
    <x v="0"/>
    <n v="3"/>
    <n v="42126"/>
    <x v="1165"/>
    <x v="1160"/>
    <n v="4091842"/>
    <n v="1.03"/>
    <x v="368"/>
    <n v="11.8"/>
    <n v="159"/>
    <n v="0.63700000000000001"/>
    <n v="0.129"/>
    <n v="54924"/>
    <n v="81.8"/>
    <n v="1830.2"/>
    <x v="283"/>
    <n v="45.7"/>
    <x v="979"/>
    <n v="0"/>
  </r>
  <r>
    <x v="24"/>
    <n v="25"/>
    <x v="3"/>
    <x v="5"/>
    <n v="6"/>
    <x v="0"/>
    <x v="0"/>
    <n v="1"/>
    <n v="7479"/>
    <x v="1166"/>
    <x v="1161"/>
    <n v="2574404"/>
    <n v="0.28999999999999998"/>
    <x v="369"/>
    <n v="15"/>
    <n v="170"/>
    <n v="0.623"/>
    <n v="0.128"/>
    <n v="57223"/>
    <n v="81.2"/>
    <n v="1849"/>
    <x v="284"/>
    <n v="48.7"/>
    <x v="980"/>
    <n v="0"/>
  </r>
  <r>
    <x v="24"/>
    <n v="25"/>
    <x v="3"/>
    <x v="5"/>
    <n v="6"/>
    <x v="1"/>
    <x v="0"/>
    <n v="2"/>
    <n v="85014"/>
    <x v="1167"/>
    <x v="1162"/>
    <n v="10242676"/>
    <n v="0.83"/>
    <x v="369"/>
    <n v="15"/>
    <n v="170"/>
    <n v="0.623"/>
    <n v="0.128"/>
    <n v="57223"/>
    <n v="81.2"/>
    <n v="1849"/>
    <x v="284"/>
    <n v="48.7"/>
    <x v="981"/>
    <n v="0"/>
  </r>
  <r>
    <x v="24"/>
    <n v="25"/>
    <x v="3"/>
    <x v="5"/>
    <n v="6"/>
    <x v="2"/>
    <x v="0"/>
    <n v="3"/>
    <n v="52552"/>
    <x v="1168"/>
    <x v="1163"/>
    <n v="4366558"/>
    <n v="1.2"/>
    <x v="369"/>
    <n v="15"/>
    <n v="170"/>
    <n v="0.623"/>
    <n v="0.128"/>
    <n v="57223"/>
    <n v="81.2"/>
    <n v="1849"/>
    <x v="284"/>
    <n v="48.7"/>
    <x v="982"/>
    <n v="0"/>
  </r>
  <r>
    <x v="24"/>
    <n v="25"/>
    <x v="3"/>
    <x v="6"/>
    <n v="7"/>
    <x v="0"/>
    <x v="0"/>
    <n v="1"/>
    <n v="8265"/>
    <x v="1169"/>
    <x v="1164"/>
    <n v="2653408"/>
    <n v="0.31"/>
    <x v="370"/>
    <n v="16.399999999999999"/>
    <n v="193"/>
    <n v="0.64700000000000002"/>
    <n v="0.128"/>
    <n v="58692"/>
    <n v="81.7"/>
    <n v="1868.4"/>
    <x v="285"/>
    <n v="50"/>
    <x v="983"/>
    <n v="0"/>
  </r>
  <r>
    <x v="24"/>
    <n v="25"/>
    <x v="3"/>
    <x v="6"/>
    <n v="7"/>
    <x v="1"/>
    <x v="0"/>
    <n v="2"/>
    <n v="92934"/>
    <x v="1170"/>
    <x v="1165"/>
    <n v="10442012"/>
    <n v="0.89"/>
    <x v="370"/>
    <n v="16.399999999999999"/>
    <n v="193"/>
    <n v="0.64700000000000002"/>
    <n v="0.128"/>
    <n v="58692"/>
    <n v="81.7"/>
    <n v="1868.4"/>
    <x v="285"/>
    <n v="50"/>
    <x v="984"/>
    <n v="0"/>
  </r>
  <r>
    <x v="24"/>
    <n v="25"/>
    <x v="3"/>
    <x v="6"/>
    <n v="7"/>
    <x v="2"/>
    <x v="0"/>
    <n v="3"/>
    <n v="55199"/>
    <x v="1171"/>
    <x v="1166"/>
    <n v="4277324"/>
    <n v="1.29"/>
    <x v="370"/>
    <n v="16.399999999999999"/>
    <n v="193"/>
    <n v="0.64700000000000002"/>
    <n v="0.128"/>
    <n v="58692"/>
    <n v="81.7"/>
    <n v="1868.4"/>
    <x v="285"/>
    <n v="50"/>
    <x v="985"/>
    <n v="0"/>
  </r>
  <r>
    <x v="24"/>
    <n v="25"/>
    <x v="3"/>
    <x v="7"/>
    <n v="8"/>
    <x v="0"/>
    <x v="0"/>
    <n v="1"/>
    <n v="14094"/>
    <x v="1172"/>
    <x v="1167"/>
    <n v="2548701"/>
    <n v="0.55000000000000004"/>
    <x v="371"/>
    <n v="15.2"/>
    <n v="235"/>
    <n v="0.66"/>
    <n v="0.13"/>
    <n v="60648"/>
    <n v="82.2"/>
    <n v="1899.1"/>
    <x v="281"/>
    <n v="52.6"/>
    <x v="986"/>
    <n v="0"/>
  </r>
  <r>
    <x v="24"/>
    <n v="25"/>
    <x v="3"/>
    <x v="7"/>
    <n v="8"/>
    <x v="1"/>
    <x v="0"/>
    <n v="2"/>
    <n v="159800"/>
    <x v="1173"/>
    <x v="1168"/>
    <n v="10113941"/>
    <n v="1.58"/>
    <x v="371"/>
    <n v="15.2"/>
    <n v="235"/>
    <n v="0.66"/>
    <n v="0.13"/>
    <n v="60648"/>
    <n v="82.2"/>
    <n v="1899.1"/>
    <x v="281"/>
    <n v="52.6"/>
    <x v="987"/>
    <n v="0"/>
  </r>
  <r>
    <x v="24"/>
    <n v="25"/>
    <x v="3"/>
    <x v="7"/>
    <n v="8"/>
    <x v="2"/>
    <x v="0"/>
    <n v="3"/>
    <n v="96883"/>
    <x v="1174"/>
    <x v="1169"/>
    <n v="4228862"/>
    <n v="2.29"/>
    <x v="371"/>
    <n v="15.2"/>
    <n v="235"/>
    <n v="0.66"/>
    <n v="0.13"/>
    <n v="60648"/>
    <n v="82.2"/>
    <n v="1899.1"/>
    <x v="281"/>
    <n v="52.6"/>
    <x v="988"/>
    <n v="0"/>
  </r>
  <r>
    <x v="24"/>
    <n v="25"/>
    <x v="3"/>
    <x v="8"/>
    <n v="9"/>
    <x v="0"/>
    <x v="0"/>
    <n v="1"/>
    <n v="16868"/>
    <x v="1175"/>
    <x v="1170"/>
    <n v="2536485"/>
    <n v="0.67"/>
    <x v="372"/>
    <n v="16.2"/>
    <n v="260"/>
    <n v="0.69"/>
    <n v="0.13"/>
    <n v="62911"/>
    <n v="82.3"/>
    <n v="1900.8"/>
    <x v="286"/>
    <n v="52.7"/>
    <x v="989"/>
    <n v="0"/>
  </r>
  <r>
    <x v="24"/>
    <n v="25"/>
    <x v="3"/>
    <x v="8"/>
    <n v="9"/>
    <x v="1"/>
    <x v="0"/>
    <n v="2"/>
    <n v="194189"/>
    <x v="1176"/>
    <x v="1171"/>
    <n v="10220458"/>
    <n v="1.9"/>
    <x v="372"/>
    <n v="16.2"/>
    <n v="260"/>
    <n v="0.69"/>
    <n v="0.13"/>
    <n v="62911"/>
    <n v="82.3"/>
    <n v="1900.8"/>
    <x v="286"/>
    <n v="52.7"/>
    <x v="990"/>
    <n v="0"/>
  </r>
  <r>
    <x v="24"/>
    <n v="25"/>
    <x v="3"/>
    <x v="8"/>
    <n v="9"/>
    <x v="2"/>
    <x v="0"/>
    <n v="3"/>
    <n v="118883"/>
    <x v="1177"/>
    <x v="1172"/>
    <n v="4315178"/>
    <n v="2.75"/>
    <x v="372"/>
    <n v="16.2"/>
    <n v="260"/>
    <n v="0.69"/>
    <n v="0.13"/>
    <n v="62911"/>
    <n v="82.3"/>
    <n v="1900.8"/>
    <x v="286"/>
    <n v="52.7"/>
    <x v="427"/>
    <n v="0"/>
  </r>
  <r>
    <x v="24"/>
    <n v="25"/>
    <x v="3"/>
    <x v="9"/>
    <n v="10"/>
    <x v="0"/>
    <x v="0"/>
    <n v="1"/>
    <n v="17207"/>
    <x v="1178"/>
    <x v="1173"/>
    <n v="2601194"/>
    <n v="0.66"/>
    <x v="373"/>
    <n v="18.2"/>
    <n v="301"/>
    <n v="0.76300000000000001"/>
    <n v="0.13100000000000001"/>
    <n v="65046"/>
    <n v="82.5"/>
    <n v="1811.5"/>
    <x v="287"/>
    <n v="56.2"/>
    <x v="991"/>
    <n v="0"/>
  </r>
  <r>
    <x v="24"/>
    <n v="25"/>
    <x v="3"/>
    <x v="9"/>
    <n v="10"/>
    <x v="1"/>
    <x v="0"/>
    <n v="2"/>
    <n v="194052"/>
    <x v="1179"/>
    <x v="1174"/>
    <n v="10267288"/>
    <n v="1.89"/>
    <x v="373"/>
    <n v="18.2"/>
    <n v="301"/>
    <n v="0.76300000000000001"/>
    <n v="0.13100000000000001"/>
    <n v="65046"/>
    <n v="82.5"/>
    <n v="1811.5"/>
    <x v="287"/>
    <n v="56.2"/>
    <x v="992"/>
    <n v="0"/>
  </r>
  <r>
    <x v="24"/>
    <n v="25"/>
    <x v="3"/>
    <x v="9"/>
    <n v="10"/>
    <x v="2"/>
    <x v="0"/>
    <n v="3"/>
    <n v="119406"/>
    <x v="1180"/>
    <x v="1175"/>
    <n v="4357098"/>
    <n v="2.74"/>
    <x v="373"/>
    <n v="18.2"/>
    <n v="301"/>
    <n v="0.76300000000000001"/>
    <n v="0.13100000000000001"/>
    <n v="65046"/>
    <n v="82.5"/>
    <n v="1811.5"/>
    <x v="287"/>
    <n v="56.2"/>
    <x v="993"/>
    <n v="0"/>
  </r>
  <r>
    <x v="24"/>
    <n v="25"/>
    <x v="3"/>
    <x v="10"/>
    <n v="11"/>
    <x v="0"/>
    <x v="0"/>
    <n v="1"/>
    <n v="17860"/>
    <x v="1181"/>
    <x v="1176"/>
    <n v="2117320"/>
    <n v="0.84"/>
    <x v="374"/>
    <n v="19.899999999999999"/>
    <n v="337"/>
    <n v="0.90300000000000002"/>
    <n v="0.13300000000000001"/>
    <n v="68832"/>
    <n v="82.6"/>
    <n v="1750.5"/>
    <x v="288"/>
    <n v="56.7"/>
    <x v="994"/>
    <n v="0"/>
  </r>
  <r>
    <x v="24"/>
    <n v="25"/>
    <x v="3"/>
    <x v="10"/>
    <n v="11"/>
    <x v="1"/>
    <x v="0"/>
    <n v="2"/>
    <n v="208174"/>
    <x v="1182"/>
    <x v="1177"/>
    <n v="8637916"/>
    <n v="2.41"/>
    <x v="374"/>
    <n v="19.899999999999999"/>
    <n v="337"/>
    <n v="0.90300000000000002"/>
    <n v="0.13300000000000001"/>
    <n v="68832"/>
    <n v="82.6"/>
    <n v="1750.5"/>
    <x v="288"/>
    <n v="56.7"/>
    <x v="995"/>
    <n v="0"/>
  </r>
  <r>
    <x v="24"/>
    <n v="25"/>
    <x v="3"/>
    <x v="10"/>
    <n v="11"/>
    <x v="2"/>
    <x v="0"/>
    <n v="3"/>
    <n v="123410"/>
    <x v="1183"/>
    <x v="1178"/>
    <n v="3531559"/>
    <n v="3.49"/>
    <x v="374"/>
    <n v="19.899999999999999"/>
    <n v="337"/>
    <n v="0.90300000000000002"/>
    <n v="0.13300000000000001"/>
    <n v="68832"/>
    <n v="82.6"/>
    <n v="1750.5"/>
    <x v="288"/>
    <n v="56.7"/>
    <x v="996"/>
    <n v="0"/>
  </r>
  <r>
    <x v="24"/>
    <n v="25"/>
    <x v="3"/>
    <x v="11"/>
    <n v="12"/>
    <x v="0"/>
    <x v="0"/>
    <n v="1"/>
    <n v="32430"/>
    <x v="1184"/>
    <x v="1179"/>
    <n v="2270989"/>
    <n v="1.43"/>
    <x v="375"/>
    <n v="21.5"/>
    <n v="382"/>
    <n v="1.107"/>
    <n v="0.13900000000000001"/>
    <n v="72246"/>
    <n v="83"/>
    <n v="1731.2"/>
    <x v="289"/>
    <n v="61"/>
    <x v="997"/>
    <n v="0"/>
  </r>
  <r>
    <x v="24"/>
    <n v="25"/>
    <x v="3"/>
    <x v="11"/>
    <n v="12"/>
    <x v="1"/>
    <x v="0"/>
    <n v="2"/>
    <n v="374652"/>
    <x v="1185"/>
    <x v="1180"/>
    <n v="9182635"/>
    <n v="4.08"/>
    <x v="375"/>
    <n v="21.5"/>
    <n v="382"/>
    <n v="1.107"/>
    <n v="0.13900000000000001"/>
    <n v="72246"/>
    <n v="83"/>
    <n v="1731.2"/>
    <x v="289"/>
    <n v="61"/>
    <x v="998"/>
    <n v="0"/>
  </r>
  <r>
    <x v="24"/>
    <n v="25"/>
    <x v="3"/>
    <x v="11"/>
    <n v="12"/>
    <x v="2"/>
    <x v="0"/>
    <n v="3"/>
    <n v="221508"/>
    <x v="1186"/>
    <x v="1181"/>
    <n v="3744224"/>
    <n v="5.92"/>
    <x v="375"/>
    <n v="21.5"/>
    <n v="382"/>
    <n v="1.107"/>
    <n v="0.13900000000000001"/>
    <n v="72246"/>
    <n v="83"/>
    <n v="1731.2"/>
    <x v="289"/>
    <n v="61"/>
    <x v="999"/>
    <n v="0"/>
  </r>
  <r>
    <x v="24"/>
    <n v="25"/>
    <x v="3"/>
    <x v="12"/>
    <n v="13"/>
    <x v="0"/>
    <x v="0"/>
    <n v="1"/>
    <n v="49964"/>
    <x v="1187"/>
    <x v="1182"/>
    <n v="2083998"/>
    <n v="2.4"/>
    <x v="376"/>
    <n v="21.8"/>
    <n v="405"/>
    <n v="1.1930000000000001"/>
    <n v="0.14699999999999999"/>
    <n v="76960"/>
    <n v="83.2"/>
    <n v="1771.6"/>
    <x v="290"/>
    <n v="63.9"/>
    <x v="1000"/>
    <n v="0"/>
  </r>
  <r>
    <x v="24"/>
    <n v="25"/>
    <x v="3"/>
    <x v="12"/>
    <n v="13"/>
    <x v="1"/>
    <x v="0"/>
    <n v="2"/>
    <n v="577091"/>
    <x v="1188"/>
    <x v="1183"/>
    <n v="8424689"/>
    <n v="6.85"/>
    <x v="376"/>
    <n v="21.8"/>
    <n v="405"/>
    <n v="1.1930000000000001"/>
    <n v="0.14699999999999999"/>
    <n v="76960"/>
    <n v="83.2"/>
    <n v="1771.6"/>
    <x v="290"/>
    <n v="63.9"/>
    <x v="1001"/>
    <n v="0"/>
  </r>
  <r>
    <x v="24"/>
    <n v="25"/>
    <x v="3"/>
    <x v="12"/>
    <n v="13"/>
    <x v="2"/>
    <x v="0"/>
    <n v="3"/>
    <n v="346870"/>
    <x v="1189"/>
    <x v="1184"/>
    <n v="3492275"/>
    <n v="9.93"/>
    <x v="376"/>
    <n v="21.8"/>
    <n v="405"/>
    <n v="1.1930000000000001"/>
    <n v="0.14699999999999999"/>
    <n v="76960"/>
    <n v="83.2"/>
    <n v="1771.6"/>
    <x v="290"/>
    <n v="63.9"/>
    <x v="382"/>
    <n v="0"/>
  </r>
  <r>
    <x v="24"/>
    <n v="25"/>
    <x v="3"/>
    <x v="13"/>
    <n v="14"/>
    <x v="0"/>
    <x v="0"/>
    <n v="1"/>
    <n v="70685"/>
    <x v="1190"/>
    <x v="1185"/>
    <n v="2274283"/>
    <n v="3.11"/>
    <x v="377"/>
    <n v="24.1"/>
    <n v="440"/>
    <n v="1.18"/>
    <n v="0.154"/>
    <n v="80821"/>
    <n v="82.9"/>
    <n v="1766.7"/>
    <x v="291"/>
    <n v="65.7"/>
    <x v="179"/>
    <n v="0"/>
  </r>
  <r>
    <x v="24"/>
    <n v="25"/>
    <x v="3"/>
    <x v="13"/>
    <n v="14"/>
    <x v="1"/>
    <x v="0"/>
    <n v="2"/>
    <n v="832852"/>
    <x v="1191"/>
    <x v="1186"/>
    <n v="9378959"/>
    <n v="8.8800000000000008"/>
    <x v="377"/>
    <n v="24.1"/>
    <n v="440"/>
    <n v="1.18"/>
    <n v="0.154"/>
    <n v="80821"/>
    <n v="82.9"/>
    <n v="1766.7"/>
    <x v="291"/>
    <n v="65.7"/>
    <x v="891"/>
    <n v="0"/>
  </r>
  <r>
    <x v="24"/>
    <n v="25"/>
    <x v="3"/>
    <x v="13"/>
    <n v="14"/>
    <x v="2"/>
    <x v="0"/>
    <n v="3"/>
    <n v="497358"/>
    <x v="1192"/>
    <x v="1187"/>
    <n v="3862674"/>
    <n v="12.88"/>
    <x v="377"/>
    <n v="24.1"/>
    <n v="440"/>
    <n v="1.18"/>
    <n v="0.154"/>
    <n v="80821"/>
    <n v="82.9"/>
    <n v="1766.7"/>
    <x v="291"/>
    <n v="65.7"/>
    <x v="1002"/>
    <n v="0"/>
  </r>
  <r>
    <x v="24"/>
    <n v="25"/>
    <x v="3"/>
    <x v="14"/>
    <n v="15"/>
    <x v="0"/>
    <x v="0"/>
    <n v="1"/>
    <n v="89968"/>
    <x v="1193"/>
    <x v="1188"/>
    <n v="2388954"/>
    <n v="3.77"/>
    <x v="378"/>
    <n v="24.8"/>
    <n v="467"/>
    <n v="1.05"/>
    <n v="0.16200000000000001"/>
    <n v="82800"/>
    <n v="83.3"/>
    <n v="1708.2"/>
    <x v="292"/>
    <n v="69.5"/>
    <x v="40"/>
    <n v="0"/>
  </r>
  <r>
    <x v="24"/>
    <n v="25"/>
    <x v="3"/>
    <x v="14"/>
    <n v="15"/>
    <x v="1"/>
    <x v="0"/>
    <n v="2"/>
    <n v="1048083"/>
    <x v="1194"/>
    <x v="1189"/>
    <n v="9740547"/>
    <n v="10.76"/>
    <x v="378"/>
    <n v="24.8"/>
    <n v="467"/>
    <n v="1.05"/>
    <n v="0.16200000000000001"/>
    <n v="82800"/>
    <n v="83.3"/>
    <n v="1708.2"/>
    <x v="292"/>
    <n v="69.5"/>
    <x v="1003"/>
    <n v="0"/>
  </r>
  <r>
    <x v="24"/>
    <n v="25"/>
    <x v="3"/>
    <x v="14"/>
    <n v="15"/>
    <x v="2"/>
    <x v="0"/>
    <n v="3"/>
    <n v="612716"/>
    <x v="1195"/>
    <x v="1190"/>
    <n v="3927161"/>
    <n v="15.6"/>
    <x v="378"/>
    <n v="24.8"/>
    <n v="467"/>
    <n v="1.05"/>
    <n v="0.16200000000000001"/>
    <n v="82800"/>
    <n v="83.3"/>
    <n v="1708.2"/>
    <x v="292"/>
    <n v="69.5"/>
    <x v="1004"/>
    <n v="0"/>
  </r>
  <r>
    <x v="24"/>
    <n v="25"/>
    <x v="3"/>
    <x v="15"/>
    <n v="16"/>
    <x v="0"/>
    <x v="0"/>
    <n v="1"/>
    <n v="105003"/>
    <x v="1196"/>
    <x v="1191"/>
    <n v="2427251"/>
    <n v="4.33"/>
    <x v="379"/>
    <n v="28.3"/>
    <n v="480"/>
    <n v="0.94"/>
    <n v="0.16800000000000001"/>
    <n v="84696"/>
    <n v="83.1"/>
    <n v="1671.6"/>
    <x v="293"/>
    <n v="72.5"/>
    <x v="1005"/>
    <n v="0"/>
  </r>
  <r>
    <x v="24"/>
    <n v="25"/>
    <x v="3"/>
    <x v="15"/>
    <n v="16"/>
    <x v="1"/>
    <x v="0"/>
    <n v="2"/>
    <n v="1233705"/>
    <x v="1197"/>
    <x v="1192"/>
    <n v="9981432"/>
    <n v="12.36"/>
    <x v="379"/>
    <n v="28.3"/>
    <n v="480"/>
    <n v="0.94"/>
    <n v="0.16800000000000001"/>
    <n v="84696"/>
    <n v="83.1"/>
    <n v="1671.6"/>
    <x v="293"/>
    <n v="72.5"/>
    <x v="1006"/>
    <n v="0"/>
  </r>
  <r>
    <x v="24"/>
    <n v="25"/>
    <x v="3"/>
    <x v="15"/>
    <n v="16"/>
    <x v="2"/>
    <x v="0"/>
    <n v="3"/>
    <n v="730489"/>
    <x v="1198"/>
    <x v="1193"/>
    <n v="4075933"/>
    <n v="17.920000000000002"/>
    <x v="379"/>
    <n v="28.3"/>
    <n v="480"/>
    <n v="0.94"/>
    <n v="0.16800000000000001"/>
    <n v="84696"/>
    <n v="83.1"/>
    <n v="1671.6"/>
    <x v="293"/>
    <n v="72.5"/>
    <x v="1007"/>
    <n v="0"/>
  </r>
  <r>
    <x v="25"/>
    <m/>
    <x v="5"/>
    <x v="16"/>
    <m/>
    <x v="3"/>
    <x v="2"/>
    <m/>
    <m/>
    <x v="1199"/>
    <x v="1194"/>
    <m/>
    <m/>
    <x v="380"/>
    <m/>
    <m/>
    <m/>
    <m/>
    <m/>
    <m/>
    <m/>
    <x v="294"/>
    <m/>
    <x v="100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5B177-4AF1-444A-A8DE-FBD525A554E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77:R79" firstHeaderRow="1" firstDataRow="2" firstDataCol="1" rowPageCount="1" colPageCount="1"/>
  <pivotFields count="25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Col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201">
        <item x="712"/>
        <item x="709"/>
        <item x="715"/>
        <item x="718"/>
        <item x="706"/>
        <item x="703"/>
        <item x="711"/>
        <item x="708"/>
        <item x="710"/>
        <item x="707"/>
        <item x="716"/>
        <item x="713"/>
        <item x="701"/>
        <item x="714"/>
        <item x="776"/>
        <item x="698"/>
        <item x="717"/>
        <item x="671"/>
        <item x="680"/>
        <item x="704"/>
        <item x="695"/>
        <item x="674"/>
        <item x="683"/>
        <item x="677"/>
        <item x="692"/>
        <item x="689"/>
        <item x="700"/>
        <item x="686"/>
        <item x="779"/>
        <item x="773"/>
        <item x="803"/>
        <item x="797"/>
        <item x="782"/>
        <item x="770"/>
        <item x="800"/>
        <item x="958"/>
        <item x="806"/>
        <item x="949"/>
        <item x="84"/>
        <item x="955"/>
        <item x="809"/>
        <item x="812"/>
        <item x="785"/>
        <item x="995"/>
        <item x="952"/>
        <item x="697"/>
        <item x="992"/>
        <item x="788"/>
        <item x="81"/>
        <item x="90"/>
        <item x="998"/>
        <item x="87"/>
        <item x="947"/>
        <item x="989"/>
        <item x="1001"/>
        <item x="767"/>
        <item x="93"/>
        <item x="1004"/>
        <item x="78"/>
        <item x="953"/>
        <item x="950"/>
        <item x="791"/>
        <item x="956"/>
        <item x="794"/>
        <item x="694"/>
        <item x="944"/>
        <item x="941"/>
        <item x="920"/>
        <item x="917"/>
        <item x="914"/>
        <item x="962"/>
        <item x="959"/>
        <item x="659"/>
        <item x="778"/>
        <item x="968"/>
        <item x="965"/>
        <item x="691"/>
        <item x="986"/>
        <item x="911"/>
        <item x="685"/>
        <item x="983"/>
        <item x="923"/>
        <item x="688"/>
        <item x="60"/>
        <item x="57"/>
        <item x="980"/>
        <item x="682"/>
        <item x="971"/>
        <item x="974"/>
        <item x="54"/>
        <item x="75"/>
        <item x="977"/>
        <item x="728"/>
        <item x="725"/>
        <item x="48"/>
        <item x="63"/>
        <item x="51"/>
        <item x="946"/>
        <item x="72"/>
        <item x="805"/>
        <item x="656"/>
        <item x="653"/>
        <item x="719"/>
        <item x="662"/>
        <item x="66"/>
        <item x="69"/>
        <item x="938"/>
        <item x="679"/>
        <item x="673"/>
        <item x="722"/>
        <item x="676"/>
        <item x="926"/>
        <item x="705"/>
        <item x="665"/>
        <item x="929"/>
        <item x="668"/>
        <item x="814"/>
        <item x="932"/>
        <item x="811"/>
        <item x="132"/>
        <item x="935"/>
        <item x="808"/>
        <item x="702"/>
        <item x="731"/>
        <item x="781"/>
        <item x="799"/>
        <item x="129"/>
        <item x="775"/>
        <item x="997"/>
        <item x="1006"/>
        <item x="86"/>
        <item x="802"/>
        <item x="135"/>
        <item x="734"/>
        <item x="755"/>
        <item x="1003"/>
        <item x="1000"/>
        <item x="126"/>
        <item x="141"/>
        <item x="749"/>
        <item x="647"/>
        <item x="138"/>
        <item x="95"/>
        <item x="636"/>
        <item x="650"/>
        <item x="642"/>
        <item x="92"/>
        <item x="633"/>
        <item x="630"/>
        <item x="83"/>
        <item x="994"/>
        <item x="639"/>
        <item x="627"/>
        <item x="737"/>
        <item x="784"/>
        <item x="752"/>
        <item x="89"/>
        <item x="758"/>
        <item x="943"/>
        <item x="772"/>
        <item x="699"/>
        <item x="624"/>
        <item x="1082"/>
        <item x="740"/>
        <item x="108"/>
        <item x="102"/>
        <item x="670"/>
        <item x="105"/>
        <item x="761"/>
        <item x="111"/>
        <item x="787"/>
        <item x="991"/>
        <item x="114"/>
        <item x="743"/>
        <item x="667"/>
        <item x="661"/>
        <item x="764"/>
        <item x="462"/>
        <item x="99"/>
        <item x="664"/>
        <item x="120"/>
        <item x="80"/>
        <item x="790"/>
        <item x="117"/>
        <item x="96"/>
        <item x="123"/>
        <item x="746"/>
        <item x="769"/>
        <item x="793"/>
        <item x="696"/>
        <item x="796"/>
        <item x="655"/>
        <item x="134"/>
        <item x="777"/>
        <item x="658"/>
        <item x="922"/>
        <item x="693"/>
        <item x="143"/>
        <item x="919"/>
        <item x="1079"/>
        <item x="964"/>
        <item x="872"/>
        <item x="916"/>
        <item x="137"/>
        <item x="961"/>
        <item x="988"/>
        <item x="131"/>
        <item x="1040"/>
        <item x="690"/>
        <item x="913"/>
        <item x="925"/>
        <item x="967"/>
        <item x="970"/>
        <item x="140"/>
        <item x="684"/>
        <item x="1085"/>
        <item x="1088"/>
        <item x="985"/>
        <item x="681"/>
        <item x="1055"/>
        <item x="982"/>
        <item x="687"/>
        <item x="432"/>
        <item x="940"/>
        <item x="672"/>
        <item x="56"/>
        <item x="1091"/>
        <item x="675"/>
        <item x="869"/>
        <item x="77"/>
        <item x="1037"/>
        <item x="899"/>
        <item x="973"/>
        <item x="62"/>
        <item x="678"/>
        <item x="576"/>
        <item x="59"/>
        <item x="976"/>
        <item x="979"/>
        <item x="1058"/>
        <item x="948"/>
        <item x="1022"/>
        <item x="50"/>
        <item x="1007"/>
        <item x="1046"/>
        <item x="53"/>
        <item x="1061"/>
        <item x="1064"/>
        <item x="730"/>
        <item x="74"/>
        <item x="804"/>
        <item x="727"/>
        <item x="65"/>
        <item x="954"/>
        <item x="1043"/>
        <item x="893"/>
        <item x="928"/>
        <item x="68"/>
        <item x="724"/>
        <item x="1028"/>
        <item x="957"/>
        <item x="721"/>
        <item x="71"/>
        <item x="780"/>
        <item x="937"/>
        <item x="896"/>
        <item x="1067"/>
        <item x="1049"/>
        <item x="934"/>
        <item x="1025"/>
        <item x="951"/>
        <item x="931"/>
        <item x="866"/>
        <item x="875"/>
        <item x="652"/>
        <item x="465"/>
        <item x="579"/>
        <item x="774"/>
        <item x="1052"/>
        <item x="30"/>
        <item x="798"/>
        <item x="902"/>
        <item x="905"/>
        <item x="128"/>
        <item x="733"/>
        <item x="1010"/>
        <item x="1073"/>
        <item x="807"/>
        <item x="1031"/>
        <item x="606"/>
        <item x="435"/>
        <item x="810"/>
        <item x="813"/>
        <item x="863"/>
        <item x="1076"/>
        <item x="1070"/>
        <item x="757"/>
        <item x="582"/>
        <item x="1034"/>
        <item x="646"/>
        <item x="801"/>
        <item x="459"/>
        <item x="649"/>
        <item x="908"/>
        <item x="644"/>
        <item x="609"/>
        <item x="471"/>
        <item x="468"/>
        <item x="878"/>
        <item x="736"/>
        <item x="474"/>
        <item x="638"/>
        <item x="996"/>
        <item x="33"/>
        <item x="0"/>
        <item x="450"/>
        <item x="1100"/>
        <item x="635"/>
        <item x="85"/>
        <item x="751"/>
        <item x="783"/>
        <item x="477"/>
        <item x="447"/>
        <item x="36"/>
        <item x="585"/>
        <item x="456"/>
        <item x="1019"/>
        <item x="453"/>
        <item x="632"/>
        <item x="27"/>
        <item x="6"/>
        <item x="612"/>
        <item x="945"/>
        <item x="1097"/>
        <item x="438"/>
        <item x="771"/>
        <item x="24"/>
        <item x="641"/>
        <item x="1005"/>
        <item x="3"/>
        <item x="91"/>
        <item x="993"/>
        <item x="1002"/>
        <item x="444"/>
        <item x="754"/>
        <item x="999"/>
        <item x="1013"/>
        <item x="760"/>
        <item x="12"/>
        <item x="9"/>
        <item x="15"/>
        <item x="82"/>
        <item x="629"/>
        <item x="88"/>
        <item x="881"/>
        <item x="739"/>
        <item x="763"/>
        <item x="94"/>
        <item x="1094"/>
        <item x="766"/>
        <item x="18"/>
        <item x="45"/>
        <item x="42"/>
        <item x="39"/>
        <item x="786"/>
        <item x="1084"/>
        <item x="588"/>
        <item x="626"/>
        <item x="21"/>
        <item x="890"/>
        <item x="441"/>
        <item x="884"/>
        <item x="110"/>
        <item x="107"/>
        <item x="887"/>
        <item x="990"/>
        <item x="742"/>
        <item x="618"/>
        <item x="113"/>
        <item x="615"/>
        <item x="489"/>
        <item x="942"/>
        <item x="516"/>
        <item x="789"/>
        <item x="104"/>
        <item x="79"/>
        <item x="745"/>
        <item x="591"/>
        <item x="116"/>
        <item x="101"/>
        <item x="603"/>
        <item x="510"/>
        <item x="1016"/>
        <item x="464"/>
        <item x="768"/>
        <item x="119"/>
        <item x="122"/>
        <item x="125"/>
        <item x="660"/>
        <item x="621"/>
        <item x="98"/>
        <item x="792"/>
        <item x="513"/>
        <item x="748"/>
        <item x="600"/>
        <item x="795"/>
        <item x="492"/>
        <item x="324"/>
        <item x="594"/>
        <item x="1139"/>
        <item x="815"/>
        <item x="228"/>
        <item x="519"/>
        <item x="818"/>
        <item x="824"/>
        <item x="486"/>
        <item x="525"/>
        <item x="321"/>
        <item x="669"/>
        <item x="597"/>
        <item x="666"/>
        <item x="222"/>
        <item x="318"/>
        <item x="522"/>
        <item x="1133"/>
        <item x="663"/>
        <item x="192"/>
        <item x="821"/>
        <item x="1136"/>
        <item x="918"/>
        <item x="495"/>
        <item x="921"/>
        <item x="857"/>
        <item x="963"/>
        <item x="860"/>
        <item x="915"/>
        <item x="225"/>
        <item x="327"/>
        <item x="854"/>
        <item x="234"/>
        <item x="231"/>
        <item x="195"/>
        <item x="851"/>
        <item x="960"/>
        <item x="654"/>
        <item x="827"/>
        <item x="237"/>
        <item x="848"/>
        <item x="330"/>
        <item x="198"/>
        <item x="966"/>
        <item x="1142"/>
        <item x="1145"/>
        <item x="657"/>
        <item x="483"/>
        <item x="987"/>
        <item x="333"/>
        <item x="1148"/>
        <item x="201"/>
        <item x="969"/>
        <item x="912"/>
        <item x="842"/>
        <item x="133"/>
        <item x="839"/>
        <item x="984"/>
        <item x="981"/>
        <item x="297"/>
        <item x="1081"/>
        <item x="924"/>
        <item x="874"/>
        <item x="833"/>
        <item x="836"/>
        <item x="61"/>
        <item x="972"/>
        <item x="901"/>
        <item x="58"/>
        <item x="204"/>
        <item x="76"/>
        <item x="498"/>
        <item x="300"/>
        <item x="978"/>
        <item x="939"/>
        <item x="845"/>
        <item x="1054"/>
        <item x="55"/>
        <item x="975"/>
        <item x="303"/>
        <item x="52"/>
        <item x="142"/>
        <item x="726"/>
        <item x="1042"/>
        <item x="207"/>
        <item x="64"/>
        <item x="1087"/>
        <item x="219"/>
        <item x="1051"/>
        <item x="830"/>
        <item x="729"/>
        <item x="434"/>
        <item x="130"/>
        <item x="49"/>
        <item x="480"/>
        <item x="507"/>
        <item x="136"/>
        <item x="210"/>
        <item x="504"/>
        <item x="1048"/>
        <item x="216"/>
        <item x="927"/>
        <item x="73"/>
        <item x="294"/>
        <item x="501"/>
        <item x="67"/>
        <item x="1057"/>
        <item x="1090"/>
        <item x="70"/>
        <item x="723"/>
        <item x="306"/>
        <item x="720"/>
        <item x="1093"/>
        <item x="898"/>
        <item x="936"/>
        <item x="871"/>
        <item x="1039"/>
        <item x="895"/>
        <item x="213"/>
        <item x="933"/>
        <item x="1103"/>
        <item x="139"/>
        <item x="1009"/>
        <item x="1060"/>
        <item x="309"/>
        <item x="1106"/>
        <item x="930"/>
        <item x="1045"/>
        <item x="174"/>
        <item x="578"/>
        <item x="907"/>
        <item x="180"/>
        <item x="1024"/>
        <item x="904"/>
        <item x="291"/>
        <item x="1066"/>
        <item x="732"/>
        <item x="177"/>
        <item x="1063"/>
        <item x="910"/>
        <item x="312"/>
        <item x="1109"/>
        <item x="1027"/>
        <item x="1112"/>
        <item x="1030"/>
        <item x="165"/>
        <item x="1130"/>
        <item x="127"/>
        <item x="645"/>
        <item x="877"/>
        <item x="315"/>
        <item x="651"/>
        <item x="756"/>
        <item x="1069"/>
        <item x="868"/>
        <item x="183"/>
        <item x="467"/>
        <item x="288"/>
        <item x="648"/>
        <item x="372"/>
        <item x="32"/>
        <item x="581"/>
        <item x="1102"/>
        <item x="1033"/>
        <item x="369"/>
        <item x="643"/>
        <item x="735"/>
        <item x="637"/>
        <item x="437"/>
        <item x="634"/>
        <item x="1075"/>
        <item x="162"/>
        <item x="1012"/>
        <item x="750"/>
        <item x="608"/>
        <item x="1127"/>
        <item x="38"/>
        <item x="473"/>
        <item x="378"/>
        <item x="186"/>
        <item x="1099"/>
        <item x="189"/>
        <item x="1072"/>
        <item x="1078"/>
        <item x="584"/>
        <item x="865"/>
        <item x="631"/>
        <item x="168"/>
        <item x="35"/>
        <item x="1115"/>
        <item x="1124"/>
        <item x="640"/>
        <item x="479"/>
        <item x="476"/>
        <item x="628"/>
        <item x="470"/>
        <item x="381"/>
        <item x="738"/>
        <item x="461"/>
        <item x="1036"/>
        <item x="759"/>
        <item x="753"/>
        <item x="880"/>
        <item x="1121"/>
        <item x="2"/>
        <item x="47"/>
        <item x="611"/>
        <item x="159"/>
        <item x="452"/>
        <item x="1118"/>
        <item x="375"/>
        <item x="449"/>
        <item x="29"/>
        <item x="614"/>
        <item x="587"/>
        <item x="44"/>
        <item x="458"/>
        <item x="1141"/>
        <item x="8"/>
        <item x="455"/>
        <item x="1021"/>
        <item x="171"/>
        <item x="762"/>
        <item x="625"/>
        <item x="326"/>
        <item x="440"/>
        <item x="1083"/>
        <item x="1096"/>
        <item x="41"/>
        <item x="366"/>
        <item x="5"/>
        <item x="765"/>
        <item x="26"/>
        <item x="11"/>
        <item x="339"/>
        <item x="446"/>
        <item x="14"/>
        <item x="741"/>
        <item x="518"/>
        <item x="342"/>
        <item x="1015"/>
        <item x="109"/>
        <item x="112"/>
        <item x="345"/>
        <item x="103"/>
        <item x="883"/>
        <item x="17"/>
        <item x="336"/>
        <item x="106"/>
        <item x="20"/>
        <item x="332"/>
        <item x="414"/>
        <item x="744"/>
        <item x="23"/>
        <item x="384"/>
        <item x="115"/>
        <item x="1138"/>
        <item x="348"/>
        <item x="329"/>
        <item x="100"/>
        <item x="323"/>
        <item x="335"/>
        <item x="590"/>
        <item x="1150"/>
        <item x="463"/>
        <item x="892"/>
        <item x="351"/>
        <item x="889"/>
        <item x="390"/>
        <item x="387"/>
        <item x="121"/>
        <item x="124"/>
        <item x="443"/>
        <item x="620"/>
        <item x="1144"/>
        <item x="118"/>
        <item x="512"/>
        <item x="886"/>
        <item x="515"/>
        <item x="97"/>
        <item x="396"/>
        <item x="617"/>
        <item x="156"/>
        <item x="1147"/>
        <item x="393"/>
        <item x="747"/>
        <item x="354"/>
        <item x="491"/>
        <item x="320"/>
        <item x="527"/>
        <item x="593"/>
        <item x="1018"/>
        <item x="605"/>
        <item x="862"/>
        <item x="623"/>
        <item x="399"/>
        <item x="859"/>
        <item x="230"/>
        <item x="363"/>
        <item x="521"/>
        <item x="1135"/>
        <item x="239"/>
        <item x="357"/>
        <item x="144"/>
        <item x="524"/>
        <item x="147"/>
        <item x="360"/>
        <item x="236"/>
        <item x="596"/>
        <item x="233"/>
        <item x="856"/>
        <item x="602"/>
        <item x="494"/>
        <item x="150"/>
        <item x="402"/>
        <item x="417"/>
        <item x="374"/>
        <item x="853"/>
        <item x="817"/>
        <item x="153"/>
        <item x="224"/>
        <item x="408"/>
        <item x="411"/>
        <item x="820"/>
        <item x="488"/>
        <item x="380"/>
        <item x="826"/>
        <item x="599"/>
        <item x="227"/>
        <item x="383"/>
        <item x="850"/>
        <item x="194"/>
        <item x="823"/>
        <item x="405"/>
        <item x="497"/>
        <item x="197"/>
        <item x="1080"/>
        <item x="377"/>
        <item x="873"/>
        <item x="371"/>
        <item x="485"/>
        <item x="564"/>
        <item x="1041"/>
        <item x="829"/>
        <item x="900"/>
        <item x="1086"/>
        <item x="844"/>
        <item x="561"/>
        <item x="200"/>
        <item x="1056"/>
        <item x="299"/>
        <item x="433"/>
        <item x="841"/>
        <item x="838"/>
        <item x="1047"/>
        <item x="558"/>
        <item x="1092"/>
        <item x="203"/>
        <item x="835"/>
        <item x="1038"/>
        <item x="206"/>
        <item x="500"/>
        <item x="1089"/>
        <item x="847"/>
        <item x="1050"/>
        <item x="567"/>
        <item x="302"/>
        <item x="573"/>
        <item x="1053"/>
        <item x="305"/>
        <item x="570"/>
        <item x="1008"/>
        <item x="420"/>
        <item x="221"/>
        <item x="897"/>
        <item x="870"/>
        <item x="894"/>
        <item x="1059"/>
        <item x="577"/>
        <item x="218"/>
        <item x="209"/>
        <item x="832"/>
        <item x="1044"/>
        <item x="509"/>
        <item x="1023"/>
        <item x="1062"/>
        <item x="506"/>
        <item x="1029"/>
        <item x="543"/>
        <item x="1026"/>
        <item x="482"/>
        <item x="1065"/>
        <item x="423"/>
        <item x="1068"/>
        <item x="212"/>
        <item x="215"/>
        <item x="296"/>
        <item x="555"/>
        <item x="528"/>
        <item x="549"/>
        <item x="308"/>
        <item x="1105"/>
        <item x="546"/>
        <item x="531"/>
        <item x="503"/>
        <item x="903"/>
        <item x="552"/>
        <item x="311"/>
        <item x="906"/>
        <item x="466"/>
        <item x="876"/>
        <item x="1108"/>
        <item x="182"/>
        <item x="867"/>
        <item x="909"/>
        <item x="534"/>
        <item x="540"/>
        <item x="176"/>
        <item x="293"/>
        <item x="179"/>
        <item x="31"/>
        <item x="580"/>
        <item x="429"/>
        <item x="426"/>
        <item x="314"/>
        <item x="436"/>
        <item x="1132"/>
        <item x="537"/>
        <item x="1074"/>
        <item x="1032"/>
        <item x="317"/>
        <item x="607"/>
        <item x="864"/>
        <item x="1114"/>
        <item x="1011"/>
        <item x="1071"/>
        <item x="1101"/>
        <item x="1111"/>
        <item x="460"/>
        <item x="583"/>
        <item x="185"/>
        <item x="37"/>
        <item x="1035"/>
        <item x="1077"/>
        <item x="290"/>
        <item x="167"/>
        <item x="34"/>
        <item x="472"/>
        <item x="1098"/>
        <item x="451"/>
        <item x="469"/>
        <item x="1"/>
        <item x="610"/>
        <item x="188"/>
        <item x="475"/>
        <item x="368"/>
        <item x="879"/>
        <item x="191"/>
        <item x="478"/>
        <item x="448"/>
        <item x="1129"/>
        <item x="586"/>
        <item x="28"/>
        <item x="164"/>
        <item x="613"/>
        <item x="1117"/>
        <item x="1126"/>
        <item x="457"/>
        <item x="4"/>
        <item x="1020"/>
        <item x="7"/>
        <item x="25"/>
        <item x="439"/>
        <item x="454"/>
        <item x="46"/>
        <item x="43"/>
        <item x="170"/>
        <item x="1095"/>
        <item x="10"/>
        <item x="445"/>
        <item x="1123"/>
        <item x="40"/>
        <item x="161"/>
        <item x="1120"/>
        <item x="13"/>
        <item x="16"/>
        <item x="1014"/>
        <item x="882"/>
        <item x="19"/>
        <item x="173"/>
        <item x="22"/>
        <item x="517"/>
        <item x="891"/>
        <item x="589"/>
        <item x="325"/>
        <item x="442"/>
        <item x="1140"/>
        <item x="341"/>
        <item x="888"/>
        <item x="490"/>
        <item x="347"/>
        <item x="619"/>
        <item x="338"/>
        <item x="885"/>
        <item x="344"/>
        <item x="511"/>
        <item x="616"/>
        <item x="592"/>
        <item x="416"/>
        <item x="386"/>
        <item x="350"/>
        <item x="604"/>
        <item x="322"/>
        <item x="514"/>
        <item x="1017"/>
        <item x="1137"/>
        <item x="392"/>
        <item x="389"/>
        <item x="328"/>
        <item x="622"/>
        <item x="353"/>
        <item x="331"/>
        <item x="229"/>
        <item x="395"/>
        <item x="595"/>
        <item x="158"/>
        <item x="1134"/>
        <item x="520"/>
        <item x="526"/>
        <item x="601"/>
        <item x="319"/>
        <item x="334"/>
        <item x="523"/>
        <item x="1143"/>
        <item x="1149"/>
        <item x="493"/>
        <item x="1146"/>
        <item x="398"/>
        <item x="825"/>
        <item x="861"/>
        <item x="356"/>
        <item x="816"/>
        <item x="365"/>
        <item x="858"/>
        <item x="238"/>
        <item x="401"/>
        <item x="819"/>
        <item x="232"/>
        <item x="362"/>
        <item x="223"/>
        <item x="487"/>
        <item x="235"/>
        <item x="852"/>
        <item x="822"/>
        <item x="855"/>
        <item x="146"/>
        <item x="193"/>
        <item x="359"/>
        <item x="598"/>
        <item x="226"/>
        <item x="149"/>
        <item x="496"/>
        <item x="152"/>
        <item x="849"/>
        <item x="419"/>
        <item x="404"/>
        <item x="155"/>
        <item x="196"/>
        <item x="413"/>
        <item x="828"/>
        <item x="410"/>
        <item x="199"/>
        <item x="843"/>
        <item x="484"/>
        <item x="407"/>
        <item x="566"/>
        <item x="202"/>
        <item x="837"/>
        <item x="298"/>
        <item x="840"/>
        <item x="834"/>
        <item x="499"/>
        <item x="205"/>
        <item x="301"/>
        <item x="373"/>
        <item x="846"/>
        <item x="575"/>
        <item x="304"/>
        <item x="208"/>
        <item x="370"/>
        <item x="220"/>
        <item x="217"/>
        <item x="379"/>
        <item x="563"/>
        <item x="1151"/>
        <item x="508"/>
        <item x="569"/>
        <item x="505"/>
        <item x="831"/>
        <item x="382"/>
        <item x="214"/>
        <item x="211"/>
        <item x="481"/>
        <item x="560"/>
        <item x="295"/>
        <item x="307"/>
        <item x="502"/>
        <item x="572"/>
        <item x="1104"/>
        <item x="175"/>
        <item x="310"/>
        <item x="181"/>
        <item x="1107"/>
        <item x="422"/>
        <item x="376"/>
        <item x="425"/>
        <item x="292"/>
        <item x="313"/>
        <item x="545"/>
        <item x="178"/>
        <item x="530"/>
        <item x="1154"/>
        <item x="1110"/>
        <item x="557"/>
        <item x="551"/>
        <item x="166"/>
        <item x="1131"/>
        <item x="533"/>
        <item x="554"/>
        <item x="316"/>
        <item x="548"/>
        <item x="1113"/>
        <item x="428"/>
        <item x="184"/>
        <item x="289"/>
        <item x="542"/>
        <item x="536"/>
        <item x="1187"/>
        <item x="431"/>
        <item x="539"/>
        <item x="1128"/>
        <item x="1181"/>
        <item x="187"/>
        <item x="163"/>
        <item x="1157"/>
        <item x="190"/>
        <item x="1125"/>
        <item x="1190"/>
        <item x="1116"/>
        <item x="367"/>
        <item x="1184"/>
        <item x="169"/>
        <item x="1119"/>
        <item x="1122"/>
        <item x="1193"/>
        <item x="160"/>
        <item x="1196"/>
        <item x="1160"/>
        <item x="172"/>
        <item x="1163"/>
        <item x="1175"/>
        <item x="337"/>
        <item x="1172"/>
        <item x="340"/>
        <item x="343"/>
        <item x="1166"/>
        <item x="346"/>
        <item x="1178"/>
        <item x="385"/>
        <item x="415"/>
        <item x="349"/>
        <item x="1169"/>
        <item x="388"/>
        <item x="391"/>
        <item x="240"/>
        <item x="352"/>
        <item x="394"/>
        <item x="397"/>
        <item x="243"/>
        <item x="355"/>
        <item x="157"/>
        <item x="364"/>
        <item x="400"/>
        <item x="358"/>
        <item x="145"/>
        <item x="246"/>
        <item x="361"/>
        <item x="148"/>
        <item x="249"/>
        <item x="151"/>
        <item x="418"/>
        <item x="403"/>
        <item x="154"/>
        <item x="409"/>
        <item x="412"/>
        <item x="252"/>
        <item x="406"/>
        <item x="270"/>
        <item x="276"/>
        <item x="565"/>
        <item x="273"/>
        <item x="255"/>
        <item x="267"/>
        <item x="562"/>
        <item x="574"/>
        <item x="258"/>
        <item x="264"/>
        <item x="559"/>
        <item x="568"/>
        <item x="285"/>
        <item x="571"/>
        <item x="279"/>
        <item x="282"/>
        <item x="421"/>
        <item x="544"/>
        <item x="261"/>
        <item x="550"/>
        <item x="424"/>
        <item x="1153"/>
        <item x="556"/>
        <item x="529"/>
        <item x="547"/>
        <item x="553"/>
        <item x="541"/>
        <item x="427"/>
        <item x="532"/>
        <item x="535"/>
        <item x="430"/>
        <item x="1189"/>
        <item x="538"/>
        <item x="287"/>
        <item x="1156"/>
        <item x="1195"/>
        <item x="1198"/>
        <item x="1192"/>
        <item x="1183"/>
        <item x="1159"/>
        <item x="1186"/>
        <item x="1162"/>
        <item x="1165"/>
        <item x="284"/>
        <item x="1174"/>
        <item x="1177"/>
        <item x="1171"/>
        <item x="1180"/>
        <item x="1168"/>
        <item x="278"/>
        <item x="242"/>
        <item x="281"/>
        <item x="245"/>
        <item x="248"/>
        <item x="275"/>
        <item x="251"/>
        <item x="272"/>
        <item x="254"/>
        <item x="269"/>
        <item x="257"/>
        <item x="266"/>
        <item x="260"/>
        <item x="1152"/>
        <item x="263"/>
        <item x="1155"/>
        <item x="1188"/>
        <item x="1182"/>
        <item x="1191"/>
        <item x="1158"/>
        <item x="1194"/>
        <item x="1197"/>
        <item x="1185"/>
        <item x="1161"/>
        <item x="1164"/>
        <item x="1173"/>
        <item x="1176"/>
        <item x="1179"/>
        <item x="1167"/>
        <item x="1170"/>
        <item x="241"/>
        <item x="286"/>
        <item x="244"/>
        <item x="277"/>
        <item x="283"/>
        <item x="247"/>
        <item x="250"/>
        <item x="280"/>
        <item x="274"/>
        <item x="253"/>
        <item x="271"/>
        <item x="268"/>
        <item x="256"/>
        <item x="265"/>
        <item x="259"/>
        <item x="262"/>
        <item x="1199"/>
        <item t="default"/>
      </items>
    </pivotField>
    <pivotField showAll="0">
      <items count="1196">
        <item x="711"/>
        <item x="708"/>
        <item x="714"/>
        <item x="717"/>
        <item x="705"/>
        <item x="702"/>
        <item x="707"/>
        <item x="699"/>
        <item x="955"/>
        <item x="946"/>
        <item x="716"/>
        <item x="952"/>
        <item x="696"/>
        <item x="949"/>
        <item x="713"/>
        <item x="693"/>
        <item x="777"/>
        <item x="690"/>
        <item x="684"/>
        <item x="687"/>
        <item x="681"/>
        <item x="943"/>
        <item x="802"/>
        <item x="678"/>
        <item x="672"/>
        <item x="675"/>
        <item x="811"/>
        <item x="808"/>
        <item x="805"/>
        <item x="779"/>
        <item x="797"/>
        <item x="774"/>
        <item x="992"/>
        <item x="1001"/>
        <item x="86"/>
        <item x="710"/>
        <item x="998"/>
        <item x="995"/>
        <item x="95"/>
        <item x="92"/>
        <item x="83"/>
        <item x="989"/>
        <item x="782"/>
        <item x="89"/>
        <item x="940"/>
        <item x="771"/>
        <item x="669"/>
        <item x="785"/>
        <item x="986"/>
        <item x="666"/>
        <item x="660"/>
        <item x="663"/>
        <item x="704"/>
        <item x="80"/>
        <item x="788"/>
        <item x="701"/>
        <item x="768"/>
        <item x="791"/>
        <item x="794"/>
        <item x="654"/>
        <item x="134"/>
        <item x="919"/>
        <item x="657"/>
        <item x="143"/>
        <item x="916"/>
        <item x="961"/>
        <item x="913"/>
        <item x="137"/>
        <item x="958"/>
        <item x="131"/>
        <item x="698"/>
        <item x="910"/>
        <item x="922"/>
        <item x="964"/>
        <item x="140"/>
        <item x="981"/>
        <item x="978"/>
        <item x="937"/>
        <item x="56"/>
        <item x="77"/>
        <item x="969"/>
        <item x="62"/>
        <item x="59"/>
        <item x="706"/>
        <item x="972"/>
        <item x="975"/>
        <item x="50"/>
        <item x="53"/>
        <item x="729"/>
        <item x="74"/>
        <item x="715"/>
        <item x="726"/>
        <item x="65"/>
        <item x="925"/>
        <item x="68"/>
        <item x="723"/>
        <item x="712"/>
        <item x="720"/>
        <item x="71"/>
        <item x="934"/>
        <item x="700"/>
        <item x="931"/>
        <item x="709"/>
        <item x="928"/>
        <item x="651"/>
        <item x="775"/>
        <item x="128"/>
        <item x="697"/>
        <item x="732"/>
        <item x="695"/>
        <item x="756"/>
        <item x="645"/>
        <item x="648"/>
        <item x="643"/>
        <item x="670"/>
        <item x="735"/>
        <item x="637"/>
        <item x="679"/>
        <item x="634"/>
        <item x="703"/>
        <item x="750"/>
        <item x="776"/>
        <item x="694"/>
        <item x="673"/>
        <item x="692"/>
        <item x="631"/>
        <item x="682"/>
        <item x="676"/>
        <item x="691"/>
        <item x="640"/>
        <item x="688"/>
        <item x="753"/>
        <item x="759"/>
        <item x="685"/>
        <item x="628"/>
        <item x="738"/>
        <item x="762"/>
        <item x="689"/>
        <item x="765"/>
        <item x="683"/>
        <item x="680"/>
        <item x="772"/>
        <item x="686"/>
        <item x="1079"/>
        <item x="671"/>
        <item x="625"/>
        <item x="674"/>
        <item x="110"/>
        <item x="107"/>
        <item x="741"/>
        <item x="677"/>
        <item x="800"/>
        <item x="113"/>
        <item x="945"/>
        <item x="104"/>
        <item x="744"/>
        <item x="116"/>
        <item x="801"/>
        <item x="101"/>
        <item x="951"/>
        <item x="795"/>
        <item x="954"/>
        <item x="780"/>
        <item x="778"/>
        <item x="464"/>
        <item x="119"/>
        <item x="122"/>
        <item x="125"/>
        <item x="98"/>
        <item x="769"/>
        <item x="773"/>
        <item x="747"/>
        <item x="798"/>
        <item x="948"/>
        <item x="796"/>
        <item x="803"/>
        <item x="804"/>
        <item x="807"/>
        <item x="810"/>
        <item x="84"/>
        <item x="799"/>
        <item x="806"/>
        <item x="809"/>
        <item x="783"/>
        <item x="990"/>
        <item x="991"/>
        <item x="85"/>
        <item x="781"/>
        <item x="987"/>
        <item x="786"/>
        <item x="942"/>
        <item x="770"/>
        <item x="1000"/>
        <item x="81"/>
        <item x="90"/>
        <item x="993"/>
        <item x="91"/>
        <item x="988"/>
        <item x="997"/>
        <item x="87"/>
        <item x="994"/>
        <item x="944"/>
        <item x="984"/>
        <item x="996"/>
        <item x="766"/>
        <item x="82"/>
        <item x="88"/>
        <item x="1076"/>
        <item x="93"/>
        <item x="871"/>
        <item x="999"/>
        <item x="94"/>
        <item x="78"/>
        <item x="898"/>
        <item x="950"/>
        <item x="947"/>
        <item x="789"/>
        <item x="1049"/>
        <item x="784"/>
        <item x="953"/>
        <item x="1037"/>
        <item x="1082"/>
        <item x="1046"/>
        <item x="434"/>
        <item x="1043"/>
        <item x="792"/>
        <item x="985"/>
        <item x="1052"/>
        <item x="1085"/>
        <item x="941"/>
        <item x="1088"/>
        <item x="938"/>
        <item x="939"/>
        <item x="895"/>
        <item x="787"/>
        <item x="868"/>
        <item x="1034"/>
        <item x="917"/>
        <item x="892"/>
        <item x="79"/>
        <item x="1004"/>
        <item x="1055"/>
        <item x="914"/>
        <item x="1040"/>
        <item x="578"/>
        <item x="904"/>
        <item x="1019"/>
        <item x="767"/>
        <item x="901"/>
        <item x="911"/>
        <item x="1061"/>
        <item x="959"/>
        <item x="1058"/>
        <item x="907"/>
        <item x="659"/>
        <item x="1022"/>
        <item x="956"/>
        <item x="1025"/>
        <item x="658"/>
        <item x="790"/>
        <item x="793"/>
        <item x="965"/>
        <item x="874"/>
        <item x="1064"/>
        <item x="865"/>
        <item x="467"/>
        <item x="962"/>
        <item x="982"/>
        <item x="908"/>
        <item x="979"/>
        <item x="32"/>
        <item x="581"/>
        <item x="920"/>
        <item x="1097"/>
        <item x="60"/>
        <item x="57"/>
        <item x="1028"/>
        <item x="976"/>
        <item x="437"/>
        <item x="668"/>
        <item x="1070"/>
        <item x="967"/>
        <item x="665"/>
        <item x="1007"/>
        <item x="607"/>
        <item x="970"/>
        <item x="54"/>
        <item x="75"/>
        <item x="662"/>
        <item x="38"/>
        <item x="473"/>
        <item x="915"/>
        <item x="973"/>
        <item x="727"/>
        <item x="1094"/>
        <item x="1067"/>
        <item x="1073"/>
        <item x="584"/>
        <item x="918"/>
        <item x="724"/>
        <item x="48"/>
        <item x="862"/>
        <item x="63"/>
        <item x="51"/>
        <item x="960"/>
        <item x="35"/>
        <item x="479"/>
        <item x="476"/>
        <item x="470"/>
        <item x="912"/>
        <item x="72"/>
        <item x="461"/>
        <item x="1031"/>
        <item x="655"/>
        <item x="652"/>
        <item x="877"/>
        <item x="718"/>
        <item x="661"/>
        <item x="66"/>
        <item x="69"/>
        <item x="935"/>
        <item x="721"/>
        <item x="2"/>
        <item x="957"/>
        <item x="47"/>
        <item x="610"/>
        <item x="653"/>
        <item x="452"/>
        <item x="923"/>
        <item x="449"/>
        <item x="963"/>
        <item x="29"/>
        <item x="664"/>
        <item x="613"/>
        <item x="656"/>
        <item x="587"/>
        <item x="44"/>
        <item x="983"/>
        <item x="458"/>
        <item x="1136"/>
        <item x="926"/>
        <item x="8"/>
        <item x="455"/>
        <item x="667"/>
        <item x="966"/>
        <item x="1016"/>
        <item x="909"/>
        <item x="929"/>
        <item x="326"/>
        <item x="440"/>
        <item x="1091"/>
        <item x="41"/>
        <item x="133"/>
        <item x="132"/>
        <item x="980"/>
        <item x="977"/>
        <item x="5"/>
        <item x="26"/>
        <item x="921"/>
        <item x="932"/>
        <item x="11"/>
        <item x="61"/>
        <item x="446"/>
        <item x="14"/>
        <item x="968"/>
        <item x="58"/>
        <item x="76"/>
        <item x="730"/>
        <item x="1010"/>
        <item x="974"/>
        <item x="936"/>
        <item x="880"/>
        <item x="17"/>
        <item x="518"/>
        <item x="55"/>
        <item x="971"/>
        <item x="129"/>
        <item x="52"/>
        <item x="142"/>
        <item x="20"/>
        <item x="332"/>
        <item x="725"/>
        <item x="64"/>
        <item x="728"/>
        <item x="130"/>
        <item x="49"/>
        <item x="23"/>
        <item x="136"/>
        <item x="1133"/>
        <item x="329"/>
        <item x="924"/>
        <item x="135"/>
        <item x="73"/>
        <item x="323"/>
        <item x="67"/>
        <item x="335"/>
        <item x="733"/>
        <item x="590"/>
        <item x="1145"/>
        <item x="754"/>
        <item x="889"/>
        <item x="70"/>
        <item x="722"/>
        <item x="886"/>
        <item x="719"/>
        <item x="933"/>
        <item x="126"/>
        <item x="930"/>
        <item x="443"/>
        <item x="141"/>
        <item x="748"/>
        <item x="646"/>
        <item x="138"/>
        <item x="139"/>
        <item x="619"/>
        <item x="635"/>
        <item x="512"/>
        <item x="883"/>
        <item x="649"/>
        <item x="515"/>
        <item x="927"/>
        <item x="641"/>
        <item x="1139"/>
        <item x="632"/>
        <item x="616"/>
        <item x="1142"/>
        <item x="629"/>
        <item x="491"/>
        <item x="320"/>
        <item x="527"/>
        <item x="593"/>
        <item x="731"/>
        <item x="1013"/>
        <item x="638"/>
        <item x="626"/>
        <item x="604"/>
        <item x="859"/>
        <item x="622"/>
        <item x="736"/>
        <item x="856"/>
        <item x="230"/>
        <item x="521"/>
        <item x="1130"/>
        <item x="751"/>
        <item x="239"/>
        <item x="127"/>
        <item x="644"/>
        <item x="650"/>
        <item x="757"/>
        <item x="755"/>
        <item x="524"/>
        <item x="236"/>
        <item x="595"/>
        <item x="233"/>
        <item x="647"/>
        <item x="623"/>
        <item x="853"/>
        <item x="601"/>
        <item x="1077"/>
        <item x="739"/>
        <item x="494"/>
        <item x="642"/>
        <item x="374"/>
        <item x="850"/>
        <item x="108"/>
        <item x="734"/>
        <item x="814"/>
        <item x="636"/>
        <item x="633"/>
        <item x="102"/>
        <item x="105"/>
        <item x="224"/>
        <item x="749"/>
        <item x="760"/>
        <item x="111"/>
        <item x="817"/>
        <item x="488"/>
        <item x="380"/>
        <item x="823"/>
        <item x="630"/>
        <item x="598"/>
        <item x="227"/>
        <item x="114"/>
        <item x="742"/>
        <item x="383"/>
        <item x="847"/>
        <item x="194"/>
        <item x="639"/>
        <item x="627"/>
        <item x="763"/>
        <item x="820"/>
        <item x="737"/>
        <item x="758"/>
        <item x="462"/>
        <item x="752"/>
        <item x="99"/>
        <item x="497"/>
        <item x="197"/>
        <item x="120"/>
        <item x="371"/>
        <item x="117"/>
        <item x="96"/>
        <item x="485"/>
        <item x="123"/>
        <item x="761"/>
        <item x="624"/>
        <item x="826"/>
        <item x="1078"/>
        <item x="745"/>
        <item x="764"/>
        <item x="841"/>
        <item x="200"/>
        <item x="299"/>
        <item x="377"/>
        <item x="740"/>
        <item x="838"/>
        <item x="835"/>
        <item x="109"/>
        <item x="112"/>
        <item x="203"/>
        <item x="832"/>
        <item x="103"/>
        <item x="106"/>
        <item x="206"/>
        <item x="500"/>
        <item x="844"/>
        <item x="302"/>
        <item x="305"/>
        <item x="743"/>
        <item x="115"/>
        <item x="221"/>
        <item x="100"/>
        <item x="218"/>
        <item x="209"/>
        <item x="829"/>
        <item x="509"/>
        <item x="463"/>
        <item x="506"/>
        <item x="121"/>
        <item x="124"/>
        <item x="482"/>
        <item x="118"/>
        <item x="212"/>
        <item x="215"/>
        <item x="296"/>
        <item x="97"/>
        <item x="308"/>
        <item x="1100"/>
        <item x="503"/>
        <item x="311"/>
        <item x="746"/>
        <item x="1103"/>
        <item x="182"/>
        <item x="1074"/>
        <item x="869"/>
        <item x="176"/>
        <item x="293"/>
        <item x="179"/>
        <item x="314"/>
        <item x="1127"/>
        <item x="317"/>
        <item x="1109"/>
        <item x="1106"/>
        <item x="1035"/>
        <item x="185"/>
        <item x="1080"/>
        <item x="290"/>
        <item x="167"/>
        <item x="1083"/>
        <item x="1050"/>
        <item x="432"/>
        <item x="188"/>
        <item x="368"/>
        <item x="191"/>
        <item x="1086"/>
        <item x="866"/>
        <item x="1124"/>
        <item x="1032"/>
        <item x="896"/>
        <item x="576"/>
        <item x="164"/>
        <item x="1053"/>
        <item x="1112"/>
        <item x="1017"/>
        <item x="1121"/>
        <item x="1041"/>
        <item x="1002"/>
        <item x="1056"/>
        <item x="1059"/>
        <item x="1038"/>
        <item x="890"/>
        <item x="170"/>
        <item x="1023"/>
        <item x="1075"/>
        <item x="1118"/>
        <item x="870"/>
        <item x="161"/>
        <item x="893"/>
        <item x="1115"/>
        <item x="1062"/>
        <item x="1044"/>
        <item x="1020"/>
        <item x="863"/>
        <item x="1036"/>
        <item x="872"/>
        <item x="897"/>
        <item x="465"/>
        <item x="1081"/>
        <item x="579"/>
        <item x="173"/>
        <item x="1047"/>
        <item x="1051"/>
        <item x="30"/>
        <item x="433"/>
        <item x="899"/>
        <item x="902"/>
        <item x="1042"/>
        <item x="1087"/>
        <item x="1033"/>
        <item x="1005"/>
        <item x="1068"/>
        <item x="1084"/>
        <item x="1026"/>
        <item x="1045"/>
        <item x="605"/>
        <item x="435"/>
        <item x="341"/>
        <item x="1048"/>
        <item x="347"/>
        <item x="338"/>
        <item x="1003"/>
        <item x="344"/>
        <item x="860"/>
        <item x="1071"/>
        <item x="1065"/>
        <item x="894"/>
        <item x="582"/>
        <item x="1029"/>
        <item x="867"/>
        <item x="891"/>
        <item x="459"/>
        <item x="1054"/>
        <item x="577"/>
        <item x="905"/>
        <item x="1039"/>
        <item x="1018"/>
        <item x="416"/>
        <item x="386"/>
        <item x="1057"/>
        <item x="608"/>
        <item x="350"/>
        <item x="1024"/>
        <item x="471"/>
        <item x="1021"/>
        <item x="468"/>
        <item x="1060"/>
        <item x="875"/>
        <item x="474"/>
        <item x="33"/>
        <item x="1063"/>
        <item x="0"/>
        <item x="392"/>
        <item x="450"/>
        <item x="1095"/>
        <item x="477"/>
        <item x="389"/>
        <item x="447"/>
        <item x="36"/>
        <item x="353"/>
        <item x="900"/>
        <item x="585"/>
        <item x="456"/>
        <item x="903"/>
        <item x="1014"/>
        <item x="466"/>
        <item x="453"/>
        <item x="873"/>
        <item x="27"/>
        <item x="6"/>
        <item x="611"/>
        <item x="1092"/>
        <item x="395"/>
        <item x="438"/>
        <item x="24"/>
        <item x="158"/>
        <item x="864"/>
        <item x="3"/>
        <item x="906"/>
        <item x="31"/>
        <item x="580"/>
        <item x="444"/>
        <item x="398"/>
        <item x="1008"/>
        <item x="436"/>
        <item x="12"/>
        <item x="356"/>
        <item x="365"/>
        <item x="9"/>
        <item x="1069"/>
        <item x="15"/>
        <item x="1027"/>
        <item x="606"/>
        <item x="861"/>
        <item x="401"/>
        <item x="878"/>
        <item x="362"/>
        <item x="1006"/>
        <item x="1066"/>
        <item x="1096"/>
        <item x="1089"/>
        <item x="460"/>
        <item x="583"/>
        <item x="37"/>
        <item x="146"/>
        <item x="18"/>
        <item x="1030"/>
        <item x="359"/>
        <item x="1072"/>
        <item x="45"/>
        <item x="42"/>
        <item x="39"/>
        <item x="34"/>
        <item x="472"/>
        <item x="149"/>
        <item x="1093"/>
        <item x="588"/>
        <item x="451"/>
        <item x="469"/>
        <item x="21"/>
        <item x="1"/>
        <item x="609"/>
        <item x="475"/>
        <item x="887"/>
        <item x="876"/>
        <item x="152"/>
        <item x="478"/>
        <item x="441"/>
        <item x="881"/>
        <item x="448"/>
        <item x="419"/>
        <item x="586"/>
        <item x="28"/>
        <item x="884"/>
        <item x="404"/>
        <item x="617"/>
        <item x="155"/>
        <item x="614"/>
        <item x="489"/>
        <item x="612"/>
        <item x="413"/>
        <item x="410"/>
        <item x="516"/>
        <item x="457"/>
        <item x="4"/>
        <item x="1015"/>
        <item x="7"/>
        <item x="25"/>
        <item x="591"/>
        <item x="439"/>
        <item x="454"/>
        <item x="602"/>
        <item x="46"/>
        <item x="43"/>
        <item x="1090"/>
        <item x="10"/>
        <item x="445"/>
        <item x="510"/>
        <item x="407"/>
        <item x="1011"/>
        <item x="566"/>
        <item x="40"/>
        <item x="13"/>
        <item x="16"/>
        <item x="1009"/>
        <item x="879"/>
        <item x="620"/>
        <item x="19"/>
        <item x="513"/>
        <item x="22"/>
        <item x="599"/>
        <item x="575"/>
        <item x="492"/>
        <item x="324"/>
        <item x="517"/>
        <item x="1134"/>
        <item x="888"/>
        <item x="589"/>
        <item x="563"/>
        <item x="812"/>
        <item x="325"/>
        <item x="228"/>
        <item x="442"/>
        <item x="569"/>
        <item x="1135"/>
        <item x="519"/>
        <item x="815"/>
        <item x="821"/>
        <item x="885"/>
        <item x="490"/>
        <item x="486"/>
        <item x="525"/>
        <item x="618"/>
        <item x="321"/>
        <item x="560"/>
        <item x="882"/>
        <item x="511"/>
        <item x="615"/>
        <item x="596"/>
        <item x="592"/>
        <item x="572"/>
        <item x="222"/>
        <item x="318"/>
        <item x="522"/>
        <item x="1128"/>
        <item x="192"/>
        <item x="818"/>
        <item x="1131"/>
        <item x="603"/>
        <item x="495"/>
        <item x="422"/>
        <item x="322"/>
        <item x="854"/>
        <item x="514"/>
        <item x="1012"/>
        <item x="857"/>
        <item x="1132"/>
        <item x="425"/>
        <item x="545"/>
        <item x="225"/>
        <item x="328"/>
        <item x="327"/>
        <item x="851"/>
        <item x="234"/>
        <item x="231"/>
        <item x="530"/>
        <item x="195"/>
        <item x="621"/>
        <item x="848"/>
        <item x="331"/>
        <item x="557"/>
        <item x="824"/>
        <item x="237"/>
        <item x="845"/>
        <item x="229"/>
        <item x="330"/>
        <item x="198"/>
        <item x="1137"/>
        <item x="551"/>
        <item x="594"/>
        <item x="1129"/>
        <item x="1140"/>
        <item x="520"/>
        <item x="526"/>
        <item x="600"/>
        <item x="319"/>
        <item x="533"/>
        <item x="554"/>
        <item x="548"/>
        <item x="334"/>
        <item x="523"/>
        <item x="1138"/>
        <item x="483"/>
        <item x="333"/>
        <item x="1144"/>
        <item x="493"/>
        <item x="1143"/>
        <item x="428"/>
        <item x="1141"/>
        <item x="542"/>
        <item x="201"/>
        <item x="822"/>
        <item x="858"/>
        <item x="839"/>
        <item x="536"/>
        <item x="813"/>
        <item x="855"/>
        <item x="836"/>
        <item x="238"/>
        <item x="431"/>
        <item x="297"/>
        <item x="816"/>
        <item x="232"/>
        <item x="223"/>
        <item x="487"/>
        <item x="235"/>
        <item x="830"/>
        <item x="539"/>
        <item x="849"/>
        <item x="833"/>
        <item x="819"/>
        <item x="204"/>
        <item x="852"/>
        <item x="498"/>
        <item x="193"/>
        <item x="300"/>
        <item x="597"/>
        <item x="226"/>
        <item x="842"/>
        <item x="303"/>
        <item x="207"/>
        <item x="496"/>
        <item x="219"/>
        <item x="827"/>
        <item x="480"/>
        <item x="507"/>
        <item x="210"/>
        <item x="504"/>
        <item x="846"/>
        <item x="216"/>
        <item x="294"/>
        <item x="501"/>
        <item x="306"/>
        <item x="196"/>
        <item x="825"/>
        <item x="213"/>
        <item x="199"/>
        <item x="1098"/>
        <item x="309"/>
        <item x="1101"/>
        <item x="840"/>
        <item x="484"/>
        <item x="174"/>
        <item x="180"/>
        <item x="202"/>
        <item x="291"/>
        <item x="834"/>
        <item x="298"/>
        <item x="177"/>
        <item x="312"/>
        <item x="837"/>
        <item x="831"/>
        <item x="1104"/>
        <item x="499"/>
        <item x="205"/>
        <item x="301"/>
        <item x="373"/>
        <item x="1107"/>
        <item x="843"/>
        <item x="165"/>
        <item x="1125"/>
        <item x="304"/>
        <item x="208"/>
        <item x="315"/>
        <item x="370"/>
        <item x="220"/>
        <item x="183"/>
        <item x="217"/>
        <item x="379"/>
        <item x="508"/>
        <item x="288"/>
        <item x="505"/>
        <item x="372"/>
        <item x="828"/>
        <item x="382"/>
        <item x="214"/>
        <item x="211"/>
        <item x="369"/>
        <item x="481"/>
        <item x="295"/>
        <item x="307"/>
        <item x="502"/>
        <item x="1099"/>
        <item x="162"/>
        <item x="1122"/>
        <item x="175"/>
        <item x="378"/>
        <item x="186"/>
        <item x="310"/>
        <item x="189"/>
        <item x="181"/>
        <item x="1102"/>
        <item x="168"/>
        <item x="292"/>
        <item x="1110"/>
        <item x="1119"/>
        <item x="313"/>
        <item x="178"/>
        <item x="381"/>
        <item x="1116"/>
        <item x="376"/>
        <item x="1105"/>
        <item x="159"/>
        <item x="1113"/>
        <item x="375"/>
        <item x="166"/>
        <item x="1126"/>
        <item x="316"/>
        <item x="1108"/>
        <item x="184"/>
        <item x="289"/>
        <item x="171"/>
        <item x="366"/>
        <item x="1123"/>
        <item x="339"/>
        <item x="187"/>
        <item x="342"/>
        <item x="163"/>
        <item x="345"/>
        <item x="336"/>
        <item x="190"/>
        <item x="414"/>
        <item x="1120"/>
        <item x="1111"/>
        <item x="384"/>
        <item x="348"/>
        <item x="367"/>
        <item x="169"/>
        <item x="1114"/>
        <item x="1117"/>
        <item x="351"/>
        <item x="390"/>
        <item x="160"/>
        <item x="387"/>
        <item x="396"/>
        <item x="156"/>
        <item x="393"/>
        <item x="172"/>
        <item x="354"/>
        <item x="337"/>
        <item x="399"/>
        <item x="363"/>
        <item x="340"/>
        <item x="343"/>
        <item x="346"/>
        <item x="357"/>
        <item x="144"/>
        <item x="385"/>
        <item x="147"/>
        <item x="415"/>
        <item x="360"/>
        <item x="349"/>
        <item x="150"/>
        <item x="402"/>
        <item x="417"/>
        <item x="388"/>
        <item x="391"/>
        <item x="153"/>
        <item x="352"/>
        <item x="1148"/>
        <item x="408"/>
        <item x="411"/>
        <item x="394"/>
        <item x="397"/>
        <item x="355"/>
        <item x="157"/>
        <item x="405"/>
        <item x="364"/>
        <item x="400"/>
        <item x="358"/>
        <item x="145"/>
        <item x="1184"/>
        <item x="361"/>
        <item x="287"/>
        <item x="564"/>
        <item x="1151"/>
        <item x="148"/>
        <item x="1190"/>
        <item x="151"/>
        <item x="561"/>
        <item x="418"/>
        <item x="1193"/>
        <item x="403"/>
        <item x="1187"/>
        <item x="154"/>
        <item x="1178"/>
        <item x="558"/>
        <item x="409"/>
        <item x="412"/>
        <item x="567"/>
        <item x="1154"/>
        <item x="1181"/>
        <item x="573"/>
        <item x="570"/>
        <item x="406"/>
        <item x="420"/>
        <item x="543"/>
        <item x="423"/>
        <item x="565"/>
        <item x="555"/>
        <item x="528"/>
        <item x="549"/>
        <item x="546"/>
        <item x="531"/>
        <item x="1157"/>
        <item x="552"/>
        <item x="562"/>
        <item x="574"/>
        <item x="534"/>
        <item x="540"/>
        <item x="1160"/>
        <item x="429"/>
        <item x="426"/>
        <item x="284"/>
        <item x="559"/>
        <item x="568"/>
        <item x="537"/>
        <item x="1169"/>
        <item x="571"/>
        <item x="1172"/>
        <item x="1166"/>
        <item x="1175"/>
        <item x="1163"/>
        <item x="421"/>
        <item x="544"/>
        <item x="278"/>
        <item x="550"/>
        <item x="424"/>
        <item x="556"/>
        <item x="242"/>
        <item x="529"/>
        <item x="547"/>
        <item x="553"/>
        <item x="281"/>
        <item x="541"/>
        <item x="427"/>
        <item x="532"/>
        <item x="535"/>
        <item x="245"/>
        <item x="430"/>
        <item x="538"/>
        <item x="248"/>
        <item x="275"/>
        <item x="251"/>
        <item x="272"/>
        <item x="254"/>
        <item x="269"/>
        <item x="257"/>
        <item x="266"/>
        <item x="260"/>
        <item x="263"/>
        <item x="1146"/>
        <item x="1149"/>
        <item x="1182"/>
        <item x="1147"/>
        <item x="1176"/>
        <item x="1152"/>
        <item x="1185"/>
        <item x="1179"/>
        <item x="1188"/>
        <item x="1191"/>
        <item x="1155"/>
        <item x="1150"/>
        <item x="1183"/>
        <item x="1158"/>
        <item x="1170"/>
        <item x="1177"/>
        <item x="1167"/>
        <item x="1186"/>
        <item x="1161"/>
        <item x="1153"/>
        <item x="1173"/>
        <item x="1189"/>
        <item x="1192"/>
        <item x="1180"/>
        <item x="1164"/>
        <item x="240"/>
        <item x="1156"/>
        <item x="243"/>
        <item x="1159"/>
        <item x="1168"/>
        <item x="1171"/>
        <item x="1174"/>
        <item x="1162"/>
        <item x="246"/>
        <item x="1165"/>
        <item x="249"/>
        <item x="241"/>
        <item x="286"/>
        <item x="252"/>
        <item x="244"/>
        <item x="270"/>
        <item x="277"/>
        <item x="276"/>
        <item x="273"/>
        <item x="255"/>
        <item x="283"/>
        <item x="247"/>
        <item x="267"/>
        <item x="250"/>
        <item x="258"/>
        <item x="264"/>
        <item x="280"/>
        <item x="274"/>
        <item x="285"/>
        <item x="279"/>
        <item x="253"/>
        <item x="282"/>
        <item x="271"/>
        <item x="261"/>
        <item x="268"/>
        <item x="256"/>
        <item x="265"/>
        <item x="259"/>
        <item x="262"/>
        <item x="119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3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0" hier="-1"/>
  </pageFields>
  <dataFields count="1">
    <dataField name="Average of fuel_price_usd_per_liter" fld="16" subtotal="average" baseField="3" baseItem="0"/>
  </dataFields>
  <chartFormats count="17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50F37-1214-4802-9BF6-52FB727687F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7:B74" firstHeaderRow="1" firstDataRow="1" firstDataCol="1"/>
  <pivotFields count="25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1201">
        <item x="712"/>
        <item x="709"/>
        <item x="715"/>
        <item x="718"/>
        <item x="706"/>
        <item x="703"/>
        <item x="711"/>
        <item x="708"/>
        <item x="710"/>
        <item x="707"/>
        <item x="716"/>
        <item x="713"/>
        <item x="701"/>
        <item x="714"/>
        <item x="776"/>
        <item x="698"/>
        <item x="717"/>
        <item x="671"/>
        <item x="680"/>
        <item x="704"/>
        <item x="695"/>
        <item x="674"/>
        <item x="683"/>
        <item x="677"/>
        <item x="692"/>
        <item x="689"/>
        <item x="700"/>
        <item x="686"/>
        <item x="779"/>
        <item x="773"/>
        <item x="803"/>
        <item x="797"/>
        <item x="782"/>
        <item x="770"/>
        <item x="800"/>
        <item x="958"/>
        <item x="806"/>
        <item x="949"/>
        <item x="84"/>
        <item x="955"/>
        <item x="809"/>
        <item x="812"/>
        <item x="785"/>
        <item x="995"/>
        <item x="952"/>
        <item x="697"/>
        <item x="992"/>
        <item x="788"/>
        <item x="81"/>
        <item x="90"/>
        <item x="998"/>
        <item x="87"/>
        <item x="947"/>
        <item x="989"/>
        <item x="1001"/>
        <item x="767"/>
        <item x="93"/>
        <item x="1004"/>
        <item x="78"/>
        <item x="953"/>
        <item x="950"/>
        <item x="791"/>
        <item x="956"/>
        <item x="794"/>
        <item x="694"/>
        <item x="944"/>
        <item x="941"/>
        <item x="920"/>
        <item x="917"/>
        <item x="914"/>
        <item x="962"/>
        <item x="959"/>
        <item x="659"/>
        <item x="778"/>
        <item x="968"/>
        <item x="965"/>
        <item x="691"/>
        <item x="986"/>
        <item x="911"/>
        <item x="685"/>
        <item x="983"/>
        <item x="923"/>
        <item x="688"/>
        <item x="60"/>
        <item x="57"/>
        <item x="980"/>
        <item x="682"/>
        <item x="971"/>
        <item x="974"/>
        <item x="54"/>
        <item x="75"/>
        <item x="977"/>
        <item x="728"/>
        <item x="725"/>
        <item x="48"/>
        <item x="63"/>
        <item x="51"/>
        <item x="946"/>
        <item x="72"/>
        <item x="805"/>
        <item x="656"/>
        <item x="653"/>
        <item x="719"/>
        <item x="662"/>
        <item x="66"/>
        <item x="69"/>
        <item x="938"/>
        <item x="679"/>
        <item x="673"/>
        <item x="722"/>
        <item x="676"/>
        <item x="926"/>
        <item x="705"/>
        <item x="665"/>
        <item x="929"/>
        <item x="668"/>
        <item x="814"/>
        <item x="932"/>
        <item x="811"/>
        <item x="132"/>
        <item x="935"/>
        <item x="808"/>
        <item x="702"/>
        <item x="731"/>
        <item x="781"/>
        <item x="799"/>
        <item x="129"/>
        <item x="775"/>
        <item x="997"/>
        <item x="1006"/>
        <item x="86"/>
        <item x="802"/>
        <item x="135"/>
        <item x="734"/>
        <item x="755"/>
        <item x="1003"/>
        <item x="1000"/>
        <item x="126"/>
        <item x="141"/>
        <item x="749"/>
        <item x="647"/>
        <item x="138"/>
        <item x="95"/>
        <item x="636"/>
        <item x="650"/>
        <item x="642"/>
        <item x="92"/>
        <item x="633"/>
        <item x="630"/>
        <item x="83"/>
        <item x="994"/>
        <item x="639"/>
        <item x="627"/>
        <item x="737"/>
        <item x="784"/>
        <item x="752"/>
        <item x="89"/>
        <item x="758"/>
        <item x="943"/>
        <item x="772"/>
        <item x="699"/>
        <item x="624"/>
        <item x="1082"/>
        <item x="740"/>
        <item x="108"/>
        <item x="102"/>
        <item x="670"/>
        <item x="105"/>
        <item x="761"/>
        <item x="111"/>
        <item x="787"/>
        <item x="991"/>
        <item x="114"/>
        <item x="743"/>
        <item x="667"/>
        <item x="661"/>
        <item x="764"/>
        <item x="462"/>
        <item x="99"/>
        <item x="664"/>
        <item x="120"/>
        <item x="80"/>
        <item x="790"/>
        <item x="117"/>
        <item x="96"/>
        <item x="123"/>
        <item x="746"/>
        <item x="769"/>
        <item x="793"/>
        <item x="696"/>
        <item x="796"/>
        <item x="655"/>
        <item x="134"/>
        <item x="777"/>
        <item x="658"/>
        <item x="922"/>
        <item x="693"/>
        <item x="143"/>
        <item x="919"/>
        <item x="1079"/>
        <item x="964"/>
        <item x="872"/>
        <item x="916"/>
        <item x="137"/>
        <item x="961"/>
        <item x="988"/>
        <item x="131"/>
        <item x="1040"/>
        <item x="690"/>
        <item x="913"/>
        <item x="925"/>
        <item x="967"/>
        <item x="970"/>
        <item x="140"/>
        <item x="684"/>
        <item x="1085"/>
        <item x="1088"/>
        <item x="985"/>
        <item x="681"/>
        <item x="1055"/>
        <item x="982"/>
        <item x="687"/>
        <item x="432"/>
        <item x="940"/>
        <item x="672"/>
        <item x="56"/>
        <item x="1091"/>
        <item x="675"/>
        <item x="869"/>
        <item x="77"/>
        <item x="1037"/>
        <item x="899"/>
        <item x="973"/>
        <item x="62"/>
        <item x="678"/>
        <item x="576"/>
        <item x="59"/>
        <item x="976"/>
        <item x="979"/>
        <item x="1058"/>
        <item x="948"/>
        <item x="1022"/>
        <item x="50"/>
        <item x="1007"/>
        <item x="1046"/>
        <item x="53"/>
        <item x="1061"/>
        <item x="1064"/>
        <item x="730"/>
        <item x="74"/>
        <item x="804"/>
        <item x="727"/>
        <item x="65"/>
        <item x="954"/>
        <item x="1043"/>
        <item x="893"/>
        <item x="928"/>
        <item x="68"/>
        <item x="724"/>
        <item x="1028"/>
        <item x="957"/>
        <item x="721"/>
        <item x="71"/>
        <item x="780"/>
        <item x="937"/>
        <item x="896"/>
        <item x="1067"/>
        <item x="1049"/>
        <item x="934"/>
        <item x="1025"/>
        <item x="951"/>
        <item x="931"/>
        <item x="866"/>
        <item x="875"/>
        <item x="652"/>
        <item x="465"/>
        <item x="579"/>
        <item x="774"/>
        <item x="1052"/>
        <item x="30"/>
        <item x="798"/>
        <item x="902"/>
        <item x="905"/>
        <item x="128"/>
        <item x="733"/>
        <item x="1010"/>
        <item x="1073"/>
        <item x="807"/>
        <item x="1031"/>
        <item x="606"/>
        <item x="435"/>
        <item x="810"/>
        <item x="813"/>
        <item x="863"/>
        <item x="1076"/>
        <item x="1070"/>
        <item x="757"/>
        <item x="582"/>
        <item x="1034"/>
        <item x="646"/>
        <item x="801"/>
        <item x="459"/>
        <item x="649"/>
        <item x="908"/>
        <item x="644"/>
        <item x="609"/>
        <item x="471"/>
        <item x="468"/>
        <item x="878"/>
        <item x="736"/>
        <item x="474"/>
        <item x="638"/>
        <item x="996"/>
        <item x="33"/>
        <item x="0"/>
        <item x="450"/>
        <item x="1100"/>
        <item x="635"/>
        <item x="85"/>
        <item x="751"/>
        <item x="783"/>
        <item x="477"/>
        <item x="447"/>
        <item x="36"/>
        <item x="585"/>
        <item x="456"/>
        <item x="1019"/>
        <item x="453"/>
        <item x="632"/>
        <item x="27"/>
        <item x="6"/>
        <item x="612"/>
        <item x="945"/>
        <item x="1097"/>
        <item x="438"/>
        <item x="771"/>
        <item x="24"/>
        <item x="641"/>
        <item x="1005"/>
        <item x="3"/>
        <item x="91"/>
        <item x="993"/>
        <item x="1002"/>
        <item x="444"/>
        <item x="754"/>
        <item x="999"/>
        <item x="1013"/>
        <item x="760"/>
        <item x="12"/>
        <item x="9"/>
        <item x="15"/>
        <item x="82"/>
        <item x="629"/>
        <item x="88"/>
        <item x="881"/>
        <item x="739"/>
        <item x="763"/>
        <item x="94"/>
        <item x="1094"/>
        <item x="766"/>
        <item x="18"/>
        <item x="45"/>
        <item x="42"/>
        <item x="39"/>
        <item x="786"/>
        <item x="1084"/>
        <item x="588"/>
        <item x="626"/>
        <item x="21"/>
        <item x="890"/>
        <item x="441"/>
        <item x="884"/>
        <item x="110"/>
        <item x="107"/>
        <item x="887"/>
        <item x="990"/>
        <item x="742"/>
        <item x="618"/>
        <item x="113"/>
        <item x="615"/>
        <item x="489"/>
        <item x="942"/>
        <item x="516"/>
        <item x="789"/>
        <item x="104"/>
        <item x="79"/>
        <item x="745"/>
        <item x="591"/>
        <item x="116"/>
        <item x="101"/>
        <item x="603"/>
        <item x="510"/>
        <item x="1016"/>
        <item x="464"/>
        <item x="768"/>
        <item x="119"/>
        <item x="122"/>
        <item x="125"/>
        <item x="660"/>
        <item x="621"/>
        <item x="98"/>
        <item x="792"/>
        <item x="513"/>
        <item x="748"/>
        <item x="600"/>
        <item x="795"/>
        <item x="492"/>
        <item x="324"/>
        <item x="594"/>
        <item x="1139"/>
        <item x="815"/>
        <item x="228"/>
        <item x="519"/>
        <item x="818"/>
        <item x="824"/>
        <item x="486"/>
        <item x="525"/>
        <item x="321"/>
        <item x="669"/>
        <item x="597"/>
        <item x="666"/>
        <item x="222"/>
        <item x="318"/>
        <item x="522"/>
        <item x="1133"/>
        <item x="663"/>
        <item x="192"/>
        <item x="821"/>
        <item x="1136"/>
        <item x="918"/>
        <item x="495"/>
        <item x="921"/>
        <item x="857"/>
        <item x="963"/>
        <item x="860"/>
        <item x="915"/>
        <item x="225"/>
        <item x="327"/>
        <item x="854"/>
        <item x="234"/>
        <item x="231"/>
        <item x="195"/>
        <item x="851"/>
        <item x="960"/>
        <item x="654"/>
        <item x="827"/>
        <item x="237"/>
        <item x="848"/>
        <item x="330"/>
        <item x="198"/>
        <item x="966"/>
        <item x="1142"/>
        <item x="1145"/>
        <item x="657"/>
        <item x="483"/>
        <item x="987"/>
        <item x="333"/>
        <item x="1148"/>
        <item x="201"/>
        <item x="969"/>
        <item x="912"/>
        <item x="842"/>
        <item x="133"/>
        <item x="839"/>
        <item x="984"/>
        <item x="981"/>
        <item x="297"/>
        <item x="1081"/>
        <item x="924"/>
        <item x="874"/>
        <item x="833"/>
        <item x="836"/>
        <item x="61"/>
        <item x="972"/>
        <item x="901"/>
        <item x="58"/>
        <item x="204"/>
        <item x="76"/>
        <item x="498"/>
        <item x="300"/>
        <item x="978"/>
        <item x="939"/>
        <item x="845"/>
        <item x="1054"/>
        <item x="55"/>
        <item x="975"/>
        <item x="303"/>
        <item x="52"/>
        <item x="142"/>
        <item x="726"/>
        <item x="1042"/>
        <item x="207"/>
        <item x="64"/>
        <item x="1087"/>
        <item x="219"/>
        <item x="1051"/>
        <item x="830"/>
        <item x="729"/>
        <item x="434"/>
        <item x="130"/>
        <item x="49"/>
        <item x="480"/>
        <item x="507"/>
        <item x="136"/>
        <item x="210"/>
        <item x="504"/>
        <item x="1048"/>
        <item x="216"/>
        <item x="927"/>
        <item x="73"/>
        <item x="294"/>
        <item x="501"/>
        <item x="67"/>
        <item x="1057"/>
        <item x="1090"/>
        <item x="70"/>
        <item x="723"/>
        <item x="306"/>
        <item x="720"/>
        <item x="1093"/>
        <item x="898"/>
        <item x="936"/>
        <item x="871"/>
        <item x="1039"/>
        <item x="895"/>
        <item x="213"/>
        <item x="933"/>
        <item x="1103"/>
        <item x="139"/>
        <item x="1009"/>
        <item x="1060"/>
        <item x="309"/>
        <item x="1106"/>
        <item x="930"/>
        <item x="1045"/>
        <item x="174"/>
        <item x="578"/>
        <item x="907"/>
        <item x="180"/>
        <item x="1024"/>
        <item x="904"/>
        <item x="291"/>
        <item x="1066"/>
        <item x="732"/>
        <item x="177"/>
        <item x="1063"/>
        <item x="910"/>
        <item x="312"/>
        <item x="1109"/>
        <item x="1027"/>
        <item x="1112"/>
        <item x="1030"/>
        <item x="165"/>
        <item x="1130"/>
        <item x="127"/>
        <item x="645"/>
        <item x="877"/>
        <item x="315"/>
        <item x="651"/>
        <item x="756"/>
        <item x="1069"/>
        <item x="868"/>
        <item x="183"/>
        <item x="467"/>
        <item x="288"/>
        <item x="648"/>
        <item x="372"/>
        <item x="32"/>
        <item x="581"/>
        <item x="1102"/>
        <item x="1033"/>
        <item x="369"/>
        <item x="643"/>
        <item x="735"/>
        <item x="637"/>
        <item x="437"/>
        <item x="634"/>
        <item x="1075"/>
        <item x="162"/>
        <item x="1012"/>
        <item x="750"/>
        <item x="608"/>
        <item x="1127"/>
        <item x="38"/>
        <item x="473"/>
        <item x="378"/>
        <item x="186"/>
        <item x="1099"/>
        <item x="189"/>
        <item x="1072"/>
        <item x="1078"/>
        <item x="584"/>
        <item x="865"/>
        <item x="631"/>
        <item x="168"/>
        <item x="35"/>
        <item x="1115"/>
        <item x="1124"/>
        <item x="640"/>
        <item x="479"/>
        <item x="476"/>
        <item x="628"/>
        <item x="470"/>
        <item x="381"/>
        <item x="738"/>
        <item x="461"/>
        <item x="1036"/>
        <item x="759"/>
        <item x="753"/>
        <item x="880"/>
        <item x="1121"/>
        <item x="2"/>
        <item x="47"/>
        <item x="611"/>
        <item x="159"/>
        <item x="452"/>
        <item x="1118"/>
        <item x="375"/>
        <item x="449"/>
        <item x="29"/>
        <item x="614"/>
        <item x="587"/>
        <item x="44"/>
        <item x="458"/>
        <item x="1141"/>
        <item x="8"/>
        <item x="455"/>
        <item x="1021"/>
        <item x="171"/>
        <item x="762"/>
        <item x="625"/>
        <item x="326"/>
        <item x="440"/>
        <item x="1083"/>
        <item x="1096"/>
        <item x="41"/>
        <item x="366"/>
        <item x="5"/>
        <item x="765"/>
        <item x="26"/>
        <item x="11"/>
        <item x="339"/>
        <item x="446"/>
        <item x="14"/>
        <item x="741"/>
        <item x="518"/>
        <item x="342"/>
        <item x="1015"/>
        <item x="109"/>
        <item x="112"/>
        <item x="345"/>
        <item x="103"/>
        <item x="883"/>
        <item x="17"/>
        <item x="336"/>
        <item x="106"/>
        <item x="20"/>
        <item x="332"/>
        <item x="414"/>
        <item x="744"/>
        <item x="23"/>
        <item x="384"/>
        <item x="115"/>
        <item x="1138"/>
        <item x="348"/>
        <item x="329"/>
        <item x="100"/>
        <item x="323"/>
        <item x="335"/>
        <item x="590"/>
        <item x="1150"/>
        <item x="463"/>
        <item x="892"/>
        <item x="351"/>
        <item x="889"/>
        <item x="390"/>
        <item x="387"/>
        <item x="121"/>
        <item x="124"/>
        <item x="443"/>
        <item x="620"/>
        <item x="1144"/>
        <item x="118"/>
        <item x="512"/>
        <item x="886"/>
        <item x="515"/>
        <item x="97"/>
        <item x="396"/>
        <item x="617"/>
        <item x="156"/>
        <item x="1147"/>
        <item x="393"/>
        <item x="747"/>
        <item x="354"/>
        <item x="491"/>
        <item x="320"/>
        <item x="527"/>
        <item x="593"/>
        <item x="1018"/>
        <item x="605"/>
        <item x="862"/>
        <item x="623"/>
        <item x="399"/>
        <item x="859"/>
        <item x="230"/>
        <item x="363"/>
        <item x="521"/>
        <item x="1135"/>
        <item x="239"/>
        <item x="357"/>
        <item x="144"/>
        <item x="524"/>
        <item x="147"/>
        <item x="360"/>
        <item x="236"/>
        <item x="596"/>
        <item x="233"/>
        <item x="856"/>
        <item x="602"/>
        <item x="494"/>
        <item x="150"/>
        <item x="402"/>
        <item x="417"/>
        <item x="374"/>
        <item x="853"/>
        <item x="817"/>
        <item x="153"/>
        <item x="224"/>
        <item x="408"/>
        <item x="411"/>
        <item x="820"/>
        <item x="488"/>
        <item x="380"/>
        <item x="826"/>
        <item x="599"/>
        <item x="227"/>
        <item x="383"/>
        <item x="850"/>
        <item x="194"/>
        <item x="823"/>
        <item x="405"/>
        <item x="497"/>
        <item x="197"/>
        <item x="1080"/>
        <item x="377"/>
        <item x="873"/>
        <item x="371"/>
        <item x="485"/>
        <item x="564"/>
        <item x="1041"/>
        <item x="829"/>
        <item x="900"/>
        <item x="1086"/>
        <item x="844"/>
        <item x="561"/>
        <item x="200"/>
        <item x="1056"/>
        <item x="299"/>
        <item x="433"/>
        <item x="841"/>
        <item x="838"/>
        <item x="1047"/>
        <item x="558"/>
        <item x="1092"/>
        <item x="203"/>
        <item x="835"/>
        <item x="1038"/>
        <item x="206"/>
        <item x="500"/>
        <item x="1089"/>
        <item x="847"/>
        <item x="1050"/>
        <item x="567"/>
        <item x="302"/>
        <item x="573"/>
        <item x="1053"/>
        <item x="305"/>
        <item x="570"/>
        <item x="1008"/>
        <item x="420"/>
        <item x="221"/>
        <item x="897"/>
        <item x="870"/>
        <item x="894"/>
        <item x="1059"/>
        <item x="577"/>
        <item x="218"/>
        <item x="209"/>
        <item x="832"/>
        <item x="1044"/>
        <item x="509"/>
        <item x="1023"/>
        <item x="1062"/>
        <item x="506"/>
        <item x="1029"/>
        <item x="543"/>
        <item x="1026"/>
        <item x="482"/>
        <item x="1065"/>
        <item x="423"/>
        <item x="1068"/>
        <item x="212"/>
        <item x="215"/>
        <item x="296"/>
        <item x="555"/>
        <item x="528"/>
        <item x="549"/>
        <item x="308"/>
        <item x="1105"/>
        <item x="546"/>
        <item x="531"/>
        <item x="503"/>
        <item x="903"/>
        <item x="552"/>
        <item x="311"/>
        <item x="906"/>
        <item x="466"/>
        <item x="876"/>
        <item x="1108"/>
        <item x="182"/>
        <item x="867"/>
        <item x="909"/>
        <item x="534"/>
        <item x="540"/>
        <item x="176"/>
        <item x="293"/>
        <item x="179"/>
        <item x="31"/>
        <item x="580"/>
        <item x="429"/>
        <item x="426"/>
        <item x="314"/>
        <item x="436"/>
        <item x="1132"/>
        <item x="537"/>
        <item x="1074"/>
        <item x="1032"/>
        <item x="317"/>
        <item x="607"/>
        <item x="864"/>
        <item x="1114"/>
        <item x="1011"/>
        <item x="1071"/>
        <item x="1101"/>
        <item x="1111"/>
        <item x="460"/>
        <item x="583"/>
        <item x="185"/>
        <item x="37"/>
        <item x="1035"/>
        <item x="1077"/>
        <item x="290"/>
        <item x="167"/>
        <item x="34"/>
        <item x="472"/>
        <item x="1098"/>
        <item x="451"/>
        <item x="469"/>
        <item x="1"/>
        <item x="610"/>
        <item x="188"/>
        <item x="475"/>
        <item x="368"/>
        <item x="879"/>
        <item x="191"/>
        <item x="478"/>
        <item x="448"/>
        <item x="1129"/>
        <item x="586"/>
        <item x="28"/>
        <item x="164"/>
        <item x="613"/>
        <item x="1117"/>
        <item x="1126"/>
        <item x="457"/>
        <item x="4"/>
        <item x="1020"/>
        <item x="7"/>
        <item x="25"/>
        <item x="439"/>
        <item x="454"/>
        <item x="46"/>
        <item x="43"/>
        <item x="170"/>
        <item x="1095"/>
        <item x="10"/>
        <item x="445"/>
        <item x="1123"/>
        <item x="40"/>
        <item x="161"/>
        <item x="1120"/>
        <item x="13"/>
        <item x="16"/>
        <item x="1014"/>
        <item x="882"/>
        <item x="19"/>
        <item x="173"/>
        <item x="22"/>
        <item x="517"/>
        <item x="891"/>
        <item x="589"/>
        <item x="325"/>
        <item x="442"/>
        <item x="1140"/>
        <item x="341"/>
        <item x="888"/>
        <item x="490"/>
        <item x="347"/>
        <item x="619"/>
        <item x="338"/>
        <item x="885"/>
        <item x="344"/>
        <item x="511"/>
        <item x="616"/>
        <item x="592"/>
        <item x="416"/>
        <item x="386"/>
        <item x="350"/>
        <item x="604"/>
        <item x="322"/>
        <item x="514"/>
        <item x="1017"/>
        <item x="1137"/>
        <item x="392"/>
        <item x="389"/>
        <item x="328"/>
        <item x="622"/>
        <item x="353"/>
        <item x="331"/>
        <item x="229"/>
        <item x="395"/>
        <item x="595"/>
        <item x="158"/>
        <item x="1134"/>
        <item x="520"/>
        <item x="526"/>
        <item x="601"/>
        <item x="319"/>
        <item x="334"/>
        <item x="523"/>
        <item x="1143"/>
        <item x="1149"/>
        <item x="493"/>
        <item x="1146"/>
        <item x="398"/>
        <item x="825"/>
        <item x="861"/>
        <item x="356"/>
        <item x="816"/>
        <item x="365"/>
        <item x="858"/>
        <item x="238"/>
        <item x="401"/>
        <item x="819"/>
        <item x="232"/>
        <item x="362"/>
        <item x="223"/>
        <item x="487"/>
        <item x="235"/>
        <item x="852"/>
        <item x="822"/>
        <item x="855"/>
        <item x="146"/>
        <item x="193"/>
        <item x="359"/>
        <item x="598"/>
        <item x="226"/>
        <item x="149"/>
        <item x="496"/>
        <item x="152"/>
        <item x="849"/>
        <item x="419"/>
        <item x="404"/>
        <item x="155"/>
        <item x="196"/>
        <item x="413"/>
        <item x="828"/>
        <item x="410"/>
        <item x="199"/>
        <item x="843"/>
        <item x="484"/>
        <item x="407"/>
        <item x="566"/>
        <item x="202"/>
        <item x="837"/>
        <item x="298"/>
        <item x="840"/>
        <item x="834"/>
        <item x="499"/>
        <item x="205"/>
        <item x="301"/>
        <item x="373"/>
        <item x="846"/>
        <item x="575"/>
        <item x="304"/>
        <item x="208"/>
        <item x="370"/>
        <item x="220"/>
        <item x="217"/>
        <item x="379"/>
        <item x="563"/>
        <item x="1151"/>
        <item x="508"/>
        <item x="569"/>
        <item x="505"/>
        <item x="831"/>
        <item x="382"/>
        <item x="214"/>
        <item x="211"/>
        <item x="481"/>
        <item x="560"/>
        <item x="295"/>
        <item x="307"/>
        <item x="502"/>
        <item x="572"/>
        <item x="1104"/>
        <item x="175"/>
        <item x="310"/>
        <item x="181"/>
        <item x="1107"/>
        <item x="422"/>
        <item x="376"/>
        <item x="425"/>
        <item x="292"/>
        <item x="313"/>
        <item x="545"/>
        <item x="178"/>
        <item x="530"/>
        <item x="1154"/>
        <item x="1110"/>
        <item x="557"/>
        <item x="551"/>
        <item x="166"/>
        <item x="1131"/>
        <item x="533"/>
        <item x="554"/>
        <item x="316"/>
        <item x="548"/>
        <item x="1113"/>
        <item x="428"/>
        <item x="184"/>
        <item x="289"/>
        <item x="542"/>
        <item x="536"/>
        <item x="1187"/>
        <item x="431"/>
        <item x="539"/>
        <item x="1128"/>
        <item x="1181"/>
        <item x="187"/>
        <item x="163"/>
        <item x="1157"/>
        <item x="190"/>
        <item x="1125"/>
        <item x="1190"/>
        <item x="1116"/>
        <item x="367"/>
        <item x="1184"/>
        <item x="169"/>
        <item x="1119"/>
        <item x="1122"/>
        <item x="1193"/>
        <item x="160"/>
        <item x="1196"/>
        <item x="1160"/>
        <item x="172"/>
        <item x="1163"/>
        <item x="1175"/>
        <item x="337"/>
        <item x="1172"/>
        <item x="340"/>
        <item x="343"/>
        <item x="1166"/>
        <item x="346"/>
        <item x="1178"/>
        <item x="385"/>
        <item x="415"/>
        <item x="349"/>
        <item x="1169"/>
        <item x="388"/>
        <item x="391"/>
        <item x="240"/>
        <item x="352"/>
        <item x="394"/>
        <item x="397"/>
        <item x="243"/>
        <item x="355"/>
        <item x="157"/>
        <item x="364"/>
        <item x="400"/>
        <item x="358"/>
        <item x="145"/>
        <item x="246"/>
        <item x="361"/>
        <item x="148"/>
        <item x="249"/>
        <item x="151"/>
        <item x="418"/>
        <item x="403"/>
        <item x="154"/>
        <item x="409"/>
        <item x="412"/>
        <item x="252"/>
        <item x="406"/>
        <item x="270"/>
        <item x="276"/>
        <item x="565"/>
        <item x="273"/>
        <item x="255"/>
        <item x="267"/>
        <item x="562"/>
        <item x="574"/>
        <item x="258"/>
        <item x="264"/>
        <item x="559"/>
        <item x="568"/>
        <item x="285"/>
        <item x="571"/>
        <item x="279"/>
        <item x="282"/>
        <item x="421"/>
        <item x="544"/>
        <item x="261"/>
        <item x="550"/>
        <item x="424"/>
        <item x="1153"/>
        <item x="556"/>
        <item x="529"/>
        <item x="547"/>
        <item x="553"/>
        <item x="541"/>
        <item x="427"/>
        <item x="532"/>
        <item x="535"/>
        <item x="430"/>
        <item x="1189"/>
        <item x="538"/>
        <item x="287"/>
        <item x="1156"/>
        <item x="1195"/>
        <item x="1198"/>
        <item x="1192"/>
        <item x="1183"/>
        <item x="1159"/>
        <item x="1186"/>
        <item x="1162"/>
        <item x="1165"/>
        <item x="284"/>
        <item x="1174"/>
        <item x="1177"/>
        <item x="1171"/>
        <item x="1180"/>
        <item x="1168"/>
        <item x="278"/>
        <item x="242"/>
        <item x="281"/>
        <item x="245"/>
        <item x="248"/>
        <item x="275"/>
        <item x="251"/>
        <item x="272"/>
        <item x="254"/>
        <item x="269"/>
        <item x="257"/>
        <item x="266"/>
        <item x="260"/>
        <item x="1152"/>
        <item x="263"/>
        <item x="1155"/>
        <item x="1188"/>
        <item x="1182"/>
        <item x="1191"/>
        <item x="1158"/>
        <item x="1194"/>
        <item x="1197"/>
        <item x="1185"/>
        <item x="1161"/>
        <item x="1164"/>
        <item x="1173"/>
        <item x="1176"/>
        <item x="1179"/>
        <item x="1167"/>
        <item x="1170"/>
        <item x="241"/>
        <item x="286"/>
        <item x="244"/>
        <item x="277"/>
        <item x="283"/>
        <item x="247"/>
        <item x="250"/>
        <item x="280"/>
        <item x="274"/>
        <item x="253"/>
        <item x="271"/>
        <item x="268"/>
        <item x="256"/>
        <item x="265"/>
        <item x="259"/>
        <item x="262"/>
        <item x="1199"/>
        <item t="default"/>
      </items>
    </pivotField>
    <pivotField showAll="0">
      <items count="1196">
        <item x="711"/>
        <item x="708"/>
        <item x="714"/>
        <item x="717"/>
        <item x="705"/>
        <item x="702"/>
        <item x="707"/>
        <item x="699"/>
        <item x="955"/>
        <item x="946"/>
        <item x="716"/>
        <item x="952"/>
        <item x="696"/>
        <item x="949"/>
        <item x="713"/>
        <item x="693"/>
        <item x="777"/>
        <item x="690"/>
        <item x="684"/>
        <item x="687"/>
        <item x="681"/>
        <item x="943"/>
        <item x="802"/>
        <item x="678"/>
        <item x="672"/>
        <item x="675"/>
        <item x="811"/>
        <item x="808"/>
        <item x="805"/>
        <item x="779"/>
        <item x="797"/>
        <item x="774"/>
        <item x="992"/>
        <item x="1001"/>
        <item x="86"/>
        <item x="710"/>
        <item x="998"/>
        <item x="995"/>
        <item x="95"/>
        <item x="92"/>
        <item x="83"/>
        <item x="989"/>
        <item x="782"/>
        <item x="89"/>
        <item x="940"/>
        <item x="771"/>
        <item x="669"/>
        <item x="785"/>
        <item x="986"/>
        <item x="666"/>
        <item x="660"/>
        <item x="663"/>
        <item x="704"/>
        <item x="80"/>
        <item x="788"/>
        <item x="701"/>
        <item x="768"/>
        <item x="791"/>
        <item x="794"/>
        <item x="654"/>
        <item x="134"/>
        <item x="919"/>
        <item x="657"/>
        <item x="143"/>
        <item x="916"/>
        <item x="961"/>
        <item x="913"/>
        <item x="137"/>
        <item x="958"/>
        <item x="131"/>
        <item x="698"/>
        <item x="910"/>
        <item x="922"/>
        <item x="964"/>
        <item x="140"/>
        <item x="981"/>
        <item x="978"/>
        <item x="937"/>
        <item x="56"/>
        <item x="77"/>
        <item x="969"/>
        <item x="62"/>
        <item x="59"/>
        <item x="706"/>
        <item x="972"/>
        <item x="975"/>
        <item x="50"/>
        <item x="53"/>
        <item x="729"/>
        <item x="74"/>
        <item x="715"/>
        <item x="726"/>
        <item x="65"/>
        <item x="925"/>
        <item x="68"/>
        <item x="723"/>
        <item x="712"/>
        <item x="720"/>
        <item x="71"/>
        <item x="934"/>
        <item x="700"/>
        <item x="931"/>
        <item x="709"/>
        <item x="928"/>
        <item x="651"/>
        <item x="775"/>
        <item x="128"/>
        <item x="697"/>
        <item x="732"/>
        <item x="695"/>
        <item x="756"/>
        <item x="645"/>
        <item x="648"/>
        <item x="643"/>
        <item x="670"/>
        <item x="735"/>
        <item x="637"/>
        <item x="679"/>
        <item x="634"/>
        <item x="703"/>
        <item x="750"/>
        <item x="776"/>
        <item x="694"/>
        <item x="673"/>
        <item x="692"/>
        <item x="631"/>
        <item x="682"/>
        <item x="676"/>
        <item x="691"/>
        <item x="640"/>
        <item x="688"/>
        <item x="753"/>
        <item x="759"/>
        <item x="685"/>
        <item x="628"/>
        <item x="738"/>
        <item x="762"/>
        <item x="689"/>
        <item x="765"/>
        <item x="683"/>
        <item x="680"/>
        <item x="772"/>
        <item x="686"/>
        <item x="1079"/>
        <item x="671"/>
        <item x="625"/>
        <item x="674"/>
        <item x="110"/>
        <item x="107"/>
        <item x="741"/>
        <item x="677"/>
        <item x="800"/>
        <item x="113"/>
        <item x="945"/>
        <item x="104"/>
        <item x="744"/>
        <item x="116"/>
        <item x="801"/>
        <item x="101"/>
        <item x="951"/>
        <item x="795"/>
        <item x="954"/>
        <item x="780"/>
        <item x="778"/>
        <item x="464"/>
        <item x="119"/>
        <item x="122"/>
        <item x="125"/>
        <item x="98"/>
        <item x="769"/>
        <item x="773"/>
        <item x="747"/>
        <item x="798"/>
        <item x="948"/>
        <item x="796"/>
        <item x="803"/>
        <item x="804"/>
        <item x="807"/>
        <item x="810"/>
        <item x="84"/>
        <item x="799"/>
        <item x="806"/>
        <item x="809"/>
        <item x="783"/>
        <item x="990"/>
        <item x="991"/>
        <item x="85"/>
        <item x="781"/>
        <item x="987"/>
        <item x="786"/>
        <item x="942"/>
        <item x="770"/>
        <item x="1000"/>
        <item x="81"/>
        <item x="90"/>
        <item x="993"/>
        <item x="91"/>
        <item x="988"/>
        <item x="997"/>
        <item x="87"/>
        <item x="994"/>
        <item x="944"/>
        <item x="984"/>
        <item x="996"/>
        <item x="766"/>
        <item x="82"/>
        <item x="88"/>
        <item x="1076"/>
        <item x="93"/>
        <item x="871"/>
        <item x="999"/>
        <item x="94"/>
        <item x="78"/>
        <item x="898"/>
        <item x="950"/>
        <item x="947"/>
        <item x="789"/>
        <item x="1049"/>
        <item x="784"/>
        <item x="953"/>
        <item x="1037"/>
        <item x="1082"/>
        <item x="1046"/>
        <item x="434"/>
        <item x="1043"/>
        <item x="792"/>
        <item x="985"/>
        <item x="1052"/>
        <item x="1085"/>
        <item x="941"/>
        <item x="1088"/>
        <item x="938"/>
        <item x="939"/>
        <item x="895"/>
        <item x="787"/>
        <item x="868"/>
        <item x="1034"/>
        <item x="917"/>
        <item x="892"/>
        <item x="79"/>
        <item x="1004"/>
        <item x="1055"/>
        <item x="914"/>
        <item x="1040"/>
        <item x="578"/>
        <item x="904"/>
        <item x="1019"/>
        <item x="767"/>
        <item x="901"/>
        <item x="911"/>
        <item x="1061"/>
        <item x="959"/>
        <item x="1058"/>
        <item x="907"/>
        <item x="659"/>
        <item x="1022"/>
        <item x="956"/>
        <item x="1025"/>
        <item x="658"/>
        <item x="790"/>
        <item x="793"/>
        <item x="965"/>
        <item x="874"/>
        <item x="1064"/>
        <item x="865"/>
        <item x="467"/>
        <item x="962"/>
        <item x="982"/>
        <item x="908"/>
        <item x="979"/>
        <item x="32"/>
        <item x="581"/>
        <item x="920"/>
        <item x="1097"/>
        <item x="60"/>
        <item x="57"/>
        <item x="1028"/>
        <item x="976"/>
        <item x="437"/>
        <item x="668"/>
        <item x="1070"/>
        <item x="967"/>
        <item x="665"/>
        <item x="1007"/>
        <item x="607"/>
        <item x="970"/>
        <item x="54"/>
        <item x="75"/>
        <item x="662"/>
        <item x="38"/>
        <item x="473"/>
        <item x="915"/>
        <item x="973"/>
        <item x="727"/>
        <item x="1094"/>
        <item x="1067"/>
        <item x="1073"/>
        <item x="584"/>
        <item x="918"/>
        <item x="724"/>
        <item x="48"/>
        <item x="862"/>
        <item x="63"/>
        <item x="51"/>
        <item x="960"/>
        <item x="35"/>
        <item x="479"/>
        <item x="476"/>
        <item x="470"/>
        <item x="912"/>
        <item x="72"/>
        <item x="461"/>
        <item x="1031"/>
        <item x="655"/>
        <item x="652"/>
        <item x="877"/>
        <item x="718"/>
        <item x="661"/>
        <item x="66"/>
        <item x="69"/>
        <item x="935"/>
        <item x="721"/>
        <item x="2"/>
        <item x="957"/>
        <item x="47"/>
        <item x="610"/>
        <item x="653"/>
        <item x="452"/>
        <item x="923"/>
        <item x="449"/>
        <item x="963"/>
        <item x="29"/>
        <item x="664"/>
        <item x="613"/>
        <item x="656"/>
        <item x="587"/>
        <item x="44"/>
        <item x="983"/>
        <item x="458"/>
        <item x="1136"/>
        <item x="926"/>
        <item x="8"/>
        <item x="455"/>
        <item x="667"/>
        <item x="966"/>
        <item x="1016"/>
        <item x="909"/>
        <item x="929"/>
        <item x="326"/>
        <item x="440"/>
        <item x="1091"/>
        <item x="41"/>
        <item x="133"/>
        <item x="132"/>
        <item x="980"/>
        <item x="977"/>
        <item x="5"/>
        <item x="26"/>
        <item x="921"/>
        <item x="932"/>
        <item x="11"/>
        <item x="61"/>
        <item x="446"/>
        <item x="14"/>
        <item x="968"/>
        <item x="58"/>
        <item x="76"/>
        <item x="730"/>
        <item x="1010"/>
        <item x="974"/>
        <item x="936"/>
        <item x="880"/>
        <item x="17"/>
        <item x="518"/>
        <item x="55"/>
        <item x="971"/>
        <item x="129"/>
        <item x="52"/>
        <item x="142"/>
        <item x="20"/>
        <item x="332"/>
        <item x="725"/>
        <item x="64"/>
        <item x="728"/>
        <item x="130"/>
        <item x="49"/>
        <item x="23"/>
        <item x="136"/>
        <item x="1133"/>
        <item x="329"/>
        <item x="924"/>
        <item x="135"/>
        <item x="73"/>
        <item x="323"/>
        <item x="67"/>
        <item x="335"/>
        <item x="733"/>
        <item x="590"/>
        <item x="1145"/>
        <item x="754"/>
        <item x="889"/>
        <item x="70"/>
        <item x="722"/>
        <item x="886"/>
        <item x="719"/>
        <item x="933"/>
        <item x="126"/>
        <item x="930"/>
        <item x="443"/>
        <item x="141"/>
        <item x="748"/>
        <item x="646"/>
        <item x="138"/>
        <item x="139"/>
        <item x="619"/>
        <item x="635"/>
        <item x="512"/>
        <item x="883"/>
        <item x="649"/>
        <item x="515"/>
        <item x="927"/>
        <item x="641"/>
        <item x="1139"/>
        <item x="632"/>
        <item x="616"/>
        <item x="1142"/>
        <item x="629"/>
        <item x="491"/>
        <item x="320"/>
        <item x="527"/>
        <item x="593"/>
        <item x="731"/>
        <item x="1013"/>
        <item x="638"/>
        <item x="626"/>
        <item x="604"/>
        <item x="859"/>
        <item x="622"/>
        <item x="736"/>
        <item x="856"/>
        <item x="230"/>
        <item x="521"/>
        <item x="1130"/>
        <item x="751"/>
        <item x="239"/>
        <item x="127"/>
        <item x="644"/>
        <item x="650"/>
        <item x="757"/>
        <item x="755"/>
        <item x="524"/>
        <item x="236"/>
        <item x="595"/>
        <item x="233"/>
        <item x="647"/>
        <item x="623"/>
        <item x="853"/>
        <item x="601"/>
        <item x="1077"/>
        <item x="739"/>
        <item x="494"/>
        <item x="642"/>
        <item x="374"/>
        <item x="850"/>
        <item x="108"/>
        <item x="734"/>
        <item x="814"/>
        <item x="636"/>
        <item x="633"/>
        <item x="102"/>
        <item x="105"/>
        <item x="224"/>
        <item x="749"/>
        <item x="760"/>
        <item x="111"/>
        <item x="817"/>
        <item x="488"/>
        <item x="380"/>
        <item x="823"/>
        <item x="630"/>
        <item x="598"/>
        <item x="227"/>
        <item x="114"/>
        <item x="742"/>
        <item x="383"/>
        <item x="847"/>
        <item x="194"/>
        <item x="639"/>
        <item x="627"/>
        <item x="763"/>
        <item x="820"/>
        <item x="737"/>
        <item x="758"/>
        <item x="462"/>
        <item x="752"/>
        <item x="99"/>
        <item x="497"/>
        <item x="197"/>
        <item x="120"/>
        <item x="371"/>
        <item x="117"/>
        <item x="96"/>
        <item x="485"/>
        <item x="123"/>
        <item x="761"/>
        <item x="624"/>
        <item x="826"/>
        <item x="1078"/>
        <item x="745"/>
        <item x="764"/>
        <item x="841"/>
        <item x="200"/>
        <item x="299"/>
        <item x="377"/>
        <item x="740"/>
        <item x="838"/>
        <item x="835"/>
        <item x="109"/>
        <item x="112"/>
        <item x="203"/>
        <item x="832"/>
        <item x="103"/>
        <item x="106"/>
        <item x="206"/>
        <item x="500"/>
        <item x="844"/>
        <item x="302"/>
        <item x="305"/>
        <item x="743"/>
        <item x="115"/>
        <item x="221"/>
        <item x="100"/>
        <item x="218"/>
        <item x="209"/>
        <item x="829"/>
        <item x="509"/>
        <item x="463"/>
        <item x="506"/>
        <item x="121"/>
        <item x="124"/>
        <item x="482"/>
        <item x="118"/>
        <item x="212"/>
        <item x="215"/>
        <item x="296"/>
        <item x="97"/>
        <item x="308"/>
        <item x="1100"/>
        <item x="503"/>
        <item x="311"/>
        <item x="746"/>
        <item x="1103"/>
        <item x="182"/>
        <item x="1074"/>
        <item x="869"/>
        <item x="176"/>
        <item x="293"/>
        <item x="179"/>
        <item x="314"/>
        <item x="1127"/>
        <item x="317"/>
        <item x="1109"/>
        <item x="1106"/>
        <item x="1035"/>
        <item x="185"/>
        <item x="1080"/>
        <item x="290"/>
        <item x="167"/>
        <item x="1083"/>
        <item x="1050"/>
        <item x="432"/>
        <item x="188"/>
        <item x="368"/>
        <item x="191"/>
        <item x="1086"/>
        <item x="866"/>
        <item x="1124"/>
        <item x="1032"/>
        <item x="896"/>
        <item x="576"/>
        <item x="164"/>
        <item x="1053"/>
        <item x="1112"/>
        <item x="1017"/>
        <item x="1121"/>
        <item x="1041"/>
        <item x="1002"/>
        <item x="1056"/>
        <item x="1059"/>
        <item x="1038"/>
        <item x="890"/>
        <item x="170"/>
        <item x="1023"/>
        <item x="1075"/>
        <item x="1118"/>
        <item x="870"/>
        <item x="161"/>
        <item x="893"/>
        <item x="1115"/>
        <item x="1062"/>
        <item x="1044"/>
        <item x="1020"/>
        <item x="863"/>
        <item x="1036"/>
        <item x="872"/>
        <item x="897"/>
        <item x="465"/>
        <item x="1081"/>
        <item x="579"/>
        <item x="173"/>
        <item x="1047"/>
        <item x="1051"/>
        <item x="30"/>
        <item x="433"/>
        <item x="899"/>
        <item x="902"/>
        <item x="1042"/>
        <item x="1087"/>
        <item x="1033"/>
        <item x="1005"/>
        <item x="1068"/>
        <item x="1084"/>
        <item x="1026"/>
        <item x="1045"/>
        <item x="605"/>
        <item x="435"/>
        <item x="341"/>
        <item x="1048"/>
        <item x="347"/>
        <item x="338"/>
        <item x="1003"/>
        <item x="344"/>
        <item x="860"/>
        <item x="1071"/>
        <item x="1065"/>
        <item x="894"/>
        <item x="582"/>
        <item x="1029"/>
        <item x="867"/>
        <item x="891"/>
        <item x="459"/>
        <item x="1054"/>
        <item x="577"/>
        <item x="905"/>
        <item x="1039"/>
        <item x="1018"/>
        <item x="416"/>
        <item x="386"/>
        <item x="1057"/>
        <item x="608"/>
        <item x="350"/>
        <item x="1024"/>
        <item x="471"/>
        <item x="1021"/>
        <item x="468"/>
        <item x="1060"/>
        <item x="875"/>
        <item x="474"/>
        <item x="33"/>
        <item x="1063"/>
        <item x="0"/>
        <item x="392"/>
        <item x="450"/>
        <item x="1095"/>
        <item x="477"/>
        <item x="389"/>
        <item x="447"/>
        <item x="36"/>
        <item x="353"/>
        <item x="900"/>
        <item x="585"/>
        <item x="456"/>
        <item x="903"/>
        <item x="1014"/>
        <item x="466"/>
        <item x="453"/>
        <item x="873"/>
        <item x="27"/>
        <item x="6"/>
        <item x="611"/>
        <item x="1092"/>
        <item x="395"/>
        <item x="438"/>
        <item x="24"/>
        <item x="158"/>
        <item x="864"/>
        <item x="3"/>
        <item x="906"/>
        <item x="31"/>
        <item x="580"/>
        <item x="444"/>
        <item x="398"/>
        <item x="1008"/>
        <item x="436"/>
        <item x="12"/>
        <item x="356"/>
        <item x="365"/>
        <item x="9"/>
        <item x="1069"/>
        <item x="15"/>
        <item x="1027"/>
        <item x="606"/>
        <item x="861"/>
        <item x="401"/>
        <item x="878"/>
        <item x="362"/>
        <item x="1006"/>
        <item x="1066"/>
        <item x="1096"/>
        <item x="1089"/>
        <item x="460"/>
        <item x="583"/>
        <item x="37"/>
        <item x="146"/>
        <item x="18"/>
        <item x="1030"/>
        <item x="359"/>
        <item x="1072"/>
        <item x="45"/>
        <item x="42"/>
        <item x="39"/>
        <item x="34"/>
        <item x="472"/>
        <item x="149"/>
        <item x="1093"/>
        <item x="588"/>
        <item x="451"/>
        <item x="469"/>
        <item x="21"/>
        <item x="1"/>
        <item x="609"/>
        <item x="475"/>
        <item x="887"/>
        <item x="876"/>
        <item x="152"/>
        <item x="478"/>
        <item x="441"/>
        <item x="881"/>
        <item x="448"/>
        <item x="419"/>
        <item x="586"/>
        <item x="28"/>
        <item x="884"/>
        <item x="404"/>
        <item x="617"/>
        <item x="155"/>
        <item x="614"/>
        <item x="489"/>
        <item x="612"/>
        <item x="413"/>
        <item x="410"/>
        <item x="516"/>
        <item x="457"/>
        <item x="4"/>
        <item x="1015"/>
        <item x="7"/>
        <item x="25"/>
        <item x="591"/>
        <item x="439"/>
        <item x="454"/>
        <item x="602"/>
        <item x="46"/>
        <item x="43"/>
        <item x="1090"/>
        <item x="10"/>
        <item x="445"/>
        <item x="510"/>
        <item x="407"/>
        <item x="1011"/>
        <item x="566"/>
        <item x="40"/>
        <item x="13"/>
        <item x="16"/>
        <item x="1009"/>
        <item x="879"/>
        <item x="620"/>
        <item x="19"/>
        <item x="513"/>
        <item x="22"/>
        <item x="599"/>
        <item x="575"/>
        <item x="492"/>
        <item x="324"/>
        <item x="517"/>
        <item x="1134"/>
        <item x="888"/>
        <item x="589"/>
        <item x="563"/>
        <item x="812"/>
        <item x="325"/>
        <item x="228"/>
        <item x="442"/>
        <item x="569"/>
        <item x="1135"/>
        <item x="519"/>
        <item x="815"/>
        <item x="821"/>
        <item x="885"/>
        <item x="490"/>
        <item x="486"/>
        <item x="525"/>
        <item x="618"/>
        <item x="321"/>
        <item x="560"/>
        <item x="882"/>
        <item x="511"/>
        <item x="615"/>
        <item x="596"/>
        <item x="592"/>
        <item x="572"/>
        <item x="222"/>
        <item x="318"/>
        <item x="522"/>
        <item x="1128"/>
        <item x="192"/>
        <item x="818"/>
        <item x="1131"/>
        <item x="603"/>
        <item x="495"/>
        <item x="422"/>
        <item x="322"/>
        <item x="854"/>
        <item x="514"/>
        <item x="1012"/>
        <item x="857"/>
        <item x="1132"/>
        <item x="425"/>
        <item x="545"/>
        <item x="225"/>
        <item x="328"/>
        <item x="327"/>
        <item x="851"/>
        <item x="234"/>
        <item x="231"/>
        <item x="530"/>
        <item x="195"/>
        <item x="621"/>
        <item x="848"/>
        <item x="331"/>
        <item x="557"/>
        <item x="824"/>
        <item x="237"/>
        <item x="845"/>
        <item x="229"/>
        <item x="330"/>
        <item x="198"/>
        <item x="1137"/>
        <item x="551"/>
        <item x="594"/>
        <item x="1129"/>
        <item x="1140"/>
        <item x="520"/>
        <item x="526"/>
        <item x="600"/>
        <item x="319"/>
        <item x="533"/>
        <item x="554"/>
        <item x="548"/>
        <item x="334"/>
        <item x="523"/>
        <item x="1138"/>
        <item x="483"/>
        <item x="333"/>
        <item x="1144"/>
        <item x="493"/>
        <item x="1143"/>
        <item x="428"/>
        <item x="1141"/>
        <item x="542"/>
        <item x="201"/>
        <item x="822"/>
        <item x="858"/>
        <item x="839"/>
        <item x="536"/>
        <item x="813"/>
        <item x="855"/>
        <item x="836"/>
        <item x="238"/>
        <item x="431"/>
        <item x="297"/>
        <item x="816"/>
        <item x="232"/>
        <item x="223"/>
        <item x="487"/>
        <item x="235"/>
        <item x="830"/>
        <item x="539"/>
        <item x="849"/>
        <item x="833"/>
        <item x="819"/>
        <item x="204"/>
        <item x="852"/>
        <item x="498"/>
        <item x="193"/>
        <item x="300"/>
        <item x="597"/>
        <item x="226"/>
        <item x="842"/>
        <item x="303"/>
        <item x="207"/>
        <item x="496"/>
        <item x="219"/>
        <item x="827"/>
        <item x="480"/>
        <item x="507"/>
        <item x="210"/>
        <item x="504"/>
        <item x="846"/>
        <item x="216"/>
        <item x="294"/>
        <item x="501"/>
        <item x="306"/>
        <item x="196"/>
        <item x="825"/>
        <item x="213"/>
        <item x="199"/>
        <item x="1098"/>
        <item x="309"/>
        <item x="1101"/>
        <item x="840"/>
        <item x="484"/>
        <item x="174"/>
        <item x="180"/>
        <item x="202"/>
        <item x="291"/>
        <item x="834"/>
        <item x="298"/>
        <item x="177"/>
        <item x="312"/>
        <item x="837"/>
        <item x="831"/>
        <item x="1104"/>
        <item x="499"/>
        <item x="205"/>
        <item x="301"/>
        <item x="373"/>
        <item x="1107"/>
        <item x="843"/>
        <item x="165"/>
        <item x="1125"/>
        <item x="304"/>
        <item x="208"/>
        <item x="315"/>
        <item x="370"/>
        <item x="220"/>
        <item x="183"/>
        <item x="217"/>
        <item x="379"/>
        <item x="508"/>
        <item x="288"/>
        <item x="505"/>
        <item x="372"/>
        <item x="828"/>
        <item x="382"/>
        <item x="214"/>
        <item x="211"/>
        <item x="369"/>
        <item x="481"/>
        <item x="295"/>
        <item x="307"/>
        <item x="502"/>
        <item x="1099"/>
        <item x="162"/>
        <item x="1122"/>
        <item x="175"/>
        <item x="378"/>
        <item x="186"/>
        <item x="310"/>
        <item x="189"/>
        <item x="181"/>
        <item x="1102"/>
        <item x="168"/>
        <item x="292"/>
        <item x="1110"/>
        <item x="1119"/>
        <item x="313"/>
        <item x="178"/>
        <item x="381"/>
        <item x="1116"/>
        <item x="376"/>
        <item x="1105"/>
        <item x="159"/>
        <item x="1113"/>
        <item x="375"/>
        <item x="166"/>
        <item x="1126"/>
        <item x="316"/>
        <item x="1108"/>
        <item x="184"/>
        <item x="289"/>
        <item x="171"/>
        <item x="366"/>
        <item x="1123"/>
        <item x="339"/>
        <item x="187"/>
        <item x="342"/>
        <item x="163"/>
        <item x="345"/>
        <item x="336"/>
        <item x="190"/>
        <item x="414"/>
        <item x="1120"/>
        <item x="1111"/>
        <item x="384"/>
        <item x="348"/>
        <item x="367"/>
        <item x="169"/>
        <item x="1114"/>
        <item x="1117"/>
        <item x="351"/>
        <item x="390"/>
        <item x="160"/>
        <item x="387"/>
        <item x="396"/>
        <item x="156"/>
        <item x="393"/>
        <item x="172"/>
        <item x="354"/>
        <item x="337"/>
        <item x="399"/>
        <item x="363"/>
        <item x="340"/>
        <item x="343"/>
        <item x="346"/>
        <item x="357"/>
        <item x="144"/>
        <item x="385"/>
        <item x="147"/>
        <item x="415"/>
        <item x="360"/>
        <item x="349"/>
        <item x="150"/>
        <item x="402"/>
        <item x="417"/>
        <item x="388"/>
        <item x="391"/>
        <item x="153"/>
        <item x="352"/>
        <item x="1148"/>
        <item x="408"/>
        <item x="411"/>
        <item x="394"/>
        <item x="397"/>
        <item x="355"/>
        <item x="157"/>
        <item x="405"/>
        <item x="364"/>
        <item x="400"/>
        <item x="358"/>
        <item x="145"/>
        <item x="1184"/>
        <item x="361"/>
        <item x="287"/>
        <item x="564"/>
        <item x="1151"/>
        <item x="148"/>
        <item x="1190"/>
        <item x="151"/>
        <item x="561"/>
        <item x="418"/>
        <item x="1193"/>
        <item x="403"/>
        <item x="1187"/>
        <item x="154"/>
        <item x="1178"/>
        <item x="558"/>
        <item x="409"/>
        <item x="412"/>
        <item x="567"/>
        <item x="1154"/>
        <item x="1181"/>
        <item x="573"/>
        <item x="570"/>
        <item x="406"/>
        <item x="420"/>
        <item x="543"/>
        <item x="423"/>
        <item x="565"/>
        <item x="555"/>
        <item x="528"/>
        <item x="549"/>
        <item x="546"/>
        <item x="531"/>
        <item x="1157"/>
        <item x="552"/>
        <item x="562"/>
        <item x="574"/>
        <item x="534"/>
        <item x="540"/>
        <item x="1160"/>
        <item x="429"/>
        <item x="426"/>
        <item x="284"/>
        <item x="559"/>
        <item x="568"/>
        <item x="537"/>
        <item x="1169"/>
        <item x="571"/>
        <item x="1172"/>
        <item x="1166"/>
        <item x="1175"/>
        <item x="1163"/>
        <item x="421"/>
        <item x="544"/>
        <item x="278"/>
        <item x="550"/>
        <item x="424"/>
        <item x="556"/>
        <item x="242"/>
        <item x="529"/>
        <item x="547"/>
        <item x="553"/>
        <item x="281"/>
        <item x="541"/>
        <item x="427"/>
        <item x="532"/>
        <item x="535"/>
        <item x="245"/>
        <item x="430"/>
        <item x="538"/>
        <item x="248"/>
        <item x="275"/>
        <item x="251"/>
        <item x="272"/>
        <item x="254"/>
        <item x="269"/>
        <item x="257"/>
        <item x="266"/>
        <item x="260"/>
        <item x="263"/>
        <item x="1146"/>
        <item x="1149"/>
        <item x="1182"/>
        <item x="1147"/>
        <item x="1176"/>
        <item x="1152"/>
        <item x="1185"/>
        <item x="1179"/>
        <item x="1188"/>
        <item x="1191"/>
        <item x="1155"/>
        <item x="1150"/>
        <item x="1183"/>
        <item x="1158"/>
        <item x="1170"/>
        <item x="1177"/>
        <item x="1167"/>
        <item x="1186"/>
        <item x="1161"/>
        <item x="1153"/>
        <item x="1173"/>
        <item x="1189"/>
        <item x="1192"/>
        <item x="1180"/>
        <item x="1164"/>
        <item x="240"/>
        <item x="1156"/>
        <item x="243"/>
        <item x="1159"/>
        <item x="1168"/>
        <item x="1171"/>
        <item x="1174"/>
        <item x="1162"/>
        <item x="246"/>
        <item x="1165"/>
        <item x="249"/>
        <item x="241"/>
        <item x="286"/>
        <item x="252"/>
        <item x="244"/>
        <item x="270"/>
        <item x="277"/>
        <item x="276"/>
        <item x="273"/>
        <item x="255"/>
        <item x="283"/>
        <item x="247"/>
        <item x="267"/>
        <item x="250"/>
        <item x="258"/>
        <item x="264"/>
        <item x="280"/>
        <item x="274"/>
        <item x="285"/>
        <item x="279"/>
        <item x="253"/>
        <item x="282"/>
        <item x="271"/>
        <item x="261"/>
        <item x="268"/>
        <item x="256"/>
        <item x="265"/>
        <item x="259"/>
        <item x="262"/>
        <item x="11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dataFields count="1">
    <dataField name="Sum of ev_sales" fld="8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6E4253-DAB5-43C9-9249-C61125487CA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5:C43" firstHeaderRow="0" firstDataRow="1" firstDataCol="1"/>
  <pivotFields count="25"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2_emissions_transport_mt" fld="20" baseField="0" baseItem="0"/>
    <dataField name="Sum of emission_regulation_score" fld="22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EB26E4-613E-4F13-9102-FC080DB7452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1" firstHeaderRow="0" firstDataRow="1" firstDataCol="1"/>
  <pivotFields count="25"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uel_price_usd_per_liter" fld="16" baseField="0" baseItem="0"/>
    <dataField name="Sum of electricity_price_usd_per_kwh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181BE6-84E9-4DBA-A6A1-A3F2F04CB942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13:B140" firstHeaderRow="1" firstDataRow="1" firstDataCol="1" rowPageCount="1" colPageCount="1"/>
  <pivotFields count="25">
    <pivotField axis="axisRow"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Page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>
      <items count="382">
        <item x="0"/>
        <item x="142"/>
        <item x="143"/>
        <item x="323"/>
        <item x="144"/>
        <item x="48"/>
        <item x="324"/>
        <item x="145"/>
        <item x="337"/>
        <item x="146"/>
        <item x="187"/>
        <item x="127"/>
        <item x="49"/>
        <item x="147"/>
        <item x="156"/>
        <item x="325"/>
        <item x="148"/>
        <item x="276"/>
        <item x="50"/>
        <item x="326"/>
        <item x="338"/>
        <item x="232"/>
        <item x="128"/>
        <item x="339"/>
        <item x="188"/>
        <item x="327"/>
        <item x="51"/>
        <item x="340"/>
        <item x="328"/>
        <item x="260"/>
        <item x="95"/>
        <item x="307"/>
        <item x="32"/>
        <item x="63"/>
        <item x="52"/>
        <item x="348"/>
        <item x="1"/>
        <item x="16"/>
        <item x="329"/>
        <item x="233"/>
        <item x="291"/>
        <item x="189"/>
        <item x="129"/>
        <item x="149"/>
        <item x="130"/>
        <item x="190"/>
        <item x="234"/>
        <item x="53"/>
        <item x="2"/>
        <item x="235"/>
        <item x="277"/>
        <item x="150"/>
        <item x="217"/>
        <item x="131"/>
        <item x="111"/>
        <item x="157"/>
        <item x="191"/>
        <item x="33"/>
        <item x="261"/>
        <item x="308"/>
        <item x="54"/>
        <item x="17"/>
        <item x="192"/>
        <item x="193"/>
        <item x="330"/>
        <item x="341"/>
        <item x="201"/>
        <item x="3"/>
        <item x="55"/>
        <item x="158"/>
        <item x="309"/>
        <item x="262"/>
        <item x="34"/>
        <item x="18"/>
        <item x="4"/>
        <item x="64"/>
        <item x="132"/>
        <item x="245"/>
        <item x="292"/>
        <item x="310"/>
        <item x="342"/>
        <item x="151"/>
        <item x="236"/>
        <item x="364"/>
        <item x="331"/>
        <item x="35"/>
        <item x="278"/>
        <item x="19"/>
        <item x="159"/>
        <item x="263"/>
        <item x="79"/>
        <item x="5"/>
        <item x="349"/>
        <item x="133"/>
        <item x="56"/>
        <item x="194"/>
        <item x="96"/>
        <item x="293"/>
        <item x="65"/>
        <item x="112"/>
        <item x="134"/>
        <item x="237"/>
        <item x="246"/>
        <item x="195"/>
        <item x="343"/>
        <item x="294"/>
        <item x="332"/>
        <item x="57"/>
        <item x="6"/>
        <item x="66"/>
        <item x="350"/>
        <item x="36"/>
        <item x="247"/>
        <item x="160"/>
        <item x="238"/>
        <item x="311"/>
        <item x="279"/>
        <item x="248"/>
        <item x="218"/>
        <item x="135"/>
        <item x="97"/>
        <item x="351"/>
        <item x="196"/>
        <item x="152"/>
        <item x="113"/>
        <item x="249"/>
        <item x="20"/>
        <item x="7"/>
        <item x="250"/>
        <item x="264"/>
        <item x="161"/>
        <item x="219"/>
        <item x="295"/>
        <item x="80"/>
        <item x="251"/>
        <item x="114"/>
        <item x="136"/>
        <item x="239"/>
        <item x="98"/>
        <item x="280"/>
        <item x="312"/>
        <item x="37"/>
        <item x="67"/>
        <item x="8"/>
        <item x="197"/>
        <item x="58"/>
        <item x="202"/>
        <item x="252"/>
        <item x="21"/>
        <item x="172"/>
        <item x="365"/>
        <item x="9"/>
        <item x="333"/>
        <item x="153"/>
        <item x="137"/>
        <item x="59"/>
        <item x="240"/>
        <item x="281"/>
        <item x="313"/>
        <item x="296"/>
        <item x="265"/>
        <item x="68"/>
        <item x="253"/>
        <item x="344"/>
        <item x="10"/>
        <item x="162"/>
        <item x="352"/>
        <item x="22"/>
        <item x="81"/>
        <item x="198"/>
        <item x="38"/>
        <item x="173"/>
        <item x="254"/>
        <item x="241"/>
        <item x="163"/>
        <item x="203"/>
        <item x="314"/>
        <item x="282"/>
        <item x="115"/>
        <item x="220"/>
        <item x="297"/>
        <item x="366"/>
        <item x="11"/>
        <item x="69"/>
        <item x="174"/>
        <item x="199"/>
        <item x="23"/>
        <item x="12"/>
        <item x="39"/>
        <item x="82"/>
        <item x="353"/>
        <item x="298"/>
        <item x="255"/>
        <item x="99"/>
        <item x="315"/>
        <item x="283"/>
        <item x="266"/>
        <item x="221"/>
        <item x="116"/>
        <item x="204"/>
        <item x="242"/>
        <item x="60"/>
        <item x="40"/>
        <item x="70"/>
        <item x="24"/>
        <item x="154"/>
        <item x="164"/>
        <item x="138"/>
        <item x="13"/>
        <item x="316"/>
        <item x="256"/>
        <item x="367"/>
        <item x="299"/>
        <item x="243"/>
        <item x="41"/>
        <item x="200"/>
        <item x="284"/>
        <item x="222"/>
        <item x="334"/>
        <item x="25"/>
        <item x="100"/>
        <item x="354"/>
        <item x="165"/>
        <item x="317"/>
        <item x="117"/>
        <item x="71"/>
        <item x="267"/>
        <item x="345"/>
        <item x="155"/>
        <item x="223"/>
        <item x="26"/>
        <item x="14"/>
        <item x="61"/>
        <item x="257"/>
        <item x="300"/>
        <item x="285"/>
        <item x="244"/>
        <item x="368"/>
        <item x="355"/>
        <item x="224"/>
        <item x="205"/>
        <item x="139"/>
        <item x="318"/>
        <item x="166"/>
        <item x="42"/>
        <item x="101"/>
        <item x="72"/>
        <item x="27"/>
        <item x="175"/>
        <item x="15"/>
        <item x="258"/>
        <item x="118"/>
        <item x="369"/>
        <item x="301"/>
        <item x="225"/>
        <item x="335"/>
        <item x="319"/>
        <item x="286"/>
        <item x="302"/>
        <item x="102"/>
        <item x="73"/>
        <item x="28"/>
        <item x="62"/>
        <item x="370"/>
        <item x="206"/>
        <item x="43"/>
        <item x="259"/>
        <item x="226"/>
        <item x="346"/>
        <item x="356"/>
        <item x="320"/>
        <item x="74"/>
        <item x="227"/>
        <item x="176"/>
        <item x="371"/>
        <item x="29"/>
        <item x="140"/>
        <item x="303"/>
        <item x="44"/>
        <item x="167"/>
        <item x="75"/>
        <item x="268"/>
        <item x="119"/>
        <item x="321"/>
        <item x="287"/>
        <item x="103"/>
        <item x="228"/>
        <item x="357"/>
        <item x="177"/>
        <item x="207"/>
        <item x="336"/>
        <item x="30"/>
        <item x="76"/>
        <item x="347"/>
        <item x="322"/>
        <item x="83"/>
        <item x="31"/>
        <item x="45"/>
        <item x="179"/>
        <item x="304"/>
        <item x="178"/>
        <item x="229"/>
        <item x="181"/>
        <item x="180"/>
        <item x="104"/>
        <item x="183"/>
        <item x="372"/>
        <item x="269"/>
        <item x="208"/>
        <item x="182"/>
        <item x="288"/>
        <item x="120"/>
        <item x="230"/>
        <item x="141"/>
        <item x="168"/>
        <item x="305"/>
        <item x="231"/>
        <item x="184"/>
        <item x="46"/>
        <item x="358"/>
        <item x="77"/>
        <item x="374"/>
        <item x="185"/>
        <item x="47"/>
        <item x="209"/>
        <item x="289"/>
        <item x="359"/>
        <item x="373"/>
        <item x="121"/>
        <item x="105"/>
        <item x="306"/>
        <item x="360"/>
        <item x="169"/>
        <item x="78"/>
        <item x="186"/>
        <item x="290"/>
        <item x="375"/>
        <item x="84"/>
        <item x="210"/>
        <item x="106"/>
        <item x="122"/>
        <item x="361"/>
        <item x="270"/>
        <item x="376"/>
        <item x="170"/>
        <item x="377"/>
        <item x="362"/>
        <item x="211"/>
        <item x="171"/>
        <item x="107"/>
        <item x="363"/>
        <item x="123"/>
        <item x="212"/>
        <item x="271"/>
        <item x="378"/>
        <item x="213"/>
        <item x="124"/>
        <item x="108"/>
        <item x="272"/>
        <item x="85"/>
        <item x="379"/>
        <item x="214"/>
        <item x="125"/>
        <item x="109"/>
        <item x="110"/>
        <item x="273"/>
        <item x="215"/>
        <item x="126"/>
        <item x="216"/>
        <item x="274"/>
        <item x="86"/>
        <item x="275"/>
        <item x="87"/>
        <item x="88"/>
        <item x="89"/>
        <item x="90"/>
        <item x="91"/>
        <item x="92"/>
        <item x="93"/>
        <item x="94"/>
        <item x="38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Items count="1">
    <i/>
  </colItems>
  <pageFields count="1">
    <pageField fld="3" hier="-1"/>
  </pageFields>
  <dataFields count="1">
    <dataField name="Sum of charging_stations" fld="13" baseField="0" baseItem="0"/>
  </dataFields>
  <chartFormats count="4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2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2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3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chartFormat>
    <chartFormat chart="2" format="3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chartFormat>
    <chartFormat chart="2" format="3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chartFormat>
    <chartFormat chart="2" format="3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chartFormat>
    <chartFormat chart="2" format="3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2"/>
          </reference>
        </references>
      </pivotArea>
    </chartFormat>
    <chartFormat chart="2" format="4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chartFormat>
    <chartFormat chart="2" format="4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chartFormat>
    <chartFormat chart="2" format="4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120895-A522-4EC1-BF4A-567FED46481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98:B102" firstHeaderRow="1" firstDataRow="1" firstDataCol="1" rowPageCount="2" colPageCount="1"/>
  <pivotFields count="25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t="default"/>
      </items>
    </pivotField>
    <pivotField showAll="0"/>
    <pivotField showAll="0">
      <items count="7">
        <item x="4"/>
        <item x="1"/>
        <item x="3"/>
        <item x="0"/>
        <item x="2"/>
        <item x="5"/>
        <item t="default"/>
      </items>
    </pivotField>
    <pivotField axis="axisPage" multipleItemSelectionAllowed="1" showAll="0">
      <items count="18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1201">
        <item x="712"/>
        <item x="709"/>
        <item x="715"/>
        <item x="718"/>
        <item x="706"/>
        <item x="703"/>
        <item x="711"/>
        <item x="708"/>
        <item x="710"/>
        <item x="707"/>
        <item x="716"/>
        <item x="713"/>
        <item x="701"/>
        <item x="714"/>
        <item x="776"/>
        <item x="698"/>
        <item x="717"/>
        <item x="671"/>
        <item x="680"/>
        <item x="704"/>
        <item x="695"/>
        <item x="674"/>
        <item x="683"/>
        <item x="677"/>
        <item x="692"/>
        <item x="689"/>
        <item x="700"/>
        <item x="686"/>
        <item x="779"/>
        <item x="773"/>
        <item x="803"/>
        <item x="797"/>
        <item x="782"/>
        <item x="770"/>
        <item x="800"/>
        <item x="958"/>
        <item x="806"/>
        <item x="949"/>
        <item x="84"/>
        <item x="955"/>
        <item x="809"/>
        <item x="812"/>
        <item x="785"/>
        <item x="995"/>
        <item x="952"/>
        <item x="697"/>
        <item x="992"/>
        <item x="788"/>
        <item x="81"/>
        <item x="90"/>
        <item x="998"/>
        <item x="87"/>
        <item x="947"/>
        <item x="989"/>
        <item x="1001"/>
        <item x="767"/>
        <item x="93"/>
        <item x="1004"/>
        <item x="78"/>
        <item x="953"/>
        <item x="950"/>
        <item x="791"/>
        <item x="956"/>
        <item x="794"/>
        <item x="694"/>
        <item x="944"/>
        <item x="941"/>
        <item x="920"/>
        <item x="917"/>
        <item x="914"/>
        <item x="962"/>
        <item x="959"/>
        <item x="659"/>
        <item x="778"/>
        <item x="968"/>
        <item x="965"/>
        <item x="691"/>
        <item x="986"/>
        <item x="911"/>
        <item x="685"/>
        <item x="983"/>
        <item x="923"/>
        <item x="688"/>
        <item x="60"/>
        <item x="57"/>
        <item x="980"/>
        <item x="682"/>
        <item x="971"/>
        <item x="974"/>
        <item x="54"/>
        <item x="75"/>
        <item x="977"/>
        <item x="728"/>
        <item x="725"/>
        <item x="48"/>
        <item x="63"/>
        <item x="51"/>
        <item x="946"/>
        <item x="72"/>
        <item x="805"/>
        <item x="656"/>
        <item x="653"/>
        <item x="719"/>
        <item x="662"/>
        <item x="66"/>
        <item x="69"/>
        <item x="938"/>
        <item x="679"/>
        <item x="673"/>
        <item x="722"/>
        <item x="676"/>
        <item x="926"/>
        <item x="705"/>
        <item x="665"/>
        <item x="929"/>
        <item x="668"/>
        <item x="814"/>
        <item x="932"/>
        <item x="811"/>
        <item x="132"/>
        <item x="935"/>
        <item x="808"/>
        <item x="702"/>
        <item x="731"/>
        <item x="781"/>
        <item x="799"/>
        <item x="129"/>
        <item x="775"/>
        <item x="997"/>
        <item x="1006"/>
        <item x="86"/>
        <item x="802"/>
        <item x="135"/>
        <item x="734"/>
        <item x="755"/>
        <item x="1003"/>
        <item x="1000"/>
        <item x="126"/>
        <item x="141"/>
        <item x="749"/>
        <item x="647"/>
        <item x="138"/>
        <item x="95"/>
        <item x="636"/>
        <item x="650"/>
        <item x="642"/>
        <item x="92"/>
        <item x="633"/>
        <item x="630"/>
        <item x="83"/>
        <item x="994"/>
        <item x="639"/>
        <item x="627"/>
        <item x="737"/>
        <item x="784"/>
        <item x="752"/>
        <item x="89"/>
        <item x="758"/>
        <item x="943"/>
        <item x="772"/>
        <item x="699"/>
        <item x="624"/>
        <item x="1082"/>
        <item x="740"/>
        <item x="108"/>
        <item x="102"/>
        <item x="670"/>
        <item x="105"/>
        <item x="761"/>
        <item x="111"/>
        <item x="787"/>
        <item x="991"/>
        <item x="114"/>
        <item x="743"/>
        <item x="667"/>
        <item x="661"/>
        <item x="764"/>
        <item x="462"/>
        <item x="99"/>
        <item x="664"/>
        <item x="120"/>
        <item x="80"/>
        <item x="790"/>
        <item x="117"/>
        <item x="96"/>
        <item x="123"/>
        <item x="746"/>
        <item x="769"/>
        <item x="793"/>
        <item x="696"/>
        <item x="796"/>
        <item x="655"/>
        <item x="134"/>
        <item x="777"/>
        <item x="658"/>
        <item x="922"/>
        <item x="693"/>
        <item x="143"/>
        <item x="919"/>
        <item x="1079"/>
        <item x="964"/>
        <item x="872"/>
        <item x="916"/>
        <item x="137"/>
        <item x="961"/>
        <item x="988"/>
        <item x="131"/>
        <item x="1040"/>
        <item x="690"/>
        <item x="913"/>
        <item x="925"/>
        <item x="967"/>
        <item x="970"/>
        <item x="140"/>
        <item x="684"/>
        <item x="1085"/>
        <item x="1088"/>
        <item x="985"/>
        <item x="681"/>
        <item x="1055"/>
        <item x="982"/>
        <item x="687"/>
        <item x="432"/>
        <item x="940"/>
        <item x="672"/>
        <item x="56"/>
        <item x="1091"/>
        <item x="675"/>
        <item x="869"/>
        <item x="77"/>
        <item x="1037"/>
        <item x="899"/>
        <item x="973"/>
        <item x="62"/>
        <item x="678"/>
        <item x="576"/>
        <item x="59"/>
        <item x="976"/>
        <item x="979"/>
        <item x="1058"/>
        <item x="948"/>
        <item x="1022"/>
        <item x="50"/>
        <item x="1007"/>
        <item x="1046"/>
        <item x="53"/>
        <item x="1061"/>
        <item x="1064"/>
        <item x="730"/>
        <item x="74"/>
        <item x="804"/>
        <item x="727"/>
        <item x="65"/>
        <item x="954"/>
        <item x="1043"/>
        <item x="893"/>
        <item x="928"/>
        <item x="68"/>
        <item x="724"/>
        <item x="1028"/>
        <item x="957"/>
        <item x="721"/>
        <item x="71"/>
        <item x="780"/>
        <item x="937"/>
        <item x="896"/>
        <item x="1067"/>
        <item x="1049"/>
        <item x="934"/>
        <item x="1025"/>
        <item x="951"/>
        <item x="931"/>
        <item x="866"/>
        <item x="875"/>
        <item x="652"/>
        <item x="465"/>
        <item x="579"/>
        <item x="774"/>
        <item x="1052"/>
        <item x="30"/>
        <item x="798"/>
        <item x="902"/>
        <item x="905"/>
        <item x="128"/>
        <item x="733"/>
        <item x="1010"/>
        <item x="1073"/>
        <item x="807"/>
        <item x="1031"/>
        <item x="606"/>
        <item x="435"/>
        <item x="810"/>
        <item x="813"/>
        <item x="863"/>
        <item x="1076"/>
        <item x="1070"/>
        <item x="757"/>
        <item x="582"/>
        <item x="1034"/>
        <item x="646"/>
        <item x="801"/>
        <item x="459"/>
        <item x="649"/>
        <item x="908"/>
        <item x="644"/>
        <item x="609"/>
        <item x="471"/>
        <item x="468"/>
        <item x="878"/>
        <item x="736"/>
        <item x="474"/>
        <item x="638"/>
        <item x="996"/>
        <item x="33"/>
        <item x="0"/>
        <item x="450"/>
        <item x="1100"/>
        <item x="635"/>
        <item x="85"/>
        <item x="751"/>
        <item x="783"/>
        <item x="477"/>
        <item x="447"/>
        <item x="36"/>
        <item x="585"/>
        <item x="456"/>
        <item x="1019"/>
        <item x="453"/>
        <item x="632"/>
        <item x="27"/>
        <item x="6"/>
        <item x="612"/>
        <item x="945"/>
        <item x="1097"/>
        <item x="438"/>
        <item x="771"/>
        <item x="24"/>
        <item x="641"/>
        <item x="1005"/>
        <item x="3"/>
        <item x="91"/>
        <item x="993"/>
        <item x="1002"/>
        <item x="444"/>
        <item x="754"/>
        <item x="999"/>
        <item x="1013"/>
        <item x="760"/>
        <item x="12"/>
        <item x="9"/>
        <item x="15"/>
        <item x="82"/>
        <item x="629"/>
        <item x="88"/>
        <item x="881"/>
        <item x="739"/>
        <item x="763"/>
        <item x="94"/>
        <item x="1094"/>
        <item x="766"/>
        <item x="18"/>
        <item x="45"/>
        <item x="42"/>
        <item x="39"/>
        <item x="786"/>
        <item x="1084"/>
        <item x="588"/>
        <item x="626"/>
        <item x="21"/>
        <item x="890"/>
        <item x="441"/>
        <item x="884"/>
        <item x="110"/>
        <item x="107"/>
        <item x="887"/>
        <item x="990"/>
        <item x="742"/>
        <item x="618"/>
        <item x="113"/>
        <item x="615"/>
        <item x="489"/>
        <item x="942"/>
        <item x="516"/>
        <item x="789"/>
        <item x="104"/>
        <item x="79"/>
        <item x="745"/>
        <item x="591"/>
        <item x="116"/>
        <item x="101"/>
        <item x="603"/>
        <item x="510"/>
        <item x="1016"/>
        <item x="464"/>
        <item x="768"/>
        <item x="119"/>
        <item x="122"/>
        <item x="125"/>
        <item x="660"/>
        <item x="621"/>
        <item x="98"/>
        <item x="792"/>
        <item x="513"/>
        <item x="748"/>
        <item x="600"/>
        <item x="795"/>
        <item x="492"/>
        <item x="324"/>
        <item x="594"/>
        <item x="1139"/>
        <item x="815"/>
        <item x="228"/>
        <item x="519"/>
        <item x="818"/>
        <item x="824"/>
        <item x="486"/>
        <item x="525"/>
        <item x="321"/>
        <item x="669"/>
        <item x="597"/>
        <item x="666"/>
        <item x="222"/>
        <item x="318"/>
        <item x="522"/>
        <item x="1133"/>
        <item x="663"/>
        <item x="192"/>
        <item x="821"/>
        <item x="1136"/>
        <item x="918"/>
        <item x="495"/>
        <item x="921"/>
        <item x="857"/>
        <item x="963"/>
        <item x="860"/>
        <item x="915"/>
        <item x="225"/>
        <item x="327"/>
        <item x="854"/>
        <item x="234"/>
        <item x="231"/>
        <item x="195"/>
        <item x="851"/>
        <item x="960"/>
        <item x="654"/>
        <item x="827"/>
        <item x="237"/>
        <item x="848"/>
        <item x="330"/>
        <item x="198"/>
        <item x="966"/>
        <item x="1142"/>
        <item x="1145"/>
        <item x="657"/>
        <item x="483"/>
        <item x="987"/>
        <item x="333"/>
        <item x="1148"/>
        <item x="201"/>
        <item x="969"/>
        <item x="912"/>
        <item x="842"/>
        <item x="133"/>
        <item x="839"/>
        <item x="984"/>
        <item x="981"/>
        <item x="297"/>
        <item x="1081"/>
        <item x="924"/>
        <item x="874"/>
        <item x="833"/>
        <item x="836"/>
        <item x="61"/>
        <item x="972"/>
        <item x="901"/>
        <item x="58"/>
        <item x="204"/>
        <item x="76"/>
        <item x="498"/>
        <item x="300"/>
        <item x="978"/>
        <item x="939"/>
        <item x="845"/>
        <item x="1054"/>
        <item x="55"/>
        <item x="975"/>
        <item x="303"/>
        <item x="52"/>
        <item x="142"/>
        <item x="726"/>
        <item x="1042"/>
        <item x="207"/>
        <item x="64"/>
        <item x="1087"/>
        <item x="219"/>
        <item x="1051"/>
        <item x="830"/>
        <item x="729"/>
        <item x="434"/>
        <item x="130"/>
        <item x="49"/>
        <item x="480"/>
        <item x="507"/>
        <item x="136"/>
        <item x="210"/>
        <item x="504"/>
        <item x="1048"/>
        <item x="216"/>
        <item x="927"/>
        <item x="73"/>
        <item x="294"/>
        <item x="501"/>
        <item x="67"/>
        <item x="1057"/>
        <item x="1090"/>
        <item x="70"/>
        <item x="723"/>
        <item x="306"/>
        <item x="720"/>
        <item x="1093"/>
        <item x="898"/>
        <item x="936"/>
        <item x="871"/>
        <item x="1039"/>
        <item x="895"/>
        <item x="213"/>
        <item x="933"/>
        <item x="1103"/>
        <item x="139"/>
        <item x="1009"/>
        <item x="1060"/>
        <item x="309"/>
        <item x="1106"/>
        <item x="930"/>
        <item x="1045"/>
        <item x="174"/>
        <item x="578"/>
        <item x="907"/>
        <item x="180"/>
        <item x="1024"/>
        <item x="904"/>
        <item x="291"/>
        <item x="1066"/>
        <item x="732"/>
        <item x="177"/>
        <item x="1063"/>
        <item x="910"/>
        <item x="312"/>
        <item x="1109"/>
        <item x="1027"/>
        <item x="1112"/>
        <item x="1030"/>
        <item x="165"/>
        <item x="1130"/>
        <item x="127"/>
        <item x="645"/>
        <item x="877"/>
        <item x="315"/>
        <item x="651"/>
        <item x="756"/>
        <item x="1069"/>
        <item x="868"/>
        <item x="183"/>
        <item x="467"/>
        <item x="288"/>
        <item x="648"/>
        <item x="372"/>
        <item x="32"/>
        <item x="581"/>
        <item x="1102"/>
        <item x="1033"/>
        <item x="369"/>
        <item x="643"/>
        <item x="735"/>
        <item x="637"/>
        <item x="437"/>
        <item x="634"/>
        <item x="1075"/>
        <item x="162"/>
        <item x="1012"/>
        <item x="750"/>
        <item x="608"/>
        <item x="1127"/>
        <item x="38"/>
        <item x="473"/>
        <item x="378"/>
        <item x="186"/>
        <item x="1099"/>
        <item x="189"/>
        <item x="1072"/>
        <item x="1078"/>
        <item x="584"/>
        <item x="865"/>
        <item x="631"/>
        <item x="168"/>
        <item x="35"/>
        <item x="1115"/>
        <item x="1124"/>
        <item x="640"/>
        <item x="479"/>
        <item x="476"/>
        <item x="628"/>
        <item x="470"/>
        <item x="381"/>
        <item x="738"/>
        <item x="461"/>
        <item x="1036"/>
        <item x="759"/>
        <item x="753"/>
        <item x="880"/>
        <item x="1121"/>
        <item x="2"/>
        <item x="47"/>
        <item x="611"/>
        <item x="159"/>
        <item x="452"/>
        <item x="1118"/>
        <item x="375"/>
        <item x="449"/>
        <item x="29"/>
        <item x="614"/>
        <item x="587"/>
        <item x="44"/>
        <item x="458"/>
        <item x="1141"/>
        <item x="8"/>
        <item x="455"/>
        <item x="1021"/>
        <item x="171"/>
        <item x="762"/>
        <item x="625"/>
        <item x="326"/>
        <item x="440"/>
        <item x="1083"/>
        <item x="1096"/>
        <item x="41"/>
        <item x="366"/>
        <item x="5"/>
        <item x="765"/>
        <item x="26"/>
        <item x="11"/>
        <item x="339"/>
        <item x="446"/>
        <item x="14"/>
        <item x="741"/>
        <item x="518"/>
        <item x="342"/>
        <item x="1015"/>
        <item x="109"/>
        <item x="112"/>
        <item x="345"/>
        <item x="103"/>
        <item x="883"/>
        <item x="17"/>
        <item x="336"/>
        <item x="106"/>
        <item x="20"/>
        <item x="332"/>
        <item x="414"/>
        <item x="744"/>
        <item x="23"/>
        <item x="384"/>
        <item x="115"/>
        <item x="1138"/>
        <item x="348"/>
        <item x="329"/>
        <item x="100"/>
        <item x="323"/>
        <item x="335"/>
        <item x="590"/>
        <item x="1150"/>
        <item x="463"/>
        <item x="892"/>
        <item x="351"/>
        <item x="889"/>
        <item x="390"/>
        <item x="387"/>
        <item x="121"/>
        <item x="124"/>
        <item x="443"/>
        <item x="620"/>
        <item x="1144"/>
        <item x="118"/>
        <item x="512"/>
        <item x="886"/>
        <item x="515"/>
        <item x="97"/>
        <item x="396"/>
        <item x="617"/>
        <item x="156"/>
        <item x="1147"/>
        <item x="393"/>
        <item x="747"/>
        <item x="354"/>
        <item x="491"/>
        <item x="320"/>
        <item x="527"/>
        <item x="593"/>
        <item x="1018"/>
        <item x="605"/>
        <item x="862"/>
        <item x="623"/>
        <item x="399"/>
        <item x="859"/>
        <item x="230"/>
        <item x="363"/>
        <item x="521"/>
        <item x="1135"/>
        <item x="239"/>
        <item x="357"/>
        <item x="144"/>
        <item x="524"/>
        <item x="147"/>
        <item x="360"/>
        <item x="236"/>
        <item x="596"/>
        <item x="233"/>
        <item x="856"/>
        <item x="602"/>
        <item x="494"/>
        <item x="150"/>
        <item x="402"/>
        <item x="417"/>
        <item x="374"/>
        <item x="853"/>
        <item x="817"/>
        <item x="153"/>
        <item x="224"/>
        <item x="408"/>
        <item x="411"/>
        <item x="820"/>
        <item x="488"/>
        <item x="380"/>
        <item x="826"/>
        <item x="599"/>
        <item x="227"/>
        <item x="383"/>
        <item x="850"/>
        <item x="194"/>
        <item x="823"/>
        <item x="405"/>
        <item x="497"/>
        <item x="197"/>
        <item x="1080"/>
        <item x="377"/>
        <item x="873"/>
        <item x="371"/>
        <item x="485"/>
        <item x="564"/>
        <item x="1041"/>
        <item x="829"/>
        <item x="900"/>
        <item x="1086"/>
        <item x="844"/>
        <item x="561"/>
        <item x="200"/>
        <item x="1056"/>
        <item x="299"/>
        <item x="433"/>
        <item x="841"/>
        <item x="838"/>
        <item x="1047"/>
        <item x="558"/>
        <item x="1092"/>
        <item x="203"/>
        <item x="835"/>
        <item x="1038"/>
        <item x="206"/>
        <item x="500"/>
        <item x="1089"/>
        <item x="847"/>
        <item x="1050"/>
        <item x="567"/>
        <item x="302"/>
        <item x="573"/>
        <item x="1053"/>
        <item x="305"/>
        <item x="570"/>
        <item x="1008"/>
        <item x="420"/>
        <item x="221"/>
        <item x="897"/>
        <item x="870"/>
        <item x="894"/>
        <item x="1059"/>
        <item x="577"/>
        <item x="218"/>
        <item x="209"/>
        <item x="832"/>
        <item x="1044"/>
        <item x="509"/>
        <item x="1023"/>
        <item x="1062"/>
        <item x="506"/>
        <item x="1029"/>
        <item x="543"/>
        <item x="1026"/>
        <item x="482"/>
        <item x="1065"/>
        <item x="423"/>
        <item x="1068"/>
        <item x="212"/>
        <item x="215"/>
        <item x="296"/>
        <item x="555"/>
        <item x="528"/>
        <item x="549"/>
        <item x="308"/>
        <item x="1105"/>
        <item x="546"/>
        <item x="531"/>
        <item x="503"/>
        <item x="903"/>
        <item x="552"/>
        <item x="311"/>
        <item x="906"/>
        <item x="466"/>
        <item x="876"/>
        <item x="1108"/>
        <item x="182"/>
        <item x="867"/>
        <item x="909"/>
        <item x="534"/>
        <item x="540"/>
        <item x="176"/>
        <item x="293"/>
        <item x="179"/>
        <item x="31"/>
        <item x="580"/>
        <item x="429"/>
        <item x="426"/>
        <item x="314"/>
        <item x="436"/>
        <item x="1132"/>
        <item x="537"/>
        <item x="1074"/>
        <item x="1032"/>
        <item x="317"/>
        <item x="607"/>
        <item x="864"/>
        <item x="1114"/>
        <item x="1011"/>
        <item x="1071"/>
        <item x="1101"/>
        <item x="1111"/>
        <item x="460"/>
        <item x="583"/>
        <item x="185"/>
        <item x="37"/>
        <item x="1035"/>
        <item x="1077"/>
        <item x="290"/>
        <item x="167"/>
        <item x="34"/>
        <item x="472"/>
        <item x="1098"/>
        <item x="451"/>
        <item x="469"/>
        <item x="1"/>
        <item x="610"/>
        <item x="188"/>
        <item x="475"/>
        <item x="368"/>
        <item x="879"/>
        <item x="191"/>
        <item x="478"/>
        <item x="448"/>
        <item x="1129"/>
        <item x="586"/>
        <item x="28"/>
        <item x="164"/>
        <item x="613"/>
        <item x="1117"/>
        <item x="1126"/>
        <item x="457"/>
        <item x="4"/>
        <item x="1020"/>
        <item x="7"/>
        <item x="25"/>
        <item x="439"/>
        <item x="454"/>
        <item x="46"/>
        <item x="43"/>
        <item x="170"/>
        <item x="1095"/>
        <item x="10"/>
        <item x="445"/>
        <item x="1123"/>
        <item x="40"/>
        <item x="161"/>
        <item x="1120"/>
        <item x="13"/>
        <item x="16"/>
        <item x="1014"/>
        <item x="882"/>
        <item x="19"/>
        <item x="173"/>
        <item x="22"/>
        <item x="517"/>
        <item x="891"/>
        <item x="589"/>
        <item x="325"/>
        <item x="442"/>
        <item x="1140"/>
        <item x="341"/>
        <item x="888"/>
        <item x="490"/>
        <item x="347"/>
        <item x="619"/>
        <item x="338"/>
        <item x="885"/>
        <item x="344"/>
        <item x="511"/>
        <item x="616"/>
        <item x="592"/>
        <item x="416"/>
        <item x="386"/>
        <item x="350"/>
        <item x="604"/>
        <item x="322"/>
        <item x="514"/>
        <item x="1017"/>
        <item x="1137"/>
        <item x="392"/>
        <item x="389"/>
        <item x="328"/>
        <item x="622"/>
        <item x="353"/>
        <item x="331"/>
        <item x="229"/>
        <item x="395"/>
        <item x="595"/>
        <item x="158"/>
        <item x="1134"/>
        <item x="520"/>
        <item x="526"/>
        <item x="601"/>
        <item x="319"/>
        <item x="334"/>
        <item x="523"/>
        <item x="1143"/>
        <item x="1149"/>
        <item x="493"/>
        <item x="1146"/>
        <item x="398"/>
        <item x="825"/>
        <item x="861"/>
        <item x="356"/>
        <item x="816"/>
        <item x="365"/>
        <item x="858"/>
        <item x="238"/>
        <item x="401"/>
        <item x="819"/>
        <item x="232"/>
        <item x="362"/>
        <item x="223"/>
        <item x="487"/>
        <item x="235"/>
        <item x="852"/>
        <item x="822"/>
        <item x="855"/>
        <item x="146"/>
        <item x="193"/>
        <item x="359"/>
        <item x="598"/>
        <item x="226"/>
        <item x="149"/>
        <item x="496"/>
        <item x="152"/>
        <item x="849"/>
        <item x="419"/>
        <item x="404"/>
        <item x="155"/>
        <item x="196"/>
        <item x="413"/>
        <item x="828"/>
        <item x="410"/>
        <item x="199"/>
        <item x="843"/>
        <item x="484"/>
        <item x="407"/>
        <item x="566"/>
        <item x="202"/>
        <item x="837"/>
        <item x="298"/>
        <item x="840"/>
        <item x="834"/>
        <item x="499"/>
        <item x="205"/>
        <item x="301"/>
        <item x="373"/>
        <item x="846"/>
        <item x="575"/>
        <item x="304"/>
        <item x="208"/>
        <item x="370"/>
        <item x="220"/>
        <item x="217"/>
        <item x="379"/>
        <item x="563"/>
        <item x="1151"/>
        <item x="508"/>
        <item x="569"/>
        <item x="505"/>
        <item x="831"/>
        <item x="382"/>
        <item x="214"/>
        <item x="211"/>
        <item x="481"/>
        <item x="560"/>
        <item x="295"/>
        <item x="307"/>
        <item x="502"/>
        <item x="572"/>
        <item x="1104"/>
        <item x="175"/>
        <item x="310"/>
        <item x="181"/>
        <item x="1107"/>
        <item x="422"/>
        <item x="376"/>
        <item x="425"/>
        <item x="292"/>
        <item x="313"/>
        <item x="545"/>
        <item x="178"/>
        <item x="530"/>
        <item x="1154"/>
        <item x="1110"/>
        <item x="557"/>
        <item x="551"/>
        <item x="166"/>
        <item x="1131"/>
        <item x="533"/>
        <item x="554"/>
        <item x="316"/>
        <item x="548"/>
        <item x="1113"/>
        <item x="428"/>
        <item x="184"/>
        <item x="289"/>
        <item x="542"/>
        <item x="536"/>
        <item x="1187"/>
        <item x="431"/>
        <item x="539"/>
        <item x="1128"/>
        <item x="1181"/>
        <item x="187"/>
        <item x="163"/>
        <item x="1157"/>
        <item x="190"/>
        <item x="1125"/>
        <item x="1190"/>
        <item x="1116"/>
        <item x="367"/>
        <item x="1184"/>
        <item x="169"/>
        <item x="1119"/>
        <item x="1122"/>
        <item x="1193"/>
        <item x="160"/>
        <item x="1196"/>
        <item x="1160"/>
        <item x="172"/>
        <item x="1163"/>
        <item x="1175"/>
        <item x="337"/>
        <item x="1172"/>
        <item x="340"/>
        <item x="343"/>
        <item x="1166"/>
        <item x="346"/>
        <item x="1178"/>
        <item x="385"/>
        <item x="415"/>
        <item x="349"/>
        <item x="1169"/>
        <item x="388"/>
        <item x="391"/>
        <item x="240"/>
        <item x="352"/>
        <item x="394"/>
        <item x="397"/>
        <item x="243"/>
        <item x="355"/>
        <item x="157"/>
        <item x="364"/>
        <item x="400"/>
        <item x="358"/>
        <item x="145"/>
        <item x="246"/>
        <item x="361"/>
        <item x="148"/>
        <item x="249"/>
        <item x="151"/>
        <item x="418"/>
        <item x="403"/>
        <item x="154"/>
        <item x="409"/>
        <item x="412"/>
        <item x="252"/>
        <item x="406"/>
        <item x="270"/>
        <item x="276"/>
        <item x="565"/>
        <item x="273"/>
        <item x="255"/>
        <item x="267"/>
        <item x="562"/>
        <item x="574"/>
        <item x="258"/>
        <item x="264"/>
        <item x="559"/>
        <item x="568"/>
        <item x="285"/>
        <item x="571"/>
        <item x="279"/>
        <item x="282"/>
        <item x="421"/>
        <item x="544"/>
        <item x="261"/>
        <item x="550"/>
        <item x="424"/>
        <item x="1153"/>
        <item x="556"/>
        <item x="529"/>
        <item x="547"/>
        <item x="553"/>
        <item x="541"/>
        <item x="427"/>
        <item x="532"/>
        <item x="535"/>
        <item x="430"/>
        <item x="1189"/>
        <item x="538"/>
        <item x="287"/>
        <item x="1156"/>
        <item x="1195"/>
        <item x="1198"/>
        <item x="1192"/>
        <item x="1183"/>
        <item x="1159"/>
        <item x="1186"/>
        <item x="1162"/>
        <item x="1165"/>
        <item x="284"/>
        <item x="1174"/>
        <item x="1177"/>
        <item x="1171"/>
        <item x="1180"/>
        <item x="1168"/>
        <item x="278"/>
        <item x="242"/>
        <item x="281"/>
        <item x="245"/>
        <item x="248"/>
        <item x="275"/>
        <item x="251"/>
        <item x="272"/>
        <item x="254"/>
        <item x="269"/>
        <item x="257"/>
        <item x="266"/>
        <item x="260"/>
        <item x="1152"/>
        <item x="263"/>
        <item x="1155"/>
        <item x="1188"/>
        <item x="1182"/>
        <item x="1191"/>
        <item x="1158"/>
        <item x="1194"/>
        <item x="1197"/>
        <item x="1185"/>
        <item x="1161"/>
        <item x="1164"/>
        <item x="1173"/>
        <item x="1176"/>
        <item x="1179"/>
        <item x="1167"/>
        <item x="1170"/>
        <item x="241"/>
        <item x="286"/>
        <item x="244"/>
        <item x="277"/>
        <item x="283"/>
        <item x="247"/>
        <item x="250"/>
        <item x="280"/>
        <item x="274"/>
        <item x="253"/>
        <item x="271"/>
        <item x="268"/>
        <item x="256"/>
        <item x="265"/>
        <item x="259"/>
        <item x="262"/>
        <item x="1199"/>
        <item t="default"/>
      </items>
    </pivotField>
    <pivotField showAll="0">
      <items count="1196">
        <item x="711"/>
        <item x="708"/>
        <item x="714"/>
        <item x="717"/>
        <item x="705"/>
        <item x="702"/>
        <item x="707"/>
        <item x="699"/>
        <item x="955"/>
        <item x="946"/>
        <item x="716"/>
        <item x="952"/>
        <item x="696"/>
        <item x="949"/>
        <item x="713"/>
        <item x="693"/>
        <item x="777"/>
        <item x="690"/>
        <item x="684"/>
        <item x="687"/>
        <item x="681"/>
        <item x="943"/>
        <item x="802"/>
        <item x="678"/>
        <item x="672"/>
        <item x="675"/>
        <item x="811"/>
        <item x="808"/>
        <item x="805"/>
        <item x="779"/>
        <item x="797"/>
        <item x="774"/>
        <item x="992"/>
        <item x="1001"/>
        <item x="86"/>
        <item x="710"/>
        <item x="998"/>
        <item x="995"/>
        <item x="95"/>
        <item x="92"/>
        <item x="83"/>
        <item x="989"/>
        <item x="782"/>
        <item x="89"/>
        <item x="940"/>
        <item x="771"/>
        <item x="669"/>
        <item x="785"/>
        <item x="986"/>
        <item x="666"/>
        <item x="660"/>
        <item x="663"/>
        <item x="704"/>
        <item x="80"/>
        <item x="788"/>
        <item x="701"/>
        <item x="768"/>
        <item x="791"/>
        <item x="794"/>
        <item x="654"/>
        <item x="134"/>
        <item x="919"/>
        <item x="657"/>
        <item x="143"/>
        <item x="916"/>
        <item x="961"/>
        <item x="913"/>
        <item x="137"/>
        <item x="958"/>
        <item x="131"/>
        <item x="698"/>
        <item x="910"/>
        <item x="922"/>
        <item x="964"/>
        <item x="140"/>
        <item x="981"/>
        <item x="978"/>
        <item x="937"/>
        <item x="56"/>
        <item x="77"/>
        <item x="969"/>
        <item x="62"/>
        <item x="59"/>
        <item x="706"/>
        <item x="972"/>
        <item x="975"/>
        <item x="50"/>
        <item x="53"/>
        <item x="729"/>
        <item x="74"/>
        <item x="715"/>
        <item x="726"/>
        <item x="65"/>
        <item x="925"/>
        <item x="68"/>
        <item x="723"/>
        <item x="712"/>
        <item x="720"/>
        <item x="71"/>
        <item x="934"/>
        <item x="700"/>
        <item x="931"/>
        <item x="709"/>
        <item x="928"/>
        <item x="651"/>
        <item x="775"/>
        <item x="128"/>
        <item x="697"/>
        <item x="732"/>
        <item x="695"/>
        <item x="756"/>
        <item x="645"/>
        <item x="648"/>
        <item x="643"/>
        <item x="670"/>
        <item x="735"/>
        <item x="637"/>
        <item x="679"/>
        <item x="634"/>
        <item x="703"/>
        <item x="750"/>
        <item x="776"/>
        <item x="694"/>
        <item x="673"/>
        <item x="692"/>
        <item x="631"/>
        <item x="682"/>
        <item x="676"/>
        <item x="691"/>
        <item x="640"/>
        <item x="688"/>
        <item x="753"/>
        <item x="759"/>
        <item x="685"/>
        <item x="628"/>
        <item x="738"/>
        <item x="762"/>
        <item x="689"/>
        <item x="765"/>
        <item x="683"/>
        <item x="680"/>
        <item x="772"/>
        <item x="686"/>
        <item x="1079"/>
        <item x="671"/>
        <item x="625"/>
        <item x="674"/>
        <item x="110"/>
        <item x="107"/>
        <item x="741"/>
        <item x="677"/>
        <item x="800"/>
        <item x="113"/>
        <item x="945"/>
        <item x="104"/>
        <item x="744"/>
        <item x="116"/>
        <item x="801"/>
        <item x="101"/>
        <item x="951"/>
        <item x="795"/>
        <item x="954"/>
        <item x="780"/>
        <item x="778"/>
        <item x="464"/>
        <item x="119"/>
        <item x="122"/>
        <item x="125"/>
        <item x="98"/>
        <item x="769"/>
        <item x="773"/>
        <item x="747"/>
        <item x="798"/>
        <item x="948"/>
        <item x="796"/>
        <item x="803"/>
        <item x="804"/>
        <item x="807"/>
        <item x="810"/>
        <item x="84"/>
        <item x="799"/>
        <item x="806"/>
        <item x="809"/>
        <item x="783"/>
        <item x="990"/>
        <item x="991"/>
        <item x="85"/>
        <item x="781"/>
        <item x="987"/>
        <item x="786"/>
        <item x="942"/>
        <item x="770"/>
        <item x="1000"/>
        <item x="81"/>
        <item x="90"/>
        <item x="993"/>
        <item x="91"/>
        <item x="988"/>
        <item x="997"/>
        <item x="87"/>
        <item x="994"/>
        <item x="944"/>
        <item x="984"/>
        <item x="996"/>
        <item x="766"/>
        <item x="82"/>
        <item x="88"/>
        <item x="1076"/>
        <item x="93"/>
        <item x="871"/>
        <item x="999"/>
        <item x="94"/>
        <item x="78"/>
        <item x="898"/>
        <item x="950"/>
        <item x="947"/>
        <item x="789"/>
        <item x="1049"/>
        <item x="784"/>
        <item x="953"/>
        <item x="1037"/>
        <item x="1082"/>
        <item x="1046"/>
        <item x="434"/>
        <item x="1043"/>
        <item x="792"/>
        <item x="985"/>
        <item x="1052"/>
        <item x="1085"/>
        <item x="941"/>
        <item x="1088"/>
        <item x="938"/>
        <item x="939"/>
        <item x="895"/>
        <item x="787"/>
        <item x="868"/>
        <item x="1034"/>
        <item x="917"/>
        <item x="892"/>
        <item x="79"/>
        <item x="1004"/>
        <item x="1055"/>
        <item x="914"/>
        <item x="1040"/>
        <item x="578"/>
        <item x="904"/>
        <item x="1019"/>
        <item x="767"/>
        <item x="901"/>
        <item x="911"/>
        <item x="1061"/>
        <item x="959"/>
        <item x="1058"/>
        <item x="907"/>
        <item x="659"/>
        <item x="1022"/>
        <item x="956"/>
        <item x="1025"/>
        <item x="658"/>
        <item x="790"/>
        <item x="793"/>
        <item x="965"/>
        <item x="874"/>
        <item x="1064"/>
        <item x="865"/>
        <item x="467"/>
        <item x="962"/>
        <item x="982"/>
        <item x="908"/>
        <item x="979"/>
        <item x="32"/>
        <item x="581"/>
        <item x="920"/>
        <item x="1097"/>
        <item x="60"/>
        <item x="57"/>
        <item x="1028"/>
        <item x="976"/>
        <item x="437"/>
        <item x="668"/>
        <item x="1070"/>
        <item x="967"/>
        <item x="665"/>
        <item x="1007"/>
        <item x="607"/>
        <item x="970"/>
        <item x="54"/>
        <item x="75"/>
        <item x="662"/>
        <item x="38"/>
        <item x="473"/>
        <item x="915"/>
        <item x="973"/>
        <item x="727"/>
        <item x="1094"/>
        <item x="1067"/>
        <item x="1073"/>
        <item x="584"/>
        <item x="918"/>
        <item x="724"/>
        <item x="48"/>
        <item x="862"/>
        <item x="63"/>
        <item x="51"/>
        <item x="960"/>
        <item x="35"/>
        <item x="479"/>
        <item x="476"/>
        <item x="470"/>
        <item x="912"/>
        <item x="72"/>
        <item x="461"/>
        <item x="1031"/>
        <item x="655"/>
        <item x="652"/>
        <item x="877"/>
        <item x="718"/>
        <item x="661"/>
        <item x="66"/>
        <item x="69"/>
        <item x="935"/>
        <item x="721"/>
        <item x="2"/>
        <item x="957"/>
        <item x="47"/>
        <item x="610"/>
        <item x="653"/>
        <item x="452"/>
        <item x="923"/>
        <item x="449"/>
        <item x="963"/>
        <item x="29"/>
        <item x="664"/>
        <item x="613"/>
        <item x="656"/>
        <item x="587"/>
        <item x="44"/>
        <item x="983"/>
        <item x="458"/>
        <item x="1136"/>
        <item x="926"/>
        <item x="8"/>
        <item x="455"/>
        <item x="667"/>
        <item x="966"/>
        <item x="1016"/>
        <item x="909"/>
        <item x="929"/>
        <item x="326"/>
        <item x="440"/>
        <item x="1091"/>
        <item x="41"/>
        <item x="133"/>
        <item x="132"/>
        <item x="980"/>
        <item x="977"/>
        <item x="5"/>
        <item x="26"/>
        <item x="921"/>
        <item x="932"/>
        <item x="11"/>
        <item x="61"/>
        <item x="446"/>
        <item x="14"/>
        <item x="968"/>
        <item x="58"/>
        <item x="76"/>
        <item x="730"/>
        <item x="1010"/>
        <item x="974"/>
        <item x="936"/>
        <item x="880"/>
        <item x="17"/>
        <item x="518"/>
        <item x="55"/>
        <item x="971"/>
        <item x="129"/>
        <item x="52"/>
        <item x="142"/>
        <item x="20"/>
        <item x="332"/>
        <item x="725"/>
        <item x="64"/>
        <item x="728"/>
        <item x="130"/>
        <item x="49"/>
        <item x="23"/>
        <item x="136"/>
        <item x="1133"/>
        <item x="329"/>
        <item x="924"/>
        <item x="135"/>
        <item x="73"/>
        <item x="323"/>
        <item x="67"/>
        <item x="335"/>
        <item x="733"/>
        <item x="590"/>
        <item x="1145"/>
        <item x="754"/>
        <item x="889"/>
        <item x="70"/>
        <item x="722"/>
        <item x="886"/>
        <item x="719"/>
        <item x="933"/>
        <item x="126"/>
        <item x="930"/>
        <item x="443"/>
        <item x="141"/>
        <item x="748"/>
        <item x="646"/>
        <item x="138"/>
        <item x="139"/>
        <item x="619"/>
        <item x="635"/>
        <item x="512"/>
        <item x="883"/>
        <item x="649"/>
        <item x="515"/>
        <item x="927"/>
        <item x="641"/>
        <item x="1139"/>
        <item x="632"/>
        <item x="616"/>
        <item x="1142"/>
        <item x="629"/>
        <item x="491"/>
        <item x="320"/>
        <item x="527"/>
        <item x="593"/>
        <item x="731"/>
        <item x="1013"/>
        <item x="638"/>
        <item x="626"/>
        <item x="604"/>
        <item x="859"/>
        <item x="622"/>
        <item x="736"/>
        <item x="856"/>
        <item x="230"/>
        <item x="521"/>
        <item x="1130"/>
        <item x="751"/>
        <item x="239"/>
        <item x="127"/>
        <item x="644"/>
        <item x="650"/>
        <item x="757"/>
        <item x="755"/>
        <item x="524"/>
        <item x="236"/>
        <item x="595"/>
        <item x="233"/>
        <item x="647"/>
        <item x="623"/>
        <item x="853"/>
        <item x="601"/>
        <item x="1077"/>
        <item x="739"/>
        <item x="494"/>
        <item x="642"/>
        <item x="374"/>
        <item x="850"/>
        <item x="108"/>
        <item x="734"/>
        <item x="814"/>
        <item x="636"/>
        <item x="633"/>
        <item x="102"/>
        <item x="105"/>
        <item x="224"/>
        <item x="749"/>
        <item x="760"/>
        <item x="111"/>
        <item x="817"/>
        <item x="488"/>
        <item x="380"/>
        <item x="823"/>
        <item x="630"/>
        <item x="598"/>
        <item x="227"/>
        <item x="114"/>
        <item x="742"/>
        <item x="383"/>
        <item x="847"/>
        <item x="194"/>
        <item x="639"/>
        <item x="627"/>
        <item x="763"/>
        <item x="820"/>
        <item x="737"/>
        <item x="758"/>
        <item x="462"/>
        <item x="752"/>
        <item x="99"/>
        <item x="497"/>
        <item x="197"/>
        <item x="120"/>
        <item x="371"/>
        <item x="117"/>
        <item x="96"/>
        <item x="485"/>
        <item x="123"/>
        <item x="761"/>
        <item x="624"/>
        <item x="826"/>
        <item x="1078"/>
        <item x="745"/>
        <item x="764"/>
        <item x="841"/>
        <item x="200"/>
        <item x="299"/>
        <item x="377"/>
        <item x="740"/>
        <item x="838"/>
        <item x="835"/>
        <item x="109"/>
        <item x="112"/>
        <item x="203"/>
        <item x="832"/>
        <item x="103"/>
        <item x="106"/>
        <item x="206"/>
        <item x="500"/>
        <item x="844"/>
        <item x="302"/>
        <item x="305"/>
        <item x="743"/>
        <item x="115"/>
        <item x="221"/>
        <item x="100"/>
        <item x="218"/>
        <item x="209"/>
        <item x="829"/>
        <item x="509"/>
        <item x="463"/>
        <item x="506"/>
        <item x="121"/>
        <item x="124"/>
        <item x="482"/>
        <item x="118"/>
        <item x="212"/>
        <item x="215"/>
        <item x="296"/>
        <item x="97"/>
        <item x="308"/>
        <item x="1100"/>
        <item x="503"/>
        <item x="311"/>
        <item x="746"/>
        <item x="1103"/>
        <item x="182"/>
        <item x="1074"/>
        <item x="869"/>
        <item x="176"/>
        <item x="293"/>
        <item x="179"/>
        <item x="314"/>
        <item x="1127"/>
        <item x="317"/>
        <item x="1109"/>
        <item x="1106"/>
        <item x="1035"/>
        <item x="185"/>
        <item x="1080"/>
        <item x="290"/>
        <item x="167"/>
        <item x="1083"/>
        <item x="1050"/>
        <item x="432"/>
        <item x="188"/>
        <item x="368"/>
        <item x="191"/>
        <item x="1086"/>
        <item x="866"/>
        <item x="1124"/>
        <item x="1032"/>
        <item x="896"/>
        <item x="576"/>
        <item x="164"/>
        <item x="1053"/>
        <item x="1112"/>
        <item x="1017"/>
        <item x="1121"/>
        <item x="1041"/>
        <item x="1002"/>
        <item x="1056"/>
        <item x="1059"/>
        <item x="1038"/>
        <item x="890"/>
        <item x="170"/>
        <item x="1023"/>
        <item x="1075"/>
        <item x="1118"/>
        <item x="870"/>
        <item x="161"/>
        <item x="893"/>
        <item x="1115"/>
        <item x="1062"/>
        <item x="1044"/>
        <item x="1020"/>
        <item x="863"/>
        <item x="1036"/>
        <item x="872"/>
        <item x="897"/>
        <item x="465"/>
        <item x="1081"/>
        <item x="579"/>
        <item x="173"/>
        <item x="1047"/>
        <item x="1051"/>
        <item x="30"/>
        <item x="433"/>
        <item x="899"/>
        <item x="902"/>
        <item x="1042"/>
        <item x="1087"/>
        <item x="1033"/>
        <item x="1005"/>
        <item x="1068"/>
        <item x="1084"/>
        <item x="1026"/>
        <item x="1045"/>
        <item x="605"/>
        <item x="435"/>
        <item x="341"/>
        <item x="1048"/>
        <item x="347"/>
        <item x="338"/>
        <item x="1003"/>
        <item x="344"/>
        <item x="860"/>
        <item x="1071"/>
        <item x="1065"/>
        <item x="894"/>
        <item x="582"/>
        <item x="1029"/>
        <item x="867"/>
        <item x="891"/>
        <item x="459"/>
        <item x="1054"/>
        <item x="577"/>
        <item x="905"/>
        <item x="1039"/>
        <item x="1018"/>
        <item x="416"/>
        <item x="386"/>
        <item x="1057"/>
        <item x="608"/>
        <item x="350"/>
        <item x="1024"/>
        <item x="471"/>
        <item x="1021"/>
        <item x="468"/>
        <item x="1060"/>
        <item x="875"/>
        <item x="474"/>
        <item x="33"/>
        <item x="1063"/>
        <item x="0"/>
        <item x="392"/>
        <item x="450"/>
        <item x="1095"/>
        <item x="477"/>
        <item x="389"/>
        <item x="447"/>
        <item x="36"/>
        <item x="353"/>
        <item x="900"/>
        <item x="585"/>
        <item x="456"/>
        <item x="903"/>
        <item x="1014"/>
        <item x="466"/>
        <item x="453"/>
        <item x="873"/>
        <item x="27"/>
        <item x="6"/>
        <item x="611"/>
        <item x="1092"/>
        <item x="395"/>
        <item x="438"/>
        <item x="24"/>
        <item x="158"/>
        <item x="864"/>
        <item x="3"/>
        <item x="906"/>
        <item x="31"/>
        <item x="580"/>
        <item x="444"/>
        <item x="398"/>
        <item x="1008"/>
        <item x="436"/>
        <item x="12"/>
        <item x="356"/>
        <item x="365"/>
        <item x="9"/>
        <item x="1069"/>
        <item x="15"/>
        <item x="1027"/>
        <item x="606"/>
        <item x="861"/>
        <item x="401"/>
        <item x="878"/>
        <item x="362"/>
        <item x="1006"/>
        <item x="1066"/>
        <item x="1096"/>
        <item x="1089"/>
        <item x="460"/>
        <item x="583"/>
        <item x="37"/>
        <item x="146"/>
        <item x="18"/>
        <item x="1030"/>
        <item x="359"/>
        <item x="1072"/>
        <item x="45"/>
        <item x="42"/>
        <item x="39"/>
        <item x="34"/>
        <item x="472"/>
        <item x="149"/>
        <item x="1093"/>
        <item x="588"/>
        <item x="451"/>
        <item x="469"/>
        <item x="21"/>
        <item x="1"/>
        <item x="609"/>
        <item x="475"/>
        <item x="887"/>
        <item x="876"/>
        <item x="152"/>
        <item x="478"/>
        <item x="441"/>
        <item x="881"/>
        <item x="448"/>
        <item x="419"/>
        <item x="586"/>
        <item x="28"/>
        <item x="884"/>
        <item x="404"/>
        <item x="617"/>
        <item x="155"/>
        <item x="614"/>
        <item x="489"/>
        <item x="612"/>
        <item x="413"/>
        <item x="410"/>
        <item x="516"/>
        <item x="457"/>
        <item x="4"/>
        <item x="1015"/>
        <item x="7"/>
        <item x="25"/>
        <item x="591"/>
        <item x="439"/>
        <item x="454"/>
        <item x="602"/>
        <item x="46"/>
        <item x="43"/>
        <item x="1090"/>
        <item x="10"/>
        <item x="445"/>
        <item x="510"/>
        <item x="407"/>
        <item x="1011"/>
        <item x="566"/>
        <item x="40"/>
        <item x="13"/>
        <item x="16"/>
        <item x="1009"/>
        <item x="879"/>
        <item x="620"/>
        <item x="19"/>
        <item x="513"/>
        <item x="22"/>
        <item x="599"/>
        <item x="575"/>
        <item x="492"/>
        <item x="324"/>
        <item x="517"/>
        <item x="1134"/>
        <item x="888"/>
        <item x="589"/>
        <item x="563"/>
        <item x="812"/>
        <item x="325"/>
        <item x="228"/>
        <item x="442"/>
        <item x="569"/>
        <item x="1135"/>
        <item x="519"/>
        <item x="815"/>
        <item x="821"/>
        <item x="885"/>
        <item x="490"/>
        <item x="486"/>
        <item x="525"/>
        <item x="618"/>
        <item x="321"/>
        <item x="560"/>
        <item x="882"/>
        <item x="511"/>
        <item x="615"/>
        <item x="596"/>
        <item x="592"/>
        <item x="572"/>
        <item x="222"/>
        <item x="318"/>
        <item x="522"/>
        <item x="1128"/>
        <item x="192"/>
        <item x="818"/>
        <item x="1131"/>
        <item x="603"/>
        <item x="495"/>
        <item x="422"/>
        <item x="322"/>
        <item x="854"/>
        <item x="514"/>
        <item x="1012"/>
        <item x="857"/>
        <item x="1132"/>
        <item x="425"/>
        <item x="545"/>
        <item x="225"/>
        <item x="328"/>
        <item x="327"/>
        <item x="851"/>
        <item x="234"/>
        <item x="231"/>
        <item x="530"/>
        <item x="195"/>
        <item x="621"/>
        <item x="848"/>
        <item x="331"/>
        <item x="557"/>
        <item x="824"/>
        <item x="237"/>
        <item x="845"/>
        <item x="229"/>
        <item x="330"/>
        <item x="198"/>
        <item x="1137"/>
        <item x="551"/>
        <item x="594"/>
        <item x="1129"/>
        <item x="1140"/>
        <item x="520"/>
        <item x="526"/>
        <item x="600"/>
        <item x="319"/>
        <item x="533"/>
        <item x="554"/>
        <item x="548"/>
        <item x="334"/>
        <item x="523"/>
        <item x="1138"/>
        <item x="483"/>
        <item x="333"/>
        <item x="1144"/>
        <item x="493"/>
        <item x="1143"/>
        <item x="428"/>
        <item x="1141"/>
        <item x="542"/>
        <item x="201"/>
        <item x="822"/>
        <item x="858"/>
        <item x="839"/>
        <item x="536"/>
        <item x="813"/>
        <item x="855"/>
        <item x="836"/>
        <item x="238"/>
        <item x="431"/>
        <item x="297"/>
        <item x="816"/>
        <item x="232"/>
        <item x="223"/>
        <item x="487"/>
        <item x="235"/>
        <item x="830"/>
        <item x="539"/>
        <item x="849"/>
        <item x="833"/>
        <item x="819"/>
        <item x="204"/>
        <item x="852"/>
        <item x="498"/>
        <item x="193"/>
        <item x="300"/>
        <item x="597"/>
        <item x="226"/>
        <item x="842"/>
        <item x="303"/>
        <item x="207"/>
        <item x="496"/>
        <item x="219"/>
        <item x="827"/>
        <item x="480"/>
        <item x="507"/>
        <item x="210"/>
        <item x="504"/>
        <item x="846"/>
        <item x="216"/>
        <item x="294"/>
        <item x="501"/>
        <item x="306"/>
        <item x="196"/>
        <item x="825"/>
        <item x="213"/>
        <item x="199"/>
        <item x="1098"/>
        <item x="309"/>
        <item x="1101"/>
        <item x="840"/>
        <item x="484"/>
        <item x="174"/>
        <item x="180"/>
        <item x="202"/>
        <item x="291"/>
        <item x="834"/>
        <item x="298"/>
        <item x="177"/>
        <item x="312"/>
        <item x="837"/>
        <item x="831"/>
        <item x="1104"/>
        <item x="499"/>
        <item x="205"/>
        <item x="301"/>
        <item x="373"/>
        <item x="1107"/>
        <item x="843"/>
        <item x="165"/>
        <item x="1125"/>
        <item x="304"/>
        <item x="208"/>
        <item x="315"/>
        <item x="370"/>
        <item x="220"/>
        <item x="183"/>
        <item x="217"/>
        <item x="379"/>
        <item x="508"/>
        <item x="288"/>
        <item x="505"/>
        <item x="372"/>
        <item x="828"/>
        <item x="382"/>
        <item x="214"/>
        <item x="211"/>
        <item x="369"/>
        <item x="481"/>
        <item x="295"/>
        <item x="307"/>
        <item x="502"/>
        <item x="1099"/>
        <item x="162"/>
        <item x="1122"/>
        <item x="175"/>
        <item x="378"/>
        <item x="186"/>
        <item x="310"/>
        <item x="189"/>
        <item x="181"/>
        <item x="1102"/>
        <item x="168"/>
        <item x="292"/>
        <item x="1110"/>
        <item x="1119"/>
        <item x="313"/>
        <item x="178"/>
        <item x="381"/>
        <item x="1116"/>
        <item x="376"/>
        <item x="1105"/>
        <item x="159"/>
        <item x="1113"/>
        <item x="375"/>
        <item x="166"/>
        <item x="1126"/>
        <item x="316"/>
        <item x="1108"/>
        <item x="184"/>
        <item x="289"/>
        <item x="171"/>
        <item x="366"/>
        <item x="1123"/>
        <item x="339"/>
        <item x="187"/>
        <item x="342"/>
        <item x="163"/>
        <item x="345"/>
        <item x="336"/>
        <item x="190"/>
        <item x="414"/>
        <item x="1120"/>
        <item x="1111"/>
        <item x="384"/>
        <item x="348"/>
        <item x="367"/>
        <item x="169"/>
        <item x="1114"/>
        <item x="1117"/>
        <item x="351"/>
        <item x="390"/>
        <item x="160"/>
        <item x="387"/>
        <item x="396"/>
        <item x="156"/>
        <item x="393"/>
        <item x="172"/>
        <item x="354"/>
        <item x="337"/>
        <item x="399"/>
        <item x="363"/>
        <item x="340"/>
        <item x="343"/>
        <item x="346"/>
        <item x="357"/>
        <item x="144"/>
        <item x="385"/>
        <item x="147"/>
        <item x="415"/>
        <item x="360"/>
        <item x="349"/>
        <item x="150"/>
        <item x="402"/>
        <item x="417"/>
        <item x="388"/>
        <item x="391"/>
        <item x="153"/>
        <item x="352"/>
        <item x="1148"/>
        <item x="408"/>
        <item x="411"/>
        <item x="394"/>
        <item x="397"/>
        <item x="355"/>
        <item x="157"/>
        <item x="405"/>
        <item x="364"/>
        <item x="400"/>
        <item x="358"/>
        <item x="145"/>
        <item x="1184"/>
        <item x="361"/>
        <item x="287"/>
        <item x="564"/>
        <item x="1151"/>
        <item x="148"/>
        <item x="1190"/>
        <item x="151"/>
        <item x="561"/>
        <item x="418"/>
        <item x="1193"/>
        <item x="403"/>
        <item x="1187"/>
        <item x="154"/>
        <item x="1178"/>
        <item x="558"/>
        <item x="409"/>
        <item x="412"/>
        <item x="567"/>
        <item x="1154"/>
        <item x="1181"/>
        <item x="573"/>
        <item x="570"/>
        <item x="406"/>
        <item x="420"/>
        <item x="543"/>
        <item x="423"/>
        <item x="565"/>
        <item x="555"/>
        <item x="528"/>
        <item x="549"/>
        <item x="546"/>
        <item x="531"/>
        <item x="1157"/>
        <item x="552"/>
        <item x="562"/>
        <item x="574"/>
        <item x="534"/>
        <item x="540"/>
        <item x="1160"/>
        <item x="429"/>
        <item x="426"/>
        <item x="284"/>
        <item x="559"/>
        <item x="568"/>
        <item x="537"/>
        <item x="1169"/>
        <item x="571"/>
        <item x="1172"/>
        <item x="1166"/>
        <item x="1175"/>
        <item x="1163"/>
        <item x="421"/>
        <item x="544"/>
        <item x="278"/>
        <item x="550"/>
        <item x="424"/>
        <item x="556"/>
        <item x="242"/>
        <item x="529"/>
        <item x="547"/>
        <item x="553"/>
        <item x="281"/>
        <item x="541"/>
        <item x="427"/>
        <item x="532"/>
        <item x="535"/>
        <item x="245"/>
        <item x="430"/>
        <item x="538"/>
        <item x="248"/>
        <item x="275"/>
        <item x="251"/>
        <item x="272"/>
        <item x="254"/>
        <item x="269"/>
        <item x="257"/>
        <item x="266"/>
        <item x="260"/>
        <item x="263"/>
        <item x="1146"/>
        <item x="1149"/>
        <item x="1182"/>
        <item x="1147"/>
        <item x="1176"/>
        <item x="1152"/>
        <item x="1185"/>
        <item x="1179"/>
        <item x="1188"/>
        <item x="1191"/>
        <item x="1155"/>
        <item x="1150"/>
        <item x="1183"/>
        <item x="1158"/>
        <item x="1170"/>
        <item x="1177"/>
        <item x="1167"/>
        <item x="1186"/>
        <item x="1161"/>
        <item x="1153"/>
        <item x="1173"/>
        <item x="1189"/>
        <item x="1192"/>
        <item x="1180"/>
        <item x="1164"/>
        <item x="240"/>
        <item x="1156"/>
        <item x="243"/>
        <item x="1159"/>
        <item x="1168"/>
        <item x="1171"/>
        <item x="1174"/>
        <item x="1162"/>
        <item x="246"/>
        <item x="1165"/>
        <item x="249"/>
        <item x="241"/>
        <item x="286"/>
        <item x="252"/>
        <item x="244"/>
        <item x="270"/>
        <item x="277"/>
        <item x="276"/>
        <item x="273"/>
        <item x="255"/>
        <item x="283"/>
        <item x="247"/>
        <item x="267"/>
        <item x="250"/>
        <item x="258"/>
        <item x="264"/>
        <item x="280"/>
        <item x="274"/>
        <item x="285"/>
        <item x="279"/>
        <item x="253"/>
        <item x="282"/>
        <item x="271"/>
        <item x="261"/>
        <item x="268"/>
        <item x="256"/>
        <item x="265"/>
        <item x="259"/>
        <item x="262"/>
        <item x="119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3" hier="-1"/>
    <pageField fld="0" hier="-1"/>
  </pageFields>
  <dataFields count="1">
    <dataField name="Sum of ev_sales" fld="8" baseField="0" baseItem="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66FFB3-1465-4E31-AC6A-AE41E6FB74B5}" name="Table4" displayName="Table4" ref="A1:Y1201" totalsRowShown="0" headerRowDxfId="14" headerRowBorderDxfId="13" tableBorderDxfId="12">
  <autoFilter ref="A1:Y1201" xr:uid="{1966FFB3-1465-4E31-AC6A-AE41E6FB74B5}"/>
  <tableColumns count="25">
    <tableColumn id="1" xr3:uid="{D4EE7253-E8A2-4321-9408-671710CDAC06}" name="country"/>
    <tableColumn id="27" xr3:uid="{4BBDC2D4-9C26-4039-8688-D55D482639F3}" name="Counrty_ID" dataDxfId="11">
      <calculatedColumnFormula>_xlfn.XLOOKUP(Table4[[#This Row],[country]],Table2[country],Table2[country_id],FALSE)</calculatedColumnFormula>
    </tableColumn>
    <tableColumn id="2" xr3:uid="{C0AB3671-388D-415E-A461-A86773B57A04}" name="region"/>
    <tableColumn id="3" xr3:uid="{7B1C3873-69BA-49D6-994D-BBE8FB4CA002}" name="year"/>
    <tableColumn id="24" xr3:uid="{CEC78768-4E72-46B0-BB54-26A0CCD3AAB9}" name="Year_ID" dataDxfId="10">
      <calculatedColumnFormula>_xlfn.XLOOKUP(Table4[[#This Row],[year]],Table1[year],Table1[year_id])</calculatedColumnFormula>
    </tableColumn>
    <tableColumn id="4" xr3:uid="{A7116F71-CB7C-4C5E-B360-9BBBBFE76221}" name="vehicle_segment"/>
    <tableColumn id="5" xr3:uid="{84AC5BFC-5E9A-438E-9A5F-2D1597BC1AAC}" name="powertrain_type"/>
    <tableColumn id="25" xr3:uid="{61A8061B-34F4-4C9D-8AF2-13B8C52ED639}" name="Vichicle_ID" dataDxfId="9">
      <calculatedColumnFormula array="1">_xlfn.XLOOKUP(Table4[[#This Row],[vehicle_segment]]&amp;Table4[[#This Row],[powertrain_type]],Table3[vehicle_segment]&amp;Table3[powertrain_type],Table3[vehicle_id])</calculatedColumnFormula>
    </tableColumn>
    <tableColumn id="6" xr3:uid="{4213896A-D829-4702-BC26-90C3FB7FADA6}" name="ev_sales"/>
    <tableColumn id="7" xr3:uid="{BC38A23E-6F28-49C6-B92C-AC6C5A12DFEE}" name="petrol_car_sales"/>
    <tableColumn id="8" xr3:uid="{7B9FF888-660A-4384-B230-9A8208A25011}" name="diesel_car_sales"/>
    <tableColumn id="9" xr3:uid="{40D78E81-9378-4187-A8D7-89B3BD6D8C27}" name="total_vehicle_sales"/>
    <tableColumn id="10" xr3:uid="{43E4E479-8B35-4B40-9D64-C7BDA4A4871D}" name="ev_market_share"/>
    <tableColumn id="11" xr3:uid="{5FBE302A-582E-4D28-9183-9D440A031E7D}" name="charging_stations"/>
    <tableColumn id="12" xr3:uid="{DE277B29-A1B8-4CDB-847C-9B838370E752}" name="fast_chargers_share"/>
    <tableColumn id="13" xr3:uid="{A0547A24-279D-450F-96B0-858321E38240}" name="avg_ev_range_km"/>
    <tableColumn id="14" xr3:uid="{BEAD05C5-337A-40B2-8D63-4FF9724DCD7F}" name="fuel_price_usd_per_liter"/>
    <tableColumn id="15" xr3:uid="{8A0C57F9-A8B5-43D8-A4DF-D7DD04CAD0DD}" name="electricity_price_usd_per_kwh"/>
    <tableColumn id="16" xr3:uid="{9E8BD70E-916C-4BD7-B17F-5D5128C5F230}" name="gdp_per_capita"/>
    <tableColumn id="17" xr3:uid="{AC9D9B3A-5F95-45AA-954A-AC834E4EE884}" name="urban_population_percent"/>
    <tableColumn id="18" xr3:uid="{6BD7BC47-BB0B-4F83-B5A5-222D4AB024FE}" name="co2_emissions_transport_mt"/>
    <tableColumn id="19" xr3:uid="{B87C0212-816C-42C2-B58B-7F0A301A5333}" name="ev_subsidy_usd"/>
    <tableColumn id="20" xr3:uid="{F9995941-D51A-451A-BA67-B5D1AC35BA17}" name="emission_regulation_score"/>
    <tableColumn id="21" xr3:uid="{B6AC7B77-41F0-4933-B1EE-1CECB3C6F9BD}" name="ev_growth_rate_yoy"/>
    <tableColumn id="22" xr3:uid="{7583E483-944B-4752-A9BB-4815111D7C6D}" name="is_ev_domina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865F5E-F847-4EFA-AD4F-2490251A15AC}" name="Table2" displayName="Table2" ref="A1:C26" totalsRowShown="0" headerRowDxfId="8" headerRowBorderDxfId="7" tableBorderDxfId="6">
  <autoFilter ref="A1:C26" xr:uid="{61865F5E-F847-4EFA-AD4F-2490251A15AC}"/>
  <tableColumns count="3">
    <tableColumn id="1" xr3:uid="{2A64FEEA-5F35-498C-B66C-B044FDD1640F}" name="country_id"/>
    <tableColumn id="2" xr3:uid="{6DE7C712-4B3D-454D-A335-7C833B56EADA}" name="country"/>
    <tableColumn id="3" xr3:uid="{45929589-9799-48E7-857A-AD36910D1BB8}" name="reg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5587E-746D-43BC-901A-229F33ABA21E}" name="Table1" displayName="Table1" ref="A1:B17" totalsRowShown="0" headerRowDxfId="5" headerRowBorderDxfId="4" tableBorderDxfId="3">
  <autoFilter ref="A1:B17" xr:uid="{D415587E-746D-43BC-901A-229F33ABA21E}"/>
  <tableColumns count="2">
    <tableColumn id="1" xr3:uid="{53598FBE-985D-4DB6-807D-15F0AD831566}" name="year_id"/>
    <tableColumn id="2" xr3:uid="{AA48EE6F-C3AD-4020-B277-AE31F65F9133}" name="year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1D37EB-364E-46B5-8E13-082009BB1157}" name="Table3" displayName="Table3" ref="A1:C6" totalsRowShown="0" headerRowDxfId="2" headerRowBorderDxfId="1" tableBorderDxfId="0">
  <autoFilter ref="A1:C6" xr:uid="{751D37EB-364E-46B5-8E13-082009BB1157}"/>
  <tableColumns count="3">
    <tableColumn id="1" xr3:uid="{EEF29384-EFC5-4955-B82A-7B3FDEF9BE5E}" name="vehicle_id"/>
    <tableColumn id="2" xr3:uid="{2A4E28A3-4D4B-4998-AE0E-CF6EBD8E72A7}" name="vehicle_segment"/>
    <tableColumn id="3" xr3:uid="{B32F5789-3C6D-4FFC-A931-4770410BF0C6}" name="powertrain_typ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3CBD0-3FEA-4B25-8A8C-F294F7387AFD}">
  <dimension ref="A1:R140"/>
  <sheetViews>
    <sheetView tabSelected="1" workbookViewId="0">
      <selection activeCell="B145" sqref="A145:B150"/>
    </sheetView>
  </sheetViews>
  <sheetFormatPr defaultRowHeight="15" x14ac:dyDescent="0.25"/>
  <cols>
    <col min="1" max="1" width="15.42578125" bestFit="1" customWidth="1"/>
    <col min="2" max="2" width="23.42578125" bestFit="1" customWidth="1"/>
    <col min="3" max="3" width="7.28515625" bestFit="1" customWidth="1"/>
    <col min="4" max="4" width="8.28515625" bestFit="1" customWidth="1"/>
    <col min="5" max="5" width="7" bestFit="1" customWidth="1"/>
    <col min="6" max="6" width="7.42578125" bestFit="1" customWidth="1"/>
    <col min="7" max="7" width="9" bestFit="1" customWidth="1"/>
    <col min="8" max="8" width="8" bestFit="1" customWidth="1"/>
    <col min="9" max="9" width="9.140625" bestFit="1" customWidth="1"/>
    <col min="10" max="10" width="7" bestFit="1" customWidth="1"/>
    <col min="11" max="11" width="9.7109375" bestFit="1" customWidth="1"/>
    <col min="12" max="12" width="7" bestFit="1" customWidth="1"/>
    <col min="13" max="13" width="8" bestFit="1" customWidth="1"/>
    <col min="14" max="14" width="7.5703125" bestFit="1" customWidth="1"/>
    <col min="15" max="15" width="12" bestFit="1" customWidth="1"/>
    <col min="16" max="16" width="7.85546875" bestFit="1" customWidth="1"/>
    <col min="17" max="17" width="7.140625" bestFit="1" customWidth="1"/>
    <col min="18" max="18" width="8.42578125" bestFit="1" customWidth="1"/>
    <col min="19" max="19" width="11.7109375" bestFit="1" customWidth="1"/>
    <col min="20" max="20" width="7" bestFit="1" customWidth="1"/>
    <col min="21" max="21" width="8.140625" bestFit="1" customWidth="1"/>
    <col min="22" max="22" width="11.42578125" bestFit="1" customWidth="1"/>
    <col min="23" max="23" width="8.5703125" bestFit="1" customWidth="1"/>
    <col min="24" max="24" width="7" bestFit="1" customWidth="1"/>
    <col min="25" max="25" width="15.5703125" bestFit="1" customWidth="1"/>
    <col min="26" max="26" width="13.140625" bestFit="1" customWidth="1"/>
    <col min="27" max="27" width="7.28515625" bestFit="1" customWidth="1"/>
    <col min="28" max="28" width="11.28515625" bestFit="1" customWidth="1"/>
    <col min="29" max="34" width="5.7109375" bestFit="1" customWidth="1"/>
    <col min="35" max="35" width="5" bestFit="1" customWidth="1"/>
    <col min="36" max="54" width="5.7109375" bestFit="1" customWidth="1"/>
    <col min="55" max="55" width="7" bestFit="1" customWidth="1"/>
    <col min="56" max="127" width="5" bestFit="1" customWidth="1"/>
    <col min="128" max="128" width="3" bestFit="1" customWidth="1"/>
    <col min="129" max="132" width="6" bestFit="1" customWidth="1"/>
    <col min="133" max="134" width="5" bestFit="1" customWidth="1"/>
    <col min="135" max="140" width="6" bestFit="1" customWidth="1"/>
    <col min="141" max="141" width="5" bestFit="1" customWidth="1"/>
    <col min="142" max="152" width="6" bestFit="1" customWidth="1"/>
    <col min="153" max="153" width="5" bestFit="1" customWidth="1"/>
    <col min="154" max="162" width="6" bestFit="1" customWidth="1"/>
    <col min="163" max="163" width="5" bestFit="1" customWidth="1"/>
    <col min="164" max="189" width="6" bestFit="1" customWidth="1"/>
    <col min="190" max="190" width="5" bestFit="1" customWidth="1"/>
    <col min="191" max="200" width="6" bestFit="1" customWidth="1"/>
    <col min="201" max="201" width="5" bestFit="1" customWidth="1"/>
    <col min="202" max="206" width="6" bestFit="1" customWidth="1"/>
    <col min="207" max="207" width="5" bestFit="1" customWidth="1"/>
    <col min="208" max="211" width="6" bestFit="1" customWidth="1"/>
    <col min="212" max="212" width="5" bestFit="1" customWidth="1"/>
    <col min="213" max="235" width="6" bestFit="1" customWidth="1"/>
    <col min="236" max="236" width="4" bestFit="1" customWidth="1"/>
    <col min="237" max="255" width="6" bestFit="1" customWidth="1"/>
    <col min="256" max="256" width="5" bestFit="1" customWidth="1"/>
    <col min="257" max="267" width="6" bestFit="1" customWidth="1"/>
    <col min="268" max="268" width="5" bestFit="1" customWidth="1"/>
    <col min="269" max="269" width="6" bestFit="1" customWidth="1"/>
    <col min="270" max="270" width="5" bestFit="1" customWidth="1"/>
    <col min="271" max="282" width="6" bestFit="1" customWidth="1"/>
    <col min="283" max="283" width="5" bestFit="1" customWidth="1"/>
    <col min="284" max="301" width="6" bestFit="1" customWidth="1"/>
    <col min="302" max="302" width="5" bestFit="1" customWidth="1"/>
    <col min="303" max="309" width="6" bestFit="1" customWidth="1"/>
    <col min="310" max="310" width="5" bestFit="1" customWidth="1"/>
    <col min="311" max="323" width="6" bestFit="1" customWidth="1"/>
    <col min="324" max="324" width="5" bestFit="1" customWidth="1"/>
    <col min="325" max="325" width="6" bestFit="1" customWidth="1"/>
    <col min="326" max="328" width="5" bestFit="1" customWidth="1"/>
    <col min="329" max="331" width="6" bestFit="1" customWidth="1"/>
    <col min="332" max="332" width="5" bestFit="1" customWidth="1"/>
    <col min="333" max="337" width="6" bestFit="1" customWidth="1"/>
    <col min="338" max="338" width="5" bestFit="1" customWidth="1"/>
    <col min="339" max="340" width="6" bestFit="1" customWidth="1"/>
    <col min="341" max="341" width="5" bestFit="1" customWidth="1"/>
    <col min="342" max="343" width="6" bestFit="1" customWidth="1"/>
    <col min="344" max="344" width="5" bestFit="1" customWidth="1"/>
    <col min="345" max="347" width="6" bestFit="1" customWidth="1"/>
    <col min="348" max="349" width="5" bestFit="1" customWidth="1"/>
    <col min="350" max="353" width="6" bestFit="1" customWidth="1"/>
    <col min="354" max="354" width="5" bestFit="1" customWidth="1"/>
    <col min="355" max="357" width="6" bestFit="1" customWidth="1"/>
    <col min="358" max="358" width="5" bestFit="1" customWidth="1"/>
    <col min="359" max="361" width="6" bestFit="1" customWidth="1"/>
    <col min="362" max="362" width="5" bestFit="1" customWidth="1"/>
    <col min="363" max="374" width="6" bestFit="1" customWidth="1"/>
    <col min="375" max="375" width="5" bestFit="1" customWidth="1"/>
    <col min="376" max="380" width="6" bestFit="1" customWidth="1"/>
    <col min="381" max="381" width="5" bestFit="1" customWidth="1"/>
    <col min="382" max="416" width="6" bestFit="1" customWidth="1"/>
    <col min="417" max="417" width="5" bestFit="1" customWidth="1"/>
    <col min="418" max="439" width="6" bestFit="1" customWidth="1"/>
    <col min="440" max="441" width="5" bestFit="1" customWidth="1"/>
    <col min="442" max="448" width="6" bestFit="1" customWidth="1"/>
    <col min="449" max="449" width="5" bestFit="1" customWidth="1"/>
    <col min="450" max="451" width="6" bestFit="1" customWidth="1"/>
    <col min="452" max="452" width="5" bestFit="1" customWidth="1"/>
    <col min="453" max="454" width="6" bestFit="1" customWidth="1"/>
    <col min="455" max="455" width="5" bestFit="1" customWidth="1"/>
    <col min="456" max="480" width="6" bestFit="1" customWidth="1"/>
    <col min="481" max="481" width="5" bestFit="1" customWidth="1"/>
    <col min="482" max="487" width="6" bestFit="1" customWidth="1"/>
    <col min="488" max="488" width="5" bestFit="1" customWidth="1"/>
    <col min="489" max="504" width="6" bestFit="1" customWidth="1"/>
    <col min="505" max="505" width="5" bestFit="1" customWidth="1"/>
    <col min="506" max="515" width="6" bestFit="1" customWidth="1"/>
    <col min="516" max="516" width="5" bestFit="1" customWidth="1"/>
    <col min="517" max="527" width="6" bestFit="1" customWidth="1"/>
    <col min="528" max="528" width="5" bestFit="1" customWidth="1"/>
    <col min="529" max="530" width="6" bestFit="1" customWidth="1"/>
    <col min="531" max="531" width="3" bestFit="1" customWidth="1"/>
    <col min="532" max="535" width="6" bestFit="1" customWidth="1"/>
    <col min="536" max="536" width="5" bestFit="1" customWidth="1"/>
    <col min="537" max="546" width="6" bestFit="1" customWidth="1"/>
    <col min="547" max="547" width="5" bestFit="1" customWidth="1"/>
    <col min="548" max="552" width="6" bestFit="1" customWidth="1"/>
    <col min="553" max="553" width="5" bestFit="1" customWidth="1"/>
    <col min="554" max="556" width="6" bestFit="1" customWidth="1"/>
    <col min="557" max="557" width="5" bestFit="1" customWidth="1"/>
    <col min="558" max="572" width="6" bestFit="1" customWidth="1"/>
    <col min="573" max="573" width="5" bestFit="1" customWidth="1"/>
    <col min="574" max="584" width="6" bestFit="1" customWidth="1"/>
    <col min="585" max="585" width="5" bestFit="1" customWidth="1"/>
    <col min="586" max="593" width="6" bestFit="1" customWidth="1"/>
    <col min="594" max="594" width="4" bestFit="1" customWidth="1"/>
    <col min="595" max="597" width="6" bestFit="1" customWidth="1"/>
    <col min="598" max="598" width="5" bestFit="1" customWidth="1"/>
    <col min="599" max="618" width="6" bestFit="1" customWidth="1"/>
    <col min="619" max="619" width="5" bestFit="1" customWidth="1"/>
    <col min="620" max="629" width="6" bestFit="1" customWidth="1"/>
    <col min="630" max="630" width="5" bestFit="1" customWidth="1"/>
    <col min="631" max="633" width="6" bestFit="1" customWidth="1"/>
    <col min="634" max="634" width="5" bestFit="1" customWidth="1"/>
    <col min="635" max="642" width="6" bestFit="1" customWidth="1"/>
    <col min="643" max="643" width="5" bestFit="1" customWidth="1"/>
    <col min="644" max="660" width="6" bestFit="1" customWidth="1"/>
    <col min="661" max="661" width="5" bestFit="1" customWidth="1"/>
    <col min="662" max="669" width="6" bestFit="1" customWidth="1"/>
    <col min="670" max="670" width="5" bestFit="1" customWidth="1"/>
    <col min="671" max="678" width="6" bestFit="1" customWidth="1"/>
    <col min="679" max="680" width="5" bestFit="1" customWidth="1"/>
    <col min="681" max="681" width="6" bestFit="1" customWidth="1"/>
    <col min="682" max="682" width="5" bestFit="1" customWidth="1"/>
    <col min="683" max="684" width="6" bestFit="1" customWidth="1"/>
    <col min="685" max="685" width="3" bestFit="1" customWidth="1"/>
    <col min="686" max="690" width="6" bestFit="1" customWidth="1"/>
    <col min="691" max="691" width="5" bestFit="1" customWidth="1"/>
    <col min="692" max="693" width="6" bestFit="1" customWidth="1"/>
    <col min="694" max="694" width="5" bestFit="1" customWidth="1"/>
    <col min="695" max="708" width="6" bestFit="1" customWidth="1"/>
    <col min="709" max="709" width="5" bestFit="1" customWidth="1"/>
    <col min="710" max="732" width="6" bestFit="1" customWidth="1"/>
    <col min="733" max="733" width="5" bestFit="1" customWidth="1"/>
    <col min="734" max="739" width="6" bestFit="1" customWidth="1"/>
    <col min="740" max="740" width="5" bestFit="1" customWidth="1"/>
    <col min="741" max="744" width="6" bestFit="1" customWidth="1"/>
    <col min="745" max="745" width="5" bestFit="1" customWidth="1"/>
    <col min="746" max="746" width="6" bestFit="1" customWidth="1"/>
    <col min="747" max="747" width="5" bestFit="1" customWidth="1"/>
    <col min="748" max="754" width="6" bestFit="1" customWidth="1"/>
    <col min="755" max="755" width="5" bestFit="1" customWidth="1"/>
    <col min="756" max="762" width="6" bestFit="1" customWidth="1"/>
    <col min="763" max="763" width="5" bestFit="1" customWidth="1"/>
    <col min="764" max="764" width="6" bestFit="1" customWidth="1"/>
    <col min="765" max="765" width="5" bestFit="1" customWidth="1"/>
    <col min="766" max="780" width="6" bestFit="1" customWidth="1"/>
    <col min="781" max="781" width="5" bestFit="1" customWidth="1"/>
    <col min="782" max="791" width="6" bestFit="1" customWidth="1"/>
    <col min="792" max="792" width="5" bestFit="1" customWidth="1"/>
    <col min="793" max="801" width="6" bestFit="1" customWidth="1"/>
    <col min="802" max="802" width="5" bestFit="1" customWidth="1"/>
    <col min="803" max="805" width="6" bestFit="1" customWidth="1"/>
    <col min="806" max="806" width="5" bestFit="1" customWidth="1"/>
    <col min="807" max="810" width="6" bestFit="1" customWidth="1"/>
    <col min="811" max="812" width="5" bestFit="1" customWidth="1"/>
    <col min="813" max="826" width="6" bestFit="1" customWidth="1"/>
    <col min="827" max="827" width="5" bestFit="1" customWidth="1"/>
    <col min="828" max="832" width="7" bestFit="1" customWidth="1"/>
    <col min="833" max="833" width="6" bestFit="1" customWidth="1"/>
    <col min="834" max="847" width="7" bestFit="1" customWidth="1"/>
    <col min="848" max="848" width="6" bestFit="1" customWidth="1"/>
    <col min="849" max="849" width="5" bestFit="1" customWidth="1"/>
    <col min="850" max="872" width="7" bestFit="1" customWidth="1"/>
    <col min="873" max="873" width="4" bestFit="1" customWidth="1"/>
    <col min="874" max="875" width="7" bestFit="1" customWidth="1"/>
    <col min="876" max="876" width="6" bestFit="1" customWidth="1"/>
    <col min="877" max="884" width="7" bestFit="1" customWidth="1"/>
    <col min="885" max="885" width="6" bestFit="1" customWidth="1"/>
    <col min="886" max="906" width="7" bestFit="1" customWidth="1"/>
    <col min="907" max="908" width="6" bestFit="1" customWidth="1"/>
    <col min="909" max="913" width="7" bestFit="1" customWidth="1"/>
    <col min="914" max="914" width="4" bestFit="1" customWidth="1"/>
    <col min="915" max="937" width="7" bestFit="1" customWidth="1"/>
    <col min="938" max="938" width="5" bestFit="1" customWidth="1"/>
    <col min="939" max="939" width="7" bestFit="1" customWidth="1"/>
    <col min="940" max="940" width="6" bestFit="1" customWidth="1"/>
    <col min="941" max="951" width="7" bestFit="1" customWidth="1"/>
    <col min="952" max="952" width="5" bestFit="1" customWidth="1"/>
    <col min="953" max="963" width="7" bestFit="1" customWidth="1"/>
    <col min="964" max="964" width="6" bestFit="1" customWidth="1"/>
    <col min="965" max="968" width="7" bestFit="1" customWidth="1"/>
    <col min="969" max="969" width="6" bestFit="1" customWidth="1"/>
    <col min="970" max="970" width="7" bestFit="1" customWidth="1"/>
    <col min="971" max="971" width="6" bestFit="1" customWidth="1"/>
    <col min="972" max="990" width="7" bestFit="1" customWidth="1"/>
    <col min="991" max="991" width="6" bestFit="1" customWidth="1"/>
    <col min="992" max="998" width="7" bestFit="1" customWidth="1"/>
    <col min="999" max="999" width="6" bestFit="1" customWidth="1"/>
    <col min="1000" max="1009" width="7" bestFit="1" customWidth="1"/>
    <col min="1010" max="1010" width="7.28515625" bestFit="1" customWidth="1"/>
    <col min="1011" max="1011" width="11.28515625" bestFit="1" customWidth="1"/>
  </cols>
  <sheetData>
    <row r="1" spans="1:3" x14ac:dyDescent="0.25">
      <c r="B1" s="5" t="s">
        <v>76</v>
      </c>
    </row>
    <row r="3" spans="1:3" x14ac:dyDescent="0.25">
      <c r="A3" s="3" t="s">
        <v>63</v>
      </c>
      <c r="B3" t="s">
        <v>69</v>
      </c>
      <c r="C3" t="s">
        <v>70</v>
      </c>
    </row>
    <row r="4" spans="1:3" x14ac:dyDescent="0.25">
      <c r="A4" s="4">
        <v>2010</v>
      </c>
      <c r="B4">
        <v>93.878700000000052</v>
      </c>
      <c r="C4">
        <v>10.478969999999995</v>
      </c>
    </row>
    <row r="5" spans="1:3" x14ac:dyDescent="0.25">
      <c r="A5" s="4">
        <v>2011</v>
      </c>
      <c r="B5">
        <v>92.255700000000033</v>
      </c>
      <c r="C5">
        <v>10.748970000000011</v>
      </c>
    </row>
    <row r="6" spans="1:3" x14ac:dyDescent="0.25">
      <c r="A6" s="4">
        <v>2012</v>
      </c>
      <c r="B6">
        <v>90.881699999999995</v>
      </c>
      <c r="C6">
        <v>10.994970000000006</v>
      </c>
    </row>
    <row r="7" spans="1:3" x14ac:dyDescent="0.25">
      <c r="A7" s="4">
        <v>2013</v>
      </c>
      <c r="B7">
        <v>89.360700000000051</v>
      </c>
      <c r="C7">
        <v>11.288969999999997</v>
      </c>
    </row>
    <row r="8" spans="1:3" x14ac:dyDescent="0.25">
      <c r="A8" s="4">
        <v>2014</v>
      </c>
      <c r="B8">
        <v>88.265999999999977</v>
      </c>
      <c r="C8">
        <v>11.561999999999996</v>
      </c>
    </row>
    <row r="9" spans="1:3" x14ac:dyDescent="0.25">
      <c r="A9" s="4">
        <v>2015</v>
      </c>
      <c r="B9">
        <v>88.077000000000098</v>
      </c>
      <c r="C9">
        <v>11.786999999999995</v>
      </c>
    </row>
    <row r="10" spans="1:3" x14ac:dyDescent="0.25">
      <c r="A10" s="4">
        <v>2016</v>
      </c>
      <c r="B10">
        <v>89.246999999999986</v>
      </c>
      <c r="C10">
        <v>11.910000000000002</v>
      </c>
    </row>
    <row r="11" spans="1:3" x14ac:dyDescent="0.25">
      <c r="A11" s="4">
        <v>2017</v>
      </c>
      <c r="B11">
        <v>91.029000000000025</v>
      </c>
      <c r="C11">
        <v>12.036000000000003</v>
      </c>
    </row>
    <row r="12" spans="1:3" x14ac:dyDescent="0.25">
      <c r="A12" s="4">
        <v>2018</v>
      </c>
      <c r="B12">
        <v>93.212999999999965</v>
      </c>
      <c r="C12">
        <v>12.159000000000013</v>
      </c>
    </row>
    <row r="13" spans="1:3" x14ac:dyDescent="0.25">
      <c r="A13" s="4">
        <v>2019</v>
      </c>
      <c r="B13">
        <v>98.03400000000002</v>
      </c>
      <c r="C13">
        <v>12.309000000000005</v>
      </c>
    </row>
    <row r="14" spans="1:3" x14ac:dyDescent="0.25">
      <c r="A14" s="4">
        <v>2020</v>
      </c>
      <c r="B14">
        <v>106.11300000000004</v>
      </c>
      <c r="C14">
        <v>12.981000000000005</v>
      </c>
    </row>
    <row r="15" spans="1:3" x14ac:dyDescent="0.25">
      <c r="A15" s="4">
        <v>2021</v>
      </c>
      <c r="B15">
        <v>116.43600000000001</v>
      </c>
      <c r="C15">
        <v>14.141999999999999</v>
      </c>
    </row>
    <row r="16" spans="1:3" x14ac:dyDescent="0.25">
      <c r="A16" s="4">
        <v>2022</v>
      </c>
      <c r="B16">
        <v>121.69499999999989</v>
      </c>
      <c r="C16">
        <v>15.168240000000004</v>
      </c>
    </row>
    <row r="17" spans="1:3" x14ac:dyDescent="0.25">
      <c r="A17" s="4">
        <v>2023</v>
      </c>
      <c r="B17">
        <v>122.05200000000005</v>
      </c>
      <c r="C17">
        <v>15.516239999999987</v>
      </c>
    </row>
    <row r="18" spans="1:3" x14ac:dyDescent="0.25">
      <c r="A18" s="4">
        <v>2024</v>
      </c>
      <c r="B18">
        <v>117.58800000000001</v>
      </c>
      <c r="C18">
        <v>15.303000000000003</v>
      </c>
    </row>
    <row r="19" spans="1:3" x14ac:dyDescent="0.25">
      <c r="A19" s="4">
        <v>2025</v>
      </c>
      <c r="B19">
        <v>112.56000000000007</v>
      </c>
      <c r="C19">
        <v>15.023999999999997</v>
      </c>
    </row>
    <row r="20" spans="1:3" x14ac:dyDescent="0.25">
      <c r="A20" s="4" t="s">
        <v>64</v>
      </c>
    </row>
    <row r="21" spans="1:3" x14ac:dyDescent="0.25">
      <c r="A21" s="4" t="s">
        <v>65</v>
      </c>
      <c r="B21">
        <v>1610.6868000000004</v>
      </c>
      <c r="C21">
        <v>203.40935999999999</v>
      </c>
    </row>
    <row r="23" spans="1:3" x14ac:dyDescent="0.25">
      <c r="B23" s="5" t="s">
        <v>74</v>
      </c>
    </row>
    <row r="25" spans="1:3" x14ac:dyDescent="0.25">
      <c r="A25" s="3" t="s">
        <v>63</v>
      </c>
      <c r="B25" t="s">
        <v>71</v>
      </c>
      <c r="C25" t="s">
        <v>72</v>
      </c>
    </row>
    <row r="26" spans="1:3" x14ac:dyDescent="0.25">
      <c r="A26" s="4">
        <v>2010</v>
      </c>
      <c r="B26">
        <v>13255.500000000002</v>
      </c>
      <c r="C26">
        <v>3213.5040000000008</v>
      </c>
    </row>
    <row r="27" spans="1:3" x14ac:dyDescent="0.25">
      <c r="A27" s="4">
        <v>2011</v>
      </c>
      <c r="B27">
        <v>13475.400000000001</v>
      </c>
      <c r="C27">
        <v>3321.8520000000003</v>
      </c>
    </row>
    <row r="28" spans="1:3" x14ac:dyDescent="0.25">
      <c r="A28" s="4">
        <v>2012</v>
      </c>
      <c r="B28">
        <v>13766.400000000001</v>
      </c>
      <c r="C28">
        <v>3443.6519999999987</v>
      </c>
    </row>
    <row r="29" spans="1:3" x14ac:dyDescent="0.25">
      <c r="A29" s="4">
        <v>2013</v>
      </c>
      <c r="B29">
        <v>14018.699999999995</v>
      </c>
      <c r="C29">
        <v>3596.1000000000004</v>
      </c>
    </row>
    <row r="30" spans="1:3" x14ac:dyDescent="0.25">
      <c r="A30" s="4">
        <v>2014</v>
      </c>
      <c r="B30">
        <v>14280.000000000009</v>
      </c>
      <c r="C30">
        <v>3716.7000000000007</v>
      </c>
    </row>
    <row r="31" spans="1:3" x14ac:dyDescent="0.25">
      <c r="A31" s="4">
        <v>2015</v>
      </c>
      <c r="B31">
        <v>14546.099999999999</v>
      </c>
      <c r="C31">
        <v>3853.7999999999997</v>
      </c>
    </row>
    <row r="32" spans="1:3" x14ac:dyDescent="0.25">
      <c r="A32" s="4">
        <v>2016</v>
      </c>
      <c r="B32">
        <v>14840.099999999997</v>
      </c>
      <c r="C32">
        <v>4039.5000000000009</v>
      </c>
    </row>
    <row r="33" spans="1:3" x14ac:dyDescent="0.25">
      <c r="A33" s="4">
        <v>2017</v>
      </c>
      <c r="B33">
        <v>15153.300000000001</v>
      </c>
      <c r="C33">
        <v>4255.8</v>
      </c>
    </row>
    <row r="34" spans="1:3" x14ac:dyDescent="0.25">
      <c r="A34" s="4">
        <v>2018</v>
      </c>
      <c r="B34">
        <v>15357</v>
      </c>
      <c r="C34">
        <v>4430.7</v>
      </c>
    </row>
    <row r="35" spans="1:3" x14ac:dyDescent="0.25">
      <c r="A35" s="4">
        <v>2019</v>
      </c>
      <c r="B35">
        <v>14862.300000000007</v>
      </c>
      <c r="C35">
        <v>4626.6000000000013</v>
      </c>
    </row>
    <row r="36" spans="1:3" x14ac:dyDescent="0.25">
      <c r="A36" s="4">
        <v>2020</v>
      </c>
      <c r="B36">
        <v>14437.500000000005</v>
      </c>
      <c r="C36">
        <v>4840.4999999999991</v>
      </c>
    </row>
    <row r="37" spans="1:3" x14ac:dyDescent="0.25">
      <c r="A37" s="4">
        <v>2021</v>
      </c>
      <c r="B37">
        <v>14213.400000000003</v>
      </c>
      <c r="C37">
        <v>5023.8000000000029</v>
      </c>
    </row>
    <row r="38" spans="1:3" x14ac:dyDescent="0.25">
      <c r="A38" s="4">
        <v>2022</v>
      </c>
      <c r="B38">
        <v>14417.100000000009</v>
      </c>
      <c r="C38">
        <v>5253.9059999999963</v>
      </c>
    </row>
    <row r="39" spans="1:3" x14ac:dyDescent="0.25">
      <c r="A39" s="4">
        <v>2023</v>
      </c>
      <c r="B39">
        <v>14435.400000000003</v>
      </c>
      <c r="C39">
        <v>5433.8999999999978</v>
      </c>
    </row>
    <row r="40" spans="1:3" x14ac:dyDescent="0.25">
      <c r="A40" s="4">
        <v>2024</v>
      </c>
      <c r="B40">
        <v>14096.699999999999</v>
      </c>
      <c r="C40">
        <v>5619.0060000000003</v>
      </c>
    </row>
    <row r="41" spans="1:3" x14ac:dyDescent="0.25">
      <c r="A41" s="4">
        <v>2025</v>
      </c>
      <c r="B41">
        <v>13849.500000000002</v>
      </c>
      <c r="C41">
        <v>5844.9120000000003</v>
      </c>
    </row>
    <row r="42" spans="1:3" x14ac:dyDescent="0.25">
      <c r="A42" s="4" t="s">
        <v>64</v>
      </c>
    </row>
    <row r="43" spans="1:3" x14ac:dyDescent="0.25">
      <c r="A43" s="4" t="s">
        <v>65</v>
      </c>
      <c r="B43">
        <v>229004.40000000002</v>
      </c>
      <c r="C43">
        <v>70514.232000000004</v>
      </c>
    </row>
    <row r="46" spans="1:3" x14ac:dyDescent="0.25">
      <c r="B46" s="5" t="s">
        <v>75</v>
      </c>
    </row>
    <row r="47" spans="1:3" x14ac:dyDescent="0.25">
      <c r="A47" s="3" t="s">
        <v>63</v>
      </c>
      <c r="B47" t="s">
        <v>73</v>
      </c>
    </row>
    <row r="48" spans="1:3" x14ac:dyDescent="0.25">
      <c r="A48" s="4" t="s">
        <v>25</v>
      </c>
      <c r="B48">
        <v>507897</v>
      </c>
    </row>
    <row r="49" spans="1:2" x14ac:dyDescent="0.25">
      <c r="A49" s="4" t="s">
        <v>31</v>
      </c>
      <c r="B49">
        <v>315708</v>
      </c>
    </row>
    <row r="50" spans="1:2" x14ac:dyDescent="0.25">
      <c r="A50" s="4" t="s">
        <v>33</v>
      </c>
      <c r="B50">
        <v>618647</v>
      </c>
    </row>
    <row r="51" spans="1:2" x14ac:dyDescent="0.25">
      <c r="A51" s="4" t="s">
        <v>35</v>
      </c>
      <c r="B51">
        <v>254703</v>
      </c>
    </row>
    <row r="52" spans="1:2" x14ac:dyDescent="0.25">
      <c r="A52" s="4" t="s">
        <v>37</v>
      </c>
      <c r="B52">
        <v>1166676</v>
      </c>
    </row>
    <row r="53" spans="1:2" x14ac:dyDescent="0.25">
      <c r="A53" s="4" t="s">
        <v>39</v>
      </c>
      <c r="B53">
        <v>46544667</v>
      </c>
    </row>
    <row r="54" spans="1:2" x14ac:dyDescent="0.25">
      <c r="A54" s="4" t="s">
        <v>41</v>
      </c>
      <c r="B54">
        <v>2446101</v>
      </c>
    </row>
    <row r="55" spans="1:2" x14ac:dyDescent="0.25">
      <c r="A55" s="4" t="s">
        <v>42</v>
      </c>
      <c r="B55">
        <v>4848735</v>
      </c>
    </row>
    <row r="56" spans="1:2" x14ac:dyDescent="0.25">
      <c r="A56" s="4" t="s">
        <v>43</v>
      </c>
      <c r="B56">
        <v>470701</v>
      </c>
    </row>
    <row r="57" spans="1:2" x14ac:dyDescent="0.25">
      <c r="A57" s="4" t="s">
        <v>44</v>
      </c>
      <c r="B57">
        <v>103414</v>
      </c>
    </row>
    <row r="58" spans="1:2" x14ac:dyDescent="0.25">
      <c r="A58" s="4" t="s">
        <v>45</v>
      </c>
      <c r="B58">
        <v>856622</v>
      </c>
    </row>
    <row r="59" spans="1:2" x14ac:dyDescent="0.25">
      <c r="A59" s="4" t="s">
        <v>46</v>
      </c>
      <c r="B59">
        <v>1087957</v>
      </c>
    </row>
    <row r="60" spans="1:2" x14ac:dyDescent="0.25">
      <c r="A60" s="4" t="s">
        <v>47</v>
      </c>
      <c r="B60">
        <v>132167</v>
      </c>
    </row>
    <row r="61" spans="1:2" x14ac:dyDescent="0.25">
      <c r="A61" s="4" t="s">
        <v>48</v>
      </c>
      <c r="B61">
        <v>820328</v>
      </c>
    </row>
    <row r="62" spans="1:2" x14ac:dyDescent="0.25">
      <c r="A62" s="4" t="s">
        <v>49</v>
      </c>
      <c r="B62">
        <v>923061</v>
      </c>
    </row>
    <row r="63" spans="1:2" x14ac:dyDescent="0.25">
      <c r="A63" s="4" t="s">
        <v>50</v>
      </c>
      <c r="B63">
        <v>184107</v>
      </c>
    </row>
    <row r="64" spans="1:2" x14ac:dyDescent="0.25">
      <c r="A64" s="4" t="s">
        <v>51</v>
      </c>
      <c r="B64">
        <v>262024</v>
      </c>
    </row>
    <row r="65" spans="1:18" x14ac:dyDescent="0.25">
      <c r="A65" s="4" t="s">
        <v>52</v>
      </c>
      <c r="B65">
        <v>1140878</v>
      </c>
    </row>
    <row r="66" spans="1:18" x14ac:dyDescent="0.25">
      <c r="A66" s="4" t="s">
        <v>53</v>
      </c>
      <c r="B66">
        <v>527789</v>
      </c>
    </row>
    <row r="67" spans="1:18" x14ac:dyDescent="0.25">
      <c r="A67" s="4" t="s">
        <v>54</v>
      </c>
      <c r="B67">
        <v>908473</v>
      </c>
    </row>
    <row r="68" spans="1:18" x14ac:dyDescent="0.25">
      <c r="A68" s="4" t="s">
        <v>55</v>
      </c>
      <c r="B68">
        <v>358938</v>
      </c>
    </row>
    <row r="69" spans="1:18" x14ac:dyDescent="0.25">
      <c r="A69" s="4" t="s">
        <v>56</v>
      </c>
      <c r="B69">
        <v>361898</v>
      </c>
    </row>
    <row r="70" spans="1:18" x14ac:dyDescent="0.25">
      <c r="A70" s="4" t="s">
        <v>57</v>
      </c>
      <c r="B70">
        <v>324746</v>
      </c>
    </row>
    <row r="71" spans="1:18" x14ac:dyDescent="0.25">
      <c r="A71" s="4" t="s">
        <v>58</v>
      </c>
      <c r="B71">
        <v>2450901</v>
      </c>
    </row>
    <row r="72" spans="1:18" x14ac:dyDescent="0.25">
      <c r="A72" s="4" t="s">
        <v>59</v>
      </c>
      <c r="B72">
        <v>8705699</v>
      </c>
    </row>
    <row r="73" spans="1:18" x14ac:dyDescent="0.25">
      <c r="A73" s="4" t="s">
        <v>64</v>
      </c>
    </row>
    <row r="74" spans="1:18" x14ac:dyDescent="0.25">
      <c r="A74" s="4" t="s">
        <v>65</v>
      </c>
      <c r="B74">
        <v>76322837</v>
      </c>
    </row>
    <row r="75" spans="1:18" x14ac:dyDescent="0.25">
      <c r="A75" s="3" t="s">
        <v>0</v>
      </c>
      <c r="B75" t="s">
        <v>41</v>
      </c>
    </row>
    <row r="77" spans="1:18" x14ac:dyDescent="0.25">
      <c r="B77" s="3" t="s">
        <v>67</v>
      </c>
    </row>
    <row r="78" spans="1:18" x14ac:dyDescent="0.25">
      <c r="B78">
        <v>2010</v>
      </c>
      <c r="C78">
        <v>2011</v>
      </c>
      <c r="D78">
        <v>2012</v>
      </c>
      <c r="E78">
        <v>2013</v>
      </c>
      <c r="F78">
        <v>2014</v>
      </c>
      <c r="G78">
        <v>2015</v>
      </c>
      <c r="H78">
        <v>2016</v>
      </c>
      <c r="I78">
        <v>2017</v>
      </c>
      <c r="J78">
        <v>2018</v>
      </c>
      <c r="K78">
        <v>2019</v>
      </c>
      <c r="L78">
        <v>2020</v>
      </c>
      <c r="M78">
        <v>2021</v>
      </c>
      <c r="N78">
        <v>2022</v>
      </c>
      <c r="O78">
        <v>2023</v>
      </c>
      <c r="P78">
        <v>2024</v>
      </c>
      <c r="Q78">
        <v>2025</v>
      </c>
      <c r="R78" t="s">
        <v>65</v>
      </c>
    </row>
    <row r="79" spans="1:18" x14ac:dyDescent="0.25">
      <c r="A79" t="s">
        <v>77</v>
      </c>
      <c r="B79">
        <v>1.5</v>
      </c>
      <c r="C79">
        <v>1.4870000000000001</v>
      </c>
      <c r="D79">
        <v>1.4630000000000001</v>
      </c>
      <c r="E79">
        <v>1.413</v>
      </c>
      <c r="F79">
        <v>1.383</v>
      </c>
      <c r="G79">
        <v>1.36</v>
      </c>
      <c r="H79">
        <v>1.39</v>
      </c>
      <c r="I79">
        <v>1.4430000000000003</v>
      </c>
      <c r="J79">
        <v>1.5</v>
      </c>
      <c r="K79">
        <v>1.587</v>
      </c>
      <c r="L79">
        <v>1.7070000000000001</v>
      </c>
      <c r="M79">
        <v>1.893</v>
      </c>
      <c r="N79">
        <v>1.97</v>
      </c>
      <c r="O79">
        <v>1.9829999999999999</v>
      </c>
      <c r="P79">
        <v>1.8999999999999997</v>
      </c>
      <c r="Q79">
        <v>1.84</v>
      </c>
      <c r="R79">
        <v>1.6136875000000008</v>
      </c>
    </row>
    <row r="80" spans="1:18" x14ac:dyDescent="0.25">
      <c r="B80" s="5" t="s">
        <v>78</v>
      </c>
    </row>
    <row r="95" spans="1:4" x14ac:dyDescent="0.25">
      <c r="A95" s="3" t="s">
        <v>2</v>
      </c>
      <c r="B95" s="4">
        <v>2010</v>
      </c>
      <c r="D95" s="5" t="s">
        <v>79</v>
      </c>
    </row>
    <row r="96" spans="1:4" x14ac:dyDescent="0.25">
      <c r="A96" s="3" t="s">
        <v>0</v>
      </c>
      <c r="B96" t="s">
        <v>41</v>
      </c>
    </row>
    <row r="98" spans="1:2" x14ac:dyDescent="0.25">
      <c r="A98" s="3" t="s">
        <v>63</v>
      </c>
      <c r="B98" t="s">
        <v>73</v>
      </c>
    </row>
    <row r="99" spans="1:2" x14ac:dyDescent="0.25">
      <c r="A99" s="4" t="s">
        <v>27</v>
      </c>
      <c r="B99">
        <v>12</v>
      </c>
    </row>
    <row r="100" spans="1:2" x14ac:dyDescent="0.25">
      <c r="A100" s="4" t="s">
        <v>29</v>
      </c>
      <c r="B100">
        <v>137</v>
      </c>
    </row>
    <row r="101" spans="1:2" x14ac:dyDescent="0.25">
      <c r="A101" s="4" t="s">
        <v>30</v>
      </c>
      <c r="B101">
        <v>83</v>
      </c>
    </row>
    <row r="102" spans="1:2" x14ac:dyDescent="0.25">
      <c r="A102" s="4" t="s">
        <v>65</v>
      </c>
      <c r="B102">
        <v>232</v>
      </c>
    </row>
    <row r="111" spans="1:2" x14ac:dyDescent="0.25">
      <c r="A111" s="3" t="s">
        <v>2</v>
      </c>
      <c r="B111" t="s">
        <v>66</v>
      </c>
    </row>
    <row r="113" spans="1:5" x14ac:dyDescent="0.25">
      <c r="A113" s="3" t="s">
        <v>63</v>
      </c>
      <c r="B113" t="s">
        <v>68</v>
      </c>
    </row>
    <row r="114" spans="1:5" x14ac:dyDescent="0.25">
      <c r="A114" s="4" t="s">
        <v>25</v>
      </c>
      <c r="B114">
        <v>153510</v>
      </c>
    </row>
    <row r="115" spans="1:5" x14ac:dyDescent="0.25">
      <c r="A115" s="4" t="s">
        <v>31</v>
      </c>
      <c r="B115">
        <v>430476</v>
      </c>
    </row>
    <row r="116" spans="1:5" x14ac:dyDescent="0.25">
      <c r="A116" s="4" t="s">
        <v>33</v>
      </c>
      <c r="B116">
        <v>561030</v>
      </c>
      <c r="E116" s="5" t="s">
        <v>80</v>
      </c>
    </row>
    <row r="117" spans="1:5" x14ac:dyDescent="0.25">
      <c r="A117" s="4" t="s">
        <v>35</v>
      </c>
      <c r="B117">
        <v>121653</v>
      </c>
    </row>
    <row r="118" spans="1:5" x14ac:dyDescent="0.25">
      <c r="A118" s="4" t="s">
        <v>37</v>
      </c>
      <c r="B118">
        <v>640740</v>
      </c>
    </row>
    <row r="119" spans="1:5" x14ac:dyDescent="0.25">
      <c r="A119" s="4" t="s">
        <v>39</v>
      </c>
      <c r="B119">
        <v>47822847</v>
      </c>
    </row>
    <row r="120" spans="1:5" x14ac:dyDescent="0.25">
      <c r="A120" s="4" t="s">
        <v>41</v>
      </c>
      <c r="B120">
        <v>2187357</v>
      </c>
    </row>
    <row r="121" spans="1:5" x14ac:dyDescent="0.25">
      <c r="A121" s="4" t="s">
        <v>42</v>
      </c>
      <c r="B121">
        <v>2199273</v>
      </c>
    </row>
    <row r="122" spans="1:5" x14ac:dyDescent="0.25">
      <c r="A122" s="4" t="s">
        <v>43</v>
      </c>
      <c r="B122">
        <v>248472</v>
      </c>
    </row>
    <row r="123" spans="1:5" x14ac:dyDescent="0.25">
      <c r="A123" s="4" t="s">
        <v>44</v>
      </c>
      <c r="B123">
        <v>65169</v>
      </c>
    </row>
    <row r="124" spans="1:5" x14ac:dyDescent="0.25">
      <c r="A124" s="4" t="s">
        <v>45</v>
      </c>
      <c r="B124">
        <v>862140</v>
      </c>
    </row>
    <row r="125" spans="1:5" x14ac:dyDescent="0.25">
      <c r="A125" s="4" t="s">
        <v>46</v>
      </c>
      <c r="B125">
        <v>1138953</v>
      </c>
    </row>
    <row r="126" spans="1:5" x14ac:dyDescent="0.25">
      <c r="A126" s="4" t="s">
        <v>47</v>
      </c>
      <c r="B126">
        <v>67857</v>
      </c>
    </row>
    <row r="127" spans="1:5" x14ac:dyDescent="0.25">
      <c r="A127" s="4" t="s">
        <v>48</v>
      </c>
      <c r="B127">
        <v>2951541</v>
      </c>
    </row>
    <row r="128" spans="1:5" x14ac:dyDescent="0.25">
      <c r="A128" s="4" t="s">
        <v>49</v>
      </c>
      <c r="B128">
        <v>659556</v>
      </c>
    </row>
    <row r="129" spans="1:2" x14ac:dyDescent="0.25">
      <c r="A129" s="4" t="s">
        <v>50</v>
      </c>
      <c r="B129">
        <v>108570</v>
      </c>
    </row>
    <row r="130" spans="1:2" x14ac:dyDescent="0.25">
      <c r="A130" s="4" t="s">
        <v>51</v>
      </c>
      <c r="B130">
        <v>215583</v>
      </c>
    </row>
    <row r="131" spans="1:2" x14ac:dyDescent="0.25">
      <c r="A131" s="4" t="s">
        <v>52</v>
      </c>
      <c r="B131">
        <v>2952321</v>
      </c>
    </row>
    <row r="132" spans="1:2" x14ac:dyDescent="0.25">
      <c r="A132" s="4" t="s">
        <v>53</v>
      </c>
      <c r="B132">
        <v>597624</v>
      </c>
    </row>
    <row r="133" spans="1:2" x14ac:dyDescent="0.25">
      <c r="A133" s="4" t="s">
        <v>54</v>
      </c>
      <c r="B133">
        <v>589152</v>
      </c>
    </row>
    <row r="134" spans="1:2" x14ac:dyDescent="0.25">
      <c r="A134" s="4" t="s">
        <v>55</v>
      </c>
      <c r="B134">
        <v>391515</v>
      </c>
    </row>
    <row r="135" spans="1:2" x14ac:dyDescent="0.25">
      <c r="A135" s="4" t="s">
        <v>56</v>
      </c>
      <c r="B135">
        <v>162321</v>
      </c>
    </row>
    <row r="136" spans="1:2" x14ac:dyDescent="0.25">
      <c r="A136" s="4" t="s">
        <v>57</v>
      </c>
      <c r="B136">
        <v>183975</v>
      </c>
    </row>
    <row r="137" spans="1:2" x14ac:dyDescent="0.25">
      <c r="A137" s="4" t="s">
        <v>58</v>
      </c>
      <c r="B137">
        <v>1228425</v>
      </c>
    </row>
    <row r="138" spans="1:2" x14ac:dyDescent="0.25">
      <c r="A138" s="4" t="s">
        <v>59</v>
      </c>
      <c r="B138">
        <v>1786716</v>
      </c>
    </row>
    <row r="139" spans="1:2" x14ac:dyDescent="0.25">
      <c r="A139" s="4" t="s">
        <v>64</v>
      </c>
    </row>
    <row r="140" spans="1:2" x14ac:dyDescent="0.25">
      <c r="A140" s="4" t="s">
        <v>65</v>
      </c>
      <c r="B140">
        <v>68326776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01"/>
  <sheetViews>
    <sheetView topLeftCell="A2" workbookViewId="0">
      <selection activeCell="S2" activeCellId="1" sqref="Y2:Y1201 S2:S1201"/>
    </sheetView>
  </sheetViews>
  <sheetFormatPr defaultRowHeight="15" x14ac:dyDescent="0.25"/>
  <cols>
    <col min="1" max="1" width="13.7109375" bestFit="1" customWidth="1"/>
    <col min="2" max="2" width="17.140625" customWidth="1"/>
    <col min="3" max="3" width="13.85546875" customWidth="1"/>
    <col min="5" max="5" width="17.85546875" customWidth="1"/>
    <col min="6" max="6" width="17.7109375" customWidth="1"/>
    <col min="7" max="8" width="16.85546875" customWidth="1"/>
    <col min="9" max="9" width="10.42578125" customWidth="1"/>
    <col min="10" max="10" width="17" customWidth="1"/>
    <col min="11" max="11" width="17.140625" customWidth="1"/>
    <col min="12" max="12" width="19.42578125" customWidth="1"/>
    <col min="13" max="13" width="17.85546875" customWidth="1"/>
    <col min="14" max="14" width="18.140625" customWidth="1"/>
    <col min="15" max="15" width="20.42578125" customWidth="1"/>
    <col min="16" max="16" width="18.7109375" customWidth="1"/>
    <col min="17" max="17" width="23.85546875" customWidth="1"/>
    <col min="18" max="18" width="29.42578125" customWidth="1"/>
    <col min="19" max="19" width="16" customWidth="1"/>
    <col min="20" max="20" width="25.42578125" customWidth="1"/>
    <col min="21" max="21" width="27.85546875" customWidth="1"/>
    <col min="22" max="22" width="16.85546875" customWidth="1"/>
    <col min="23" max="23" width="26.28515625" customWidth="1"/>
    <col min="24" max="24" width="20.5703125" customWidth="1"/>
    <col min="25" max="25" width="16.42578125" customWidth="1"/>
  </cols>
  <sheetData>
    <row r="1" spans="1:25" ht="13.9" x14ac:dyDescent="0.25">
      <c r="A1" s="1" t="s">
        <v>0</v>
      </c>
      <c r="B1" s="2" t="s">
        <v>60</v>
      </c>
      <c r="C1" s="1" t="s">
        <v>1</v>
      </c>
      <c r="D1" s="1" t="s">
        <v>2</v>
      </c>
      <c r="E1" s="2" t="s">
        <v>61</v>
      </c>
      <c r="F1" s="1" t="s">
        <v>3</v>
      </c>
      <c r="G1" s="1" t="s">
        <v>4</v>
      </c>
      <c r="H1" s="2" t="s">
        <v>62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</row>
    <row r="2" spans="1:25" ht="13.9" x14ac:dyDescent="0.25">
      <c r="A2" t="s">
        <v>25</v>
      </c>
      <c r="B2">
        <f>_xlfn.XLOOKUP(Table4[[#This Row],[country]],Table2[country],Table2[country_id],FALSE)</f>
        <v>1</v>
      </c>
      <c r="C2" t="s">
        <v>26</v>
      </c>
      <c r="D2">
        <v>2010</v>
      </c>
      <c r="E2">
        <f>_xlfn.XLOOKUP(Table4[[#This Row],[year]],Table1[year],Table1[year_id])</f>
        <v>1</v>
      </c>
      <c r="F2" t="s">
        <v>27</v>
      </c>
      <c r="G2" t="s">
        <v>28</v>
      </c>
      <c r="H2" cm="1">
        <f t="array" ref="H2">_xlfn.XLOOKUP(Table4[[#This Row],[vehicle_segment]]&amp;Table4[[#This Row],[powertrain_type]],Table3[vehicle_segment]&amp;Table3[powertrain_type],Table3[vehicle_id])</f>
        <v>1</v>
      </c>
      <c r="I2">
        <v>5</v>
      </c>
      <c r="J2">
        <v>92877</v>
      </c>
      <c r="K2">
        <v>61921</v>
      </c>
      <c r="L2">
        <v>154803</v>
      </c>
      <c r="M2">
        <v>0</v>
      </c>
      <c r="N2">
        <v>0</v>
      </c>
      <c r="O2">
        <v>0</v>
      </c>
      <c r="P2">
        <v>124</v>
      </c>
      <c r="Q2">
        <v>1.0900000000000001</v>
      </c>
      <c r="R2">
        <v>0.14899999999999999</v>
      </c>
      <c r="S2">
        <v>51977</v>
      </c>
      <c r="T2">
        <v>88.8</v>
      </c>
      <c r="U2">
        <v>88.7</v>
      </c>
      <c r="V2">
        <v>0</v>
      </c>
      <c r="W2">
        <v>30.4</v>
      </c>
      <c r="X2">
        <v>0</v>
      </c>
      <c r="Y2">
        <v>0</v>
      </c>
    </row>
    <row r="3" spans="1:25" ht="13.9" x14ac:dyDescent="0.25">
      <c r="A3" t="s">
        <v>25</v>
      </c>
      <c r="B3">
        <f>_xlfn.XLOOKUP(Table4[[#This Row],[country]],Table2[country],Table2[country_id],FALSE)</f>
        <v>1</v>
      </c>
      <c r="C3" t="s">
        <v>26</v>
      </c>
      <c r="D3">
        <v>2010</v>
      </c>
      <c r="E3">
        <f>_xlfn.XLOOKUP(Table4[[#This Row],[year]],Table1[year],Table1[year_id])</f>
        <v>1</v>
      </c>
      <c r="F3" t="s">
        <v>29</v>
      </c>
      <c r="G3" t="s">
        <v>28</v>
      </c>
      <c r="H3" cm="1">
        <f t="array" ref="H3">_xlfn.XLOOKUP(Table4[[#This Row],[vehicle_segment]]&amp;Table4[[#This Row],[powertrain_type]],Table3[vehicle_segment]&amp;Table3[powertrain_type],Table3[vehicle_id])</f>
        <v>2</v>
      </c>
      <c r="I3">
        <v>57</v>
      </c>
      <c r="J3">
        <v>535933</v>
      </c>
      <c r="K3">
        <v>73089</v>
      </c>
      <c r="L3">
        <v>609079</v>
      </c>
      <c r="M3">
        <v>0.01</v>
      </c>
      <c r="N3">
        <v>0</v>
      </c>
      <c r="O3">
        <v>0</v>
      </c>
      <c r="P3">
        <v>124</v>
      </c>
      <c r="Q3">
        <v>1.0900000000000001</v>
      </c>
      <c r="R3">
        <v>0.14899999999999999</v>
      </c>
      <c r="S3">
        <v>51977</v>
      </c>
      <c r="T3">
        <v>88.8</v>
      </c>
      <c r="U3">
        <v>88.7</v>
      </c>
      <c r="V3">
        <v>0</v>
      </c>
      <c r="W3">
        <v>30.4</v>
      </c>
      <c r="X3">
        <v>0</v>
      </c>
      <c r="Y3">
        <v>0</v>
      </c>
    </row>
    <row r="4" spans="1:25" ht="13.9" x14ac:dyDescent="0.25">
      <c r="A4" t="s">
        <v>25</v>
      </c>
      <c r="B4">
        <f>_xlfn.XLOOKUP(Table4[[#This Row],[country]],Table2[country],Table2[country_id],FALSE)</f>
        <v>1</v>
      </c>
      <c r="C4" t="s">
        <v>26</v>
      </c>
      <c r="D4">
        <v>2010</v>
      </c>
      <c r="E4">
        <f>_xlfn.XLOOKUP(Table4[[#This Row],[year]],Table1[year],Table1[year_id])</f>
        <v>1</v>
      </c>
      <c r="F4" t="s">
        <v>30</v>
      </c>
      <c r="G4" t="s">
        <v>28</v>
      </c>
      <c r="H4" cm="1">
        <f t="array" ref="H4">_xlfn.XLOOKUP(Table4[[#This Row],[vehicle_segment]]&amp;Table4[[#This Row],[powertrain_type]],Table3[vehicle_segment]&amp;Table3[powertrain_type],Table3[vehicle_id])</f>
        <v>3</v>
      </c>
      <c r="I4">
        <v>37</v>
      </c>
      <c r="J4">
        <v>235282</v>
      </c>
      <c r="K4">
        <v>20462</v>
      </c>
      <c r="L4">
        <v>255781</v>
      </c>
      <c r="M4">
        <v>0.01</v>
      </c>
      <c r="N4">
        <v>0</v>
      </c>
      <c r="O4">
        <v>0</v>
      </c>
      <c r="P4">
        <v>124</v>
      </c>
      <c r="Q4">
        <v>1.0900000000000001</v>
      </c>
      <c r="R4">
        <v>0.14899999999999999</v>
      </c>
      <c r="S4">
        <v>51977</v>
      </c>
      <c r="T4">
        <v>88.8</v>
      </c>
      <c r="U4">
        <v>88.7</v>
      </c>
      <c r="V4">
        <v>0</v>
      </c>
      <c r="W4">
        <v>30.4</v>
      </c>
      <c r="X4">
        <v>0</v>
      </c>
      <c r="Y4">
        <v>0</v>
      </c>
    </row>
    <row r="5" spans="1:25" ht="13.9" x14ac:dyDescent="0.25">
      <c r="A5" t="s">
        <v>25</v>
      </c>
      <c r="B5">
        <f>_xlfn.XLOOKUP(Table4[[#This Row],[country]],Table2[country],Table2[country_id],FALSE)</f>
        <v>1</v>
      </c>
      <c r="C5" t="s">
        <v>26</v>
      </c>
      <c r="D5">
        <v>2011</v>
      </c>
      <c r="E5">
        <f>_xlfn.XLOOKUP(Table4[[#This Row],[year]],Table1[year],Table1[year_id])</f>
        <v>2</v>
      </c>
      <c r="F5" t="s">
        <v>27</v>
      </c>
      <c r="G5" t="s">
        <v>28</v>
      </c>
      <c r="H5" cm="1">
        <f t="array" ref="H5">_xlfn.XLOOKUP(Table4[[#This Row],[vehicle_segment]]&amp;Table4[[#This Row],[powertrain_type]],Table3[vehicle_segment]&amp;Table3[powertrain_type],Table3[vehicle_id])</f>
        <v>1</v>
      </c>
      <c r="I5">
        <v>11</v>
      </c>
      <c r="J5">
        <v>98092</v>
      </c>
      <c r="K5">
        <v>65395</v>
      </c>
      <c r="L5">
        <v>163498</v>
      </c>
      <c r="M5">
        <v>0.01</v>
      </c>
      <c r="N5">
        <v>105</v>
      </c>
      <c r="O5">
        <v>1.5</v>
      </c>
      <c r="P5">
        <v>133</v>
      </c>
      <c r="Q5">
        <v>1.0900000000000001</v>
      </c>
      <c r="R5">
        <v>0.16300000000000001</v>
      </c>
      <c r="S5">
        <v>52807</v>
      </c>
      <c r="T5">
        <v>88.9</v>
      </c>
      <c r="U5">
        <v>88.3</v>
      </c>
      <c r="V5">
        <v>0</v>
      </c>
      <c r="W5">
        <v>30.8</v>
      </c>
      <c r="X5">
        <v>120</v>
      </c>
      <c r="Y5">
        <v>0</v>
      </c>
    </row>
    <row r="6" spans="1:25" ht="13.9" x14ac:dyDescent="0.25">
      <c r="A6" t="s">
        <v>25</v>
      </c>
      <c r="B6">
        <f>_xlfn.XLOOKUP(Table4[[#This Row],[country]],Table2[country],Table2[country_id],FALSE)</f>
        <v>1</v>
      </c>
      <c r="C6" t="s">
        <v>26</v>
      </c>
      <c r="D6">
        <v>2011</v>
      </c>
      <c r="E6">
        <f>_xlfn.XLOOKUP(Table4[[#This Row],[year]],Table1[year],Table1[year_id])</f>
        <v>2</v>
      </c>
      <c r="F6" t="s">
        <v>29</v>
      </c>
      <c r="G6" t="s">
        <v>28</v>
      </c>
      <c r="H6" cm="1">
        <f t="array" ref="H6">_xlfn.XLOOKUP(Table4[[#This Row],[vehicle_segment]]&amp;Table4[[#This Row],[powertrain_type]],Table3[vehicle_segment]&amp;Table3[powertrain_type],Table3[vehicle_id])</f>
        <v>2</v>
      </c>
      <c r="I6">
        <v>129</v>
      </c>
      <c r="J6">
        <v>569679</v>
      </c>
      <c r="K6">
        <v>77684</v>
      </c>
      <c r="L6">
        <v>647492</v>
      </c>
      <c r="M6">
        <v>0.02</v>
      </c>
      <c r="N6">
        <v>105</v>
      </c>
      <c r="O6">
        <v>1.5</v>
      </c>
      <c r="P6">
        <v>133</v>
      </c>
      <c r="Q6">
        <v>1.0900000000000001</v>
      </c>
      <c r="R6">
        <v>0.16300000000000001</v>
      </c>
      <c r="S6">
        <v>52807</v>
      </c>
      <c r="T6">
        <v>88.9</v>
      </c>
      <c r="U6">
        <v>88.3</v>
      </c>
      <c r="V6">
        <v>0</v>
      </c>
      <c r="W6">
        <v>30.8</v>
      </c>
      <c r="X6">
        <v>126.32</v>
      </c>
      <c r="Y6">
        <v>0</v>
      </c>
    </row>
    <row r="7" spans="1:25" ht="13.9" x14ac:dyDescent="0.25">
      <c r="A7" t="s">
        <v>25</v>
      </c>
      <c r="B7">
        <f>_xlfn.XLOOKUP(Table4[[#This Row],[country]],Table2[country],Table2[country_id],FALSE)</f>
        <v>1</v>
      </c>
      <c r="C7" t="s">
        <v>26</v>
      </c>
      <c r="D7">
        <v>2011</v>
      </c>
      <c r="E7">
        <f>_xlfn.XLOOKUP(Table4[[#This Row],[year]],Table1[year],Table1[year_id])</f>
        <v>2</v>
      </c>
      <c r="F7" t="s">
        <v>30</v>
      </c>
      <c r="G7" t="s">
        <v>28</v>
      </c>
      <c r="H7" cm="1">
        <f t="array" ref="H7">_xlfn.XLOOKUP(Table4[[#This Row],[vehicle_segment]]&amp;Table4[[#This Row],[powertrain_type]],Table3[vehicle_segment]&amp;Table3[powertrain_type],Table3[vehicle_id])</f>
        <v>3</v>
      </c>
      <c r="I7">
        <v>80</v>
      </c>
      <c r="J7">
        <v>252643</v>
      </c>
      <c r="K7">
        <v>21969</v>
      </c>
      <c r="L7">
        <v>274692</v>
      </c>
      <c r="M7">
        <v>0.03</v>
      </c>
      <c r="N7">
        <v>105</v>
      </c>
      <c r="O7">
        <v>1.5</v>
      </c>
      <c r="P7">
        <v>133</v>
      </c>
      <c r="Q7">
        <v>1.0900000000000001</v>
      </c>
      <c r="R7">
        <v>0.16300000000000001</v>
      </c>
      <c r="S7">
        <v>52807</v>
      </c>
      <c r="T7">
        <v>88.9</v>
      </c>
      <c r="U7">
        <v>88.3</v>
      </c>
      <c r="V7">
        <v>0</v>
      </c>
      <c r="W7">
        <v>30.8</v>
      </c>
      <c r="X7">
        <v>116.22</v>
      </c>
      <c r="Y7">
        <v>0</v>
      </c>
    </row>
    <row r="8" spans="1:25" ht="13.9" x14ac:dyDescent="0.25">
      <c r="A8" t="s">
        <v>25</v>
      </c>
      <c r="B8">
        <f>_xlfn.XLOOKUP(Table4[[#This Row],[country]],Table2[country],Table2[country_id],FALSE)</f>
        <v>1</v>
      </c>
      <c r="C8" t="s">
        <v>26</v>
      </c>
      <c r="D8">
        <v>2012</v>
      </c>
      <c r="E8">
        <f>_xlfn.XLOOKUP(Table4[[#This Row],[year]],Table1[year],Table1[year_id])</f>
        <v>3</v>
      </c>
      <c r="F8" t="s">
        <v>27</v>
      </c>
      <c r="G8" t="s">
        <v>28</v>
      </c>
      <c r="H8" cm="1">
        <f t="array" ref="H8">_xlfn.XLOOKUP(Table4[[#This Row],[vehicle_segment]]&amp;Table4[[#This Row],[powertrain_type]],Table3[vehicle_segment]&amp;Table3[powertrain_type],Table3[vehicle_id])</f>
        <v>1</v>
      </c>
      <c r="I8">
        <v>17</v>
      </c>
      <c r="J8">
        <v>96466</v>
      </c>
      <c r="K8">
        <v>64310</v>
      </c>
      <c r="L8">
        <v>160793</v>
      </c>
      <c r="M8">
        <v>0.01</v>
      </c>
      <c r="N8">
        <v>191</v>
      </c>
      <c r="O8">
        <v>3.3</v>
      </c>
      <c r="P8">
        <v>135</v>
      </c>
      <c r="Q8">
        <v>1.0669999999999999</v>
      </c>
      <c r="R8">
        <v>0.17699999999999999</v>
      </c>
      <c r="S8">
        <v>54075</v>
      </c>
      <c r="T8">
        <v>88.5</v>
      </c>
      <c r="U8">
        <v>89.5</v>
      </c>
      <c r="V8">
        <v>0</v>
      </c>
      <c r="W8">
        <v>31.6</v>
      </c>
      <c r="X8">
        <v>84.39</v>
      </c>
      <c r="Y8">
        <v>0</v>
      </c>
    </row>
    <row r="9" spans="1:25" ht="13.9" x14ac:dyDescent="0.25">
      <c r="A9" t="s">
        <v>25</v>
      </c>
      <c r="B9">
        <f>_xlfn.XLOOKUP(Table4[[#This Row],[country]],Table2[country],Table2[country_id],FALSE)</f>
        <v>1</v>
      </c>
      <c r="C9" t="s">
        <v>26</v>
      </c>
      <c r="D9">
        <v>2012</v>
      </c>
      <c r="E9">
        <f>_xlfn.XLOOKUP(Table4[[#This Row],[year]],Table1[year],Table1[year_id])</f>
        <v>3</v>
      </c>
      <c r="F9" t="s">
        <v>29</v>
      </c>
      <c r="G9" t="s">
        <v>28</v>
      </c>
      <c r="H9" cm="1">
        <f t="array" ref="H9">_xlfn.XLOOKUP(Table4[[#This Row],[vehicle_segment]]&amp;Table4[[#This Row],[powertrain_type]],Table3[vehicle_segment]&amp;Table3[powertrain_type],Table3[vehicle_id])</f>
        <v>2</v>
      </c>
      <c r="I9">
        <v>195</v>
      </c>
      <c r="J9">
        <v>571555</v>
      </c>
      <c r="K9">
        <v>77939</v>
      </c>
      <c r="L9">
        <v>649689</v>
      </c>
      <c r="M9">
        <v>0.03</v>
      </c>
      <c r="N9">
        <v>191</v>
      </c>
      <c r="O9">
        <v>3.3</v>
      </c>
      <c r="P9">
        <v>135</v>
      </c>
      <c r="Q9">
        <v>1.0669999999999999</v>
      </c>
      <c r="R9">
        <v>0.17699999999999999</v>
      </c>
      <c r="S9">
        <v>54075</v>
      </c>
      <c r="T9">
        <v>88.5</v>
      </c>
      <c r="U9">
        <v>89.5</v>
      </c>
      <c r="V9">
        <v>0</v>
      </c>
      <c r="W9">
        <v>31.6</v>
      </c>
      <c r="X9">
        <v>51.16</v>
      </c>
      <c r="Y9">
        <v>0</v>
      </c>
    </row>
    <row r="10" spans="1:25" ht="13.9" x14ac:dyDescent="0.25">
      <c r="A10" t="s">
        <v>25</v>
      </c>
      <c r="B10">
        <f>_xlfn.XLOOKUP(Table4[[#This Row],[country]],Table2[country],Table2[country_id],FALSE)</f>
        <v>1</v>
      </c>
      <c r="C10" t="s">
        <v>26</v>
      </c>
      <c r="D10">
        <v>2012</v>
      </c>
      <c r="E10">
        <f>_xlfn.XLOOKUP(Table4[[#This Row],[year]],Table1[year],Table1[year_id])</f>
        <v>3</v>
      </c>
      <c r="F10" t="s">
        <v>30</v>
      </c>
      <c r="G10" t="s">
        <v>28</v>
      </c>
      <c r="H10" cm="1">
        <f t="array" ref="H10">_xlfn.XLOOKUP(Table4[[#This Row],[vehicle_segment]]&amp;Table4[[#This Row],[powertrain_type]],Table3[vehicle_segment]&amp;Table3[powertrain_type],Table3[vehicle_id])</f>
        <v>3</v>
      </c>
      <c r="I10">
        <v>117</v>
      </c>
      <c r="J10">
        <v>246448</v>
      </c>
      <c r="K10">
        <v>21430</v>
      </c>
      <c r="L10">
        <v>267995</v>
      </c>
      <c r="M10">
        <v>0.04</v>
      </c>
      <c r="N10">
        <v>191</v>
      </c>
      <c r="O10">
        <v>3.3</v>
      </c>
      <c r="P10">
        <v>135</v>
      </c>
      <c r="Q10">
        <v>1.0669999999999999</v>
      </c>
      <c r="R10">
        <v>0.17699999999999999</v>
      </c>
      <c r="S10">
        <v>54075</v>
      </c>
      <c r="T10">
        <v>88.5</v>
      </c>
      <c r="U10">
        <v>89.5</v>
      </c>
      <c r="V10">
        <v>0</v>
      </c>
      <c r="W10">
        <v>31.6</v>
      </c>
      <c r="X10">
        <v>77.819999999999993</v>
      </c>
      <c r="Y10">
        <v>0</v>
      </c>
    </row>
    <row r="11" spans="1:25" ht="13.9" x14ac:dyDescent="0.25">
      <c r="A11" t="s">
        <v>25</v>
      </c>
      <c r="B11">
        <f>_xlfn.XLOOKUP(Table4[[#This Row],[country]],Table2[country],Table2[country_id],FALSE)</f>
        <v>1</v>
      </c>
      <c r="C11" t="s">
        <v>26</v>
      </c>
      <c r="D11">
        <v>2013</v>
      </c>
      <c r="E11">
        <f>_xlfn.XLOOKUP(Table4[[#This Row],[year]],Table1[year],Table1[year_id])</f>
        <v>4</v>
      </c>
      <c r="F11" t="s">
        <v>27</v>
      </c>
      <c r="G11" t="s">
        <v>28</v>
      </c>
      <c r="H11" cm="1">
        <f t="array" ref="H11">_xlfn.XLOOKUP(Table4[[#This Row],[vehicle_segment]]&amp;Table4[[#This Row],[powertrain_type]],Table3[vehicle_segment]&amp;Table3[powertrain_type],Table3[vehicle_id])</f>
        <v>1</v>
      </c>
      <c r="I11">
        <v>36</v>
      </c>
      <c r="J11">
        <v>101461</v>
      </c>
      <c r="K11">
        <v>67640</v>
      </c>
      <c r="L11">
        <v>169137</v>
      </c>
      <c r="M11">
        <v>0.02</v>
      </c>
      <c r="N11">
        <v>306</v>
      </c>
      <c r="O11">
        <v>5</v>
      </c>
      <c r="P11">
        <v>143</v>
      </c>
      <c r="Q11">
        <v>1.0329999999999999</v>
      </c>
      <c r="R11">
        <v>0.192</v>
      </c>
      <c r="S11">
        <v>55582</v>
      </c>
      <c r="T11">
        <v>89.6</v>
      </c>
      <c r="U11">
        <v>90</v>
      </c>
      <c r="V11">
        <v>0</v>
      </c>
      <c r="W11">
        <v>33.200000000000003</v>
      </c>
      <c r="X11">
        <v>93.1</v>
      </c>
      <c r="Y11">
        <v>0</v>
      </c>
    </row>
    <row r="12" spans="1:25" ht="13.9" x14ac:dyDescent="0.25">
      <c r="A12" t="s">
        <v>25</v>
      </c>
      <c r="B12">
        <f>_xlfn.XLOOKUP(Table4[[#This Row],[country]],Table2[country],Table2[country_id],FALSE)</f>
        <v>1</v>
      </c>
      <c r="C12" t="s">
        <v>26</v>
      </c>
      <c r="D12">
        <v>2013</v>
      </c>
      <c r="E12">
        <f>_xlfn.XLOOKUP(Table4[[#This Row],[year]],Table1[year],Table1[year_id])</f>
        <v>4</v>
      </c>
      <c r="F12" t="s">
        <v>29</v>
      </c>
      <c r="G12" t="s">
        <v>28</v>
      </c>
      <c r="H12" cm="1">
        <f t="array" ref="H12">_xlfn.XLOOKUP(Table4[[#This Row],[vehicle_segment]]&amp;Table4[[#This Row],[powertrain_type]],Table3[vehicle_segment]&amp;Table3[powertrain_type],Table3[vehicle_id])</f>
        <v>2</v>
      </c>
      <c r="I12">
        <v>400</v>
      </c>
      <c r="J12">
        <v>586920</v>
      </c>
      <c r="K12">
        <v>80035</v>
      </c>
      <c r="L12">
        <v>667355</v>
      </c>
      <c r="M12">
        <v>0.06</v>
      </c>
      <c r="N12">
        <v>306</v>
      </c>
      <c r="O12">
        <v>5</v>
      </c>
      <c r="P12">
        <v>143</v>
      </c>
      <c r="Q12">
        <v>1.0329999999999999</v>
      </c>
      <c r="R12">
        <v>0.192</v>
      </c>
      <c r="S12">
        <v>55582</v>
      </c>
      <c r="T12">
        <v>89.6</v>
      </c>
      <c r="U12">
        <v>90</v>
      </c>
      <c r="V12">
        <v>0</v>
      </c>
      <c r="W12">
        <v>33.200000000000003</v>
      </c>
      <c r="X12">
        <v>105.13</v>
      </c>
      <c r="Y12">
        <v>0</v>
      </c>
    </row>
    <row r="13" spans="1:25" ht="13.9" x14ac:dyDescent="0.25">
      <c r="A13" t="s">
        <v>25</v>
      </c>
      <c r="B13">
        <f>_xlfn.XLOOKUP(Table4[[#This Row],[country]],Table2[country],Table2[country_id],FALSE)</f>
        <v>1</v>
      </c>
      <c r="C13" t="s">
        <v>26</v>
      </c>
      <c r="D13">
        <v>2013</v>
      </c>
      <c r="E13">
        <f>_xlfn.XLOOKUP(Table4[[#This Row],[year]],Table1[year],Table1[year_id])</f>
        <v>4</v>
      </c>
      <c r="F13" t="s">
        <v>30</v>
      </c>
      <c r="G13" t="s">
        <v>28</v>
      </c>
      <c r="H13" cm="1">
        <f t="array" ref="H13">_xlfn.XLOOKUP(Table4[[#This Row],[vehicle_segment]]&amp;Table4[[#This Row],[powertrain_type]],Table3[vehicle_segment]&amp;Table3[powertrain_type],Table3[vehicle_id])</f>
        <v>3</v>
      </c>
      <c r="I13">
        <v>242</v>
      </c>
      <c r="J13">
        <v>256088</v>
      </c>
      <c r="K13">
        <v>22269</v>
      </c>
      <c r="L13">
        <v>278599</v>
      </c>
      <c r="M13">
        <v>0.09</v>
      </c>
      <c r="N13">
        <v>306</v>
      </c>
      <c r="O13">
        <v>5</v>
      </c>
      <c r="P13">
        <v>143</v>
      </c>
      <c r="Q13">
        <v>1.0329999999999999</v>
      </c>
      <c r="R13">
        <v>0.192</v>
      </c>
      <c r="S13">
        <v>55582</v>
      </c>
      <c r="T13">
        <v>89.6</v>
      </c>
      <c r="U13">
        <v>90</v>
      </c>
      <c r="V13">
        <v>0</v>
      </c>
      <c r="W13">
        <v>33.200000000000003</v>
      </c>
      <c r="X13">
        <v>106.84</v>
      </c>
      <c r="Y13">
        <v>0</v>
      </c>
    </row>
    <row r="14" spans="1:25" ht="13.9" x14ac:dyDescent="0.25">
      <c r="A14" t="s">
        <v>25</v>
      </c>
      <c r="B14">
        <f>_xlfn.XLOOKUP(Table4[[#This Row],[country]],Table2[country],Table2[country_id],FALSE)</f>
        <v>1</v>
      </c>
      <c r="C14" t="s">
        <v>26</v>
      </c>
      <c r="D14">
        <v>2014</v>
      </c>
      <c r="E14">
        <f>_xlfn.XLOOKUP(Table4[[#This Row],[year]],Table1[year],Table1[year_id])</f>
        <v>5</v>
      </c>
      <c r="F14" t="s">
        <v>27</v>
      </c>
      <c r="G14" t="s">
        <v>28</v>
      </c>
      <c r="H14" cm="1">
        <f t="array" ref="H14">_xlfn.XLOOKUP(Table4[[#This Row],[vehicle_segment]]&amp;Table4[[#This Row],[powertrain_type]],Table3[vehicle_segment]&amp;Table3[powertrain_type],Table3[vehicle_id])</f>
        <v>1</v>
      </c>
      <c r="I14">
        <v>53</v>
      </c>
      <c r="J14">
        <v>100760</v>
      </c>
      <c r="K14">
        <v>67173</v>
      </c>
      <c r="L14">
        <v>167986</v>
      </c>
      <c r="M14">
        <v>0.03</v>
      </c>
      <c r="N14">
        <v>408</v>
      </c>
      <c r="O14">
        <v>6.5</v>
      </c>
      <c r="P14">
        <v>151</v>
      </c>
      <c r="Q14">
        <v>0.99299999999999999</v>
      </c>
      <c r="R14">
        <v>0.20699999999999999</v>
      </c>
      <c r="S14">
        <v>54940</v>
      </c>
      <c r="T14">
        <v>89.5</v>
      </c>
      <c r="U14">
        <v>92.3</v>
      </c>
      <c r="V14">
        <v>0</v>
      </c>
      <c r="W14">
        <v>33.200000000000003</v>
      </c>
      <c r="X14">
        <v>68.900000000000006</v>
      </c>
      <c r="Y14">
        <v>0</v>
      </c>
    </row>
    <row r="15" spans="1:25" ht="13.9" x14ac:dyDescent="0.25">
      <c r="A15" t="s">
        <v>25</v>
      </c>
      <c r="B15">
        <f>_xlfn.XLOOKUP(Table4[[#This Row],[country]],Table2[country],Table2[country_id],FALSE)</f>
        <v>1</v>
      </c>
      <c r="C15" t="s">
        <v>26</v>
      </c>
      <c r="D15">
        <v>2014</v>
      </c>
      <c r="E15">
        <f>_xlfn.XLOOKUP(Table4[[#This Row],[year]],Table1[year],Table1[year_id])</f>
        <v>5</v>
      </c>
      <c r="F15" t="s">
        <v>29</v>
      </c>
      <c r="G15" t="s">
        <v>28</v>
      </c>
      <c r="H15" cm="1">
        <f t="array" ref="H15">_xlfn.XLOOKUP(Table4[[#This Row],[vehicle_segment]]&amp;Table4[[#This Row],[powertrain_type]],Table3[vehicle_segment]&amp;Table3[powertrain_type],Table3[vehicle_id])</f>
        <v>2</v>
      </c>
      <c r="I15">
        <v>615</v>
      </c>
      <c r="J15">
        <v>601126</v>
      </c>
      <c r="K15">
        <v>81972</v>
      </c>
      <c r="L15">
        <v>683713</v>
      </c>
      <c r="M15">
        <v>0.09</v>
      </c>
      <c r="N15">
        <v>408</v>
      </c>
      <c r="O15">
        <v>6.5</v>
      </c>
      <c r="P15">
        <v>151</v>
      </c>
      <c r="Q15">
        <v>0.99299999999999999</v>
      </c>
      <c r="R15">
        <v>0.20699999999999999</v>
      </c>
      <c r="S15">
        <v>54940</v>
      </c>
      <c r="T15">
        <v>89.5</v>
      </c>
      <c r="U15">
        <v>92.3</v>
      </c>
      <c r="V15">
        <v>0</v>
      </c>
      <c r="W15">
        <v>33.200000000000003</v>
      </c>
      <c r="X15">
        <v>53.75</v>
      </c>
      <c r="Y15">
        <v>0</v>
      </c>
    </row>
    <row r="16" spans="1:25" ht="13.9" x14ac:dyDescent="0.25">
      <c r="A16" t="s">
        <v>25</v>
      </c>
      <c r="B16">
        <f>_xlfn.XLOOKUP(Table4[[#This Row],[country]],Table2[country],Table2[country_id],FALSE)</f>
        <v>1</v>
      </c>
      <c r="C16" t="s">
        <v>26</v>
      </c>
      <c r="D16">
        <v>2014</v>
      </c>
      <c r="E16">
        <f>_xlfn.XLOOKUP(Table4[[#This Row],[year]],Table1[year],Table1[year_id])</f>
        <v>5</v>
      </c>
      <c r="F16" t="s">
        <v>30</v>
      </c>
      <c r="G16" t="s">
        <v>28</v>
      </c>
      <c r="H16" cm="1">
        <f t="array" ref="H16">_xlfn.XLOOKUP(Table4[[#This Row],[vehicle_segment]]&amp;Table4[[#This Row],[powertrain_type]],Table3[vehicle_segment]&amp;Table3[powertrain_type],Table3[vehicle_id])</f>
        <v>3</v>
      </c>
      <c r="I16">
        <v>367</v>
      </c>
      <c r="J16">
        <v>258559</v>
      </c>
      <c r="K16">
        <v>22483</v>
      </c>
      <c r="L16">
        <v>281409</v>
      </c>
      <c r="M16">
        <v>0.13</v>
      </c>
      <c r="N16">
        <v>408</v>
      </c>
      <c r="O16">
        <v>6.5</v>
      </c>
      <c r="P16">
        <v>151</v>
      </c>
      <c r="Q16">
        <v>0.99299999999999999</v>
      </c>
      <c r="R16">
        <v>0.20699999999999999</v>
      </c>
      <c r="S16">
        <v>54940</v>
      </c>
      <c r="T16">
        <v>89.5</v>
      </c>
      <c r="U16">
        <v>92.3</v>
      </c>
      <c r="V16">
        <v>0</v>
      </c>
      <c r="W16">
        <v>33.200000000000003</v>
      </c>
      <c r="X16">
        <v>51.65</v>
      </c>
      <c r="Y16">
        <v>0</v>
      </c>
    </row>
    <row r="17" spans="1:25" ht="13.9" x14ac:dyDescent="0.25">
      <c r="A17" t="s">
        <v>25</v>
      </c>
      <c r="B17">
        <f>_xlfn.XLOOKUP(Table4[[#This Row],[country]],Table2[country],Table2[country_id],FALSE)</f>
        <v>1</v>
      </c>
      <c r="C17" t="s">
        <v>26</v>
      </c>
      <c r="D17">
        <v>2015</v>
      </c>
      <c r="E17">
        <f>_xlfn.XLOOKUP(Table4[[#This Row],[year]],Table1[year],Table1[year_id])</f>
        <v>6</v>
      </c>
      <c r="F17" t="s">
        <v>27</v>
      </c>
      <c r="G17" t="s">
        <v>28</v>
      </c>
      <c r="H17" cm="1">
        <f t="array" ref="H17">_xlfn.XLOOKUP(Table4[[#This Row],[vehicle_segment]]&amp;Table4[[#This Row],[powertrain_type]],Table3[vehicle_segment]&amp;Table3[powertrain_type],Table3[vehicle_id])</f>
        <v>1</v>
      </c>
      <c r="I17">
        <v>77</v>
      </c>
      <c r="J17">
        <v>101833</v>
      </c>
      <c r="K17">
        <v>67888</v>
      </c>
      <c r="L17">
        <v>169798</v>
      </c>
      <c r="M17">
        <v>0.05</v>
      </c>
      <c r="N17">
        <v>562</v>
      </c>
      <c r="O17">
        <v>8.1999999999999993</v>
      </c>
      <c r="P17">
        <v>180</v>
      </c>
      <c r="Q17">
        <v>0.98299999999999998</v>
      </c>
      <c r="R17">
        <v>0.216</v>
      </c>
      <c r="S17">
        <v>57259</v>
      </c>
      <c r="T17">
        <v>89.3</v>
      </c>
      <c r="U17">
        <v>93.3</v>
      </c>
      <c r="V17">
        <v>0</v>
      </c>
      <c r="W17">
        <v>36.200000000000003</v>
      </c>
      <c r="X17">
        <v>65.459999999999994</v>
      </c>
      <c r="Y17">
        <v>0</v>
      </c>
    </row>
    <row r="18" spans="1:25" ht="13.9" x14ac:dyDescent="0.25">
      <c r="A18" t="s">
        <v>25</v>
      </c>
      <c r="B18">
        <f>_xlfn.XLOOKUP(Table4[[#This Row],[country]],Table2[country],Table2[country_id],FALSE)</f>
        <v>1</v>
      </c>
      <c r="C18" t="s">
        <v>26</v>
      </c>
      <c r="D18">
        <v>2015</v>
      </c>
      <c r="E18">
        <f>_xlfn.XLOOKUP(Table4[[#This Row],[year]],Table1[year],Table1[year_id])</f>
        <v>6</v>
      </c>
      <c r="F18" t="s">
        <v>29</v>
      </c>
      <c r="G18" t="s">
        <v>28</v>
      </c>
      <c r="H18" cm="1">
        <f t="array" ref="H18">_xlfn.XLOOKUP(Table4[[#This Row],[vehicle_segment]]&amp;Table4[[#This Row],[powertrain_type]],Table3[vehicle_segment]&amp;Table3[powertrain_type],Table3[vehicle_id])</f>
        <v>2</v>
      </c>
      <c r="I18">
        <v>894</v>
      </c>
      <c r="J18">
        <v>604172</v>
      </c>
      <c r="K18">
        <v>82387</v>
      </c>
      <c r="L18">
        <v>687453</v>
      </c>
      <c r="M18">
        <v>0.13</v>
      </c>
      <c r="N18">
        <v>562</v>
      </c>
      <c r="O18">
        <v>8.1999999999999993</v>
      </c>
      <c r="P18">
        <v>180</v>
      </c>
      <c r="Q18">
        <v>0.98299999999999998</v>
      </c>
      <c r="R18">
        <v>0.216</v>
      </c>
      <c r="S18">
        <v>57259</v>
      </c>
      <c r="T18">
        <v>89.3</v>
      </c>
      <c r="U18">
        <v>93.3</v>
      </c>
      <c r="V18">
        <v>0</v>
      </c>
      <c r="W18">
        <v>36.200000000000003</v>
      </c>
      <c r="X18">
        <v>45.37</v>
      </c>
      <c r="Y18">
        <v>0</v>
      </c>
    </row>
    <row r="19" spans="1:25" ht="13.9" x14ac:dyDescent="0.25">
      <c r="A19" t="s">
        <v>25</v>
      </c>
      <c r="B19">
        <f>_xlfn.XLOOKUP(Table4[[#This Row],[country]],Table2[country],Table2[country_id],FALSE)</f>
        <v>1</v>
      </c>
      <c r="C19" t="s">
        <v>26</v>
      </c>
      <c r="D19">
        <v>2015</v>
      </c>
      <c r="E19">
        <f>_xlfn.XLOOKUP(Table4[[#This Row],[year]],Table1[year],Table1[year_id])</f>
        <v>6</v>
      </c>
      <c r="F19" t="s">
        <v>30</v>
      </c>
      <c r="G19" t="s">
        <v>28</v>
      </c>
      <c r="H19" cm="1">
        <f t="array" ref="H19">_xlfn.XLOOKUP(Table4[[#This Row],[vehicle_segment]]&amp;Table4[[#This Row],[powertrain_type]],Table3[vehicle_segment]&amp;Table3[powertrain_type],Table3[vehicle_id])</f>
        <v>3</v>
      </c>
      <c r="I19">
        <v>542</v>
      </c>
      <c r="J19">
        <v>263800</v>
      </c>
      <c r="K19">
        <v>22939</v>
      </c>
      <c r="L19">
        <v>287281</v>
      </c>
      <c r="M19">
        <v>0.19</v>
      </c>
      <c r="N19">
        <v>562</v>
      </c>
      <c r="O19">
        <v>8.1999999999999993</v>
      </c>
      <c r="P19">
        <v>180</v>
      </c>
      <c r="Q19">
        <v>0.98299999999999998</v>
      </c>
      <c r="R19">
        <v>0.216</v>
      </c>
      <c r="S19">
        <v>57259</v>
      </c>
      <c r="T19">
        <v>89.3</v>
      </c>
      <c r="U19">
        <v>93.3</v>
      </c>
      <c r="V19">
        <v>0</v>
      </c>
      <c r="W19">
        <v>36.200000000000003</v>
      </c>
      <c r="X19">
        <v>47.68</v>
      </c>
      <c r="Y19">
        <v>0</v>
      </c>
    </row>
    <row r="20" spans="1:25" ht="13.9" x14ac:dyDescent="0.25">
      <c r="A20" t="s">
        <v>25</v>
      </c>
      <c r="B20">
        <f>_xlfn.XLOOKUP(Table4[[#This Row],[country]],Table2[country],Table2[country_id],FALSE)</f>
        <v>1</v>
      </c>
      <c r="C20" t="s">
        <v>26</v>
      </c>
      <c r="D20">
        <v>2016</v>
      </c>
      <c r="E20">
        <f>_xlfn.XLOOKUP(Table4[[#This Row],[year]],Table1[year],Table1[year_id])</f>
        <v>7</v>
      </c>
      <c r="F20" t="s">
        <v>27</v>
      </c>
      <c r="G20" t="s">
        <v>28</v>
      </c>
      <c r="H20" cm="1">
        <f t="array" ref="H20">_xlfn.XLOOKUP(Table4[[#This Row],[vehicle_segment]]&amp;Table4[[#This Row],[powertrain_type]],Table3[vehicle_segment]&amp;Table3[powertrain_type],Table3[vehicle_id])</f>
        <v>1</v>
      </c>
      <c r="I20">
        <v>105</v>
      </c>
      <c r="J20">
        <v>106179</v>
      </c>
      <c r="K20">
        <v>70786</v>
      </c>
      <c r="L20">
        <v>177070</v>
      </c>
      <c r="M20">
        <v>0.06</v>
      </c>
      <c r="N20">
        <v>1017</v>
      </c>
      <c r="O20">
        <v>10.199999999999999</v>
      </c>
      <c r="P20">
        <v>193</v>
      </c>
      <c r="Q20">
        <v>1.0029999999999999</v>
      </c>
      <c r="R20">
        <v>0.218</v>
      </c>
      <c r="S20">
        <v>55712</v>
      </c>
      <c r="T20">
        <v>88.9</v>
      </c>
      <c r="U20">
        <v>95.3</v>
      </c>
      <c r="V20">
        <v>0</v>
      </c>
      <c r="W20">
        <v>36.6</v>
      </c>
      <c r="X20">
        <v>42.88</v>
      </c>
      <c r="Y20">
        <v>0</v>
      </c>
    </row>
    <row r="21" spans="1:25" ht="13.9" x14ac:dyDescent="0.25">
      <c r="A21" t="s">
        <v>25</v>
      </c>
      <c r="B21">
        <f>_xlfn.XLOOKUP(Table4[[#This Row],[country]],Table2[country],Table2[country_id],FALSE)</f>
        <v>1</v>
      </c>
      <c r="C21" t="s">
        <v>26</v>
      </c>
      <c r="D21">
        <v>2016</v>
      </c>
      <c r="E21">
        <f>_xlfn.XLOOKUP(Table4[[#This Row],[year]],Table1[year],Table1[year_id])</f>
        <v>7</v>
      </c>
      <c r="F21" t="s">
        <v>29</v>
      </c>
      <c r="G21" t="s">
        <v>28</v>
      </c>
      <c r="H21" cm="1">
        <f t="array" ref="H21">_xlfn.XLOOKUP(Table4[[#This Row],[vehicle_segment]]&amp;Table4[[#This Row],[powertrain_type]],Table3[vehicle_segment]&amp;Table3[powertrain_type],Table3[vehicle_id])</f>
        <v>2</v>
      </c>
      <c r="I21">
        <v>1201</v>
      </c>
      <c r="J21">
        <v>620584</v>
      </c>
      <c r="K21">
        <v>84625</v>
      </c>
      <c r="L21">
        <v>706410</v>
      </c>
      <c r="M21">
        <v>0.17</v>
      </c>
      <c r="N21">
        <v>1017</v>
      </c>
      <c r="O21">
        <v>10.199999999999999</v>
      </c>
      <c r="P21">
        <v>193</v>
      </c>
      <c r="Q21">
        <v>1.0029999999999999</v>
      </c>
      <c r="R21">
        <v>0.218</v>
      </c>
      <c r="S21">
        <v>55712</v>
      </c>
      <c r="T21">
        <v>88.9</v>
      </c>
      <c r="U21">
        <v>95.3</v>
      </c>
      <c r="V21">
        <v>0</v>
      </c>
      <c r="W21">
        <v>36.6</v>
      </c>
      <c r="X21">
        <v>34.340000000000003</v>
      </c>
      <c r="Y21">
        <v>0</v>
      </c>
    </row>
    <row r="22" spans="1:25" ht="13.9" x14ac:dyDescent="0.25">
      <c r="A22" t="s">
        <v>25</v>
      </c>
      <c r="B22">
        <f>_xlfn.XLOOKUP(Table4[[#This Row],[country]],Table2[country],Table2[country_id],FALSE)</f>
        <v>1</v>
      </c>
      <c r="C22" t="s">
        <v>26</v>
      </c>
      <c r="D22">
        <v>2016</v>
      </c>
      <c r="E22">
        <f>_xlfn.XLOOKUP(Table4[[#This Row],[year]],Table1[year],Table1[year_id])</f>
        <v>7</v>
      </c>
      <c r="F22" t="s">
        <v>30</v>
      </c>
      <c r="G22" t="s">
        <v>28</v>
      </c>
      <c r="H22" cm="1">
        <f t="array" ref="H22">_xlfn.XLOOKUP(Table4[[#This Row],[vehicle_segment]]&amp;Table4[[#This Row],[powertrain_type]],Table3[vehicle_segment]&amp;Table3[powertrain_type],Table3[vehicle_id])</f>
        <v>3</v>
      </c>
      <c r="I22">
        <v>716</v>
      </c>
      <c r="J22">
        <v>266718</v>
      </c>
      <c r="K22">
        <v>23193</v>
      </c>
      <c r="L22">
        <v>290627</v>
      </c>
      <c r="M22">
        <v>0.25</v>
      </c>
      <c r="N22">
        <v>1017</v>
      </c>
      <c r="O22">
        <v>10.199999999999999</v>
      </c>
      <c r="P22">
        <v>193</v>
      </c>
      <c r="Q22">
        <v>1.0029999999999999</v>
      </c>
      <c r="R22">
        <v>0.218</v>
      </c>
      <c r="S22">
        <v>55712</v>
      </c>
      <c r="T22">
        <v>88.9</v>
      </c>
      <c r="U22">
        <v>95.3</v>
      </c>
      <c r="V22">
        <v>0</v>
      </c>
      <c r="W22">
        <v>36.6</v>
      </c>
      <c r="X22">
        <v>32.1</v>
      </c>
      <c r="Y22">
        <v>0</v>
      </c>
    </row>
    <row r="23" spans="1:25" ht="13.9" x14ac:dyDescent="0.25">
      <c r="A23" t="s">
        <v>25</v>
      </c>
      <c r="B23">
        <f>_xlfn.XLOOKUP(Table4[[#This Row],[country]],Table2[country],Table2[country_id],FALSE)</f>
        <v>1</v>
      </c>
      <c r="C23" t="s">
        <v>26</v>
      </c>
      <c r="D23">
        <v>2017</v>
      </c>
      <c r="E23">
        <f>_xlfn.XLOOKUP(Table4[[#This Row],[year]],Table1[year],Table1[year_id])</f>
        <v>8</v>
      </c>
      <c r="F23" t="s">
        <v>27</v>
      </c>
      <c r="G23" t="s">
        <v>28</v>
      </c>
      <c r="H23" cm="1">
        <f t="array" ref="H23">_xlfn.XLOOKUP(Table4[[#This Row],[vehicle_segment]]&amp;Table4[[#This Row],[powertrain_type]],Table3[vehicle_segment]&amp;Table3[powertrain_type],Table3[vehicle_id])</f>
        <v>1</v>
      </c>
      <c r="I23">
        <v>198</v>
      </c>
      <c r="J23">
        <v>109622</v>
      </c>
      <c r="K23">
        <v>73081</v>
      </c>
      <c r="L23">
        <v>182901</v>
      </c>
      <c r="M23">
        <v>0.11</v>
      </c>
      <c r="N23">
        <v>1540</v>
      </c>
      <c r="O23">
        <v>10.9</v>
      </c>
      <c r="P23">
        <v>220</v>
      </c>
      <c r="Q23">
        <v>1.05</v>
      </c>
      <c r="R23">
        <v>0.218</v>
      </c>
      <c r="S23">
        <v>56382</v>
      </c>
      <c r="T23">
        <v>88</v>
      </c>
      <c r="U23">
        <v>96.2</v>
      </c>
      <c r="V23">
        <v>0</v>
      </c>
      <c r="W23">
        <v>38.5</v>
      </c>
      <c r="X23">
        <v>88.57</v>
      </c>
      <c r="Y23">
        <v>0</v>
      </c>
    </row>
    <row r="24" spans="1:25" ht="13.9" x14ac:dyDescent="0.25">
      <c r="A24" t="s">
        <v>25</v>
      </c>
      <c r="B24">
        <f>_xlfn.XLOOKUP(Table4[[#This Row],[country]],Table2[country],Table2[country_id],FALSE)</f>
        <v>1</v>
      </c>
      <c r="C24" t="s">
        <v>26</v>
      </c>
      <c r="D24">
        <v>2017</v>
      </c>
      <c r="E24">
        <f>_xlfn.XLOOKUP(Table4[[#This Row],[year]],Table1[year],Table1[year_id])</f>
        <v>8</v>
      </c>
      <c r="F24" t="s">
        <v>29</v>
      </c>
      <c r="G24" t="s">
        <v>28</v>
      </c>
      <c r="H24" cm="1">
        <f t="array" ref="H24">_xlfn.XLOOKUP(Table4[[#This Row],[vehicle_segment]]&amp;Table4[[#This Row],[powertrain_type]],Table3[vehicle_segment]&amp;Table3[powertrain_type],Table3[vehicle_id])</f>
        <v>2</v>
      </c>
      <c r="I24">
        <v>2220</v>
      </c>
      <c r="J24">
        <v>628305</v>
      </c>
      <c r="K24">
        <v>85678</v>
      </c>
      <c r="L24">
        <v>716203</v>
      </c>
      <c r="M24">
        <v>0.31</v>
      </c>
      <c r="N24">
        <v>1540</v>
      </c>
      <c r="O24">
        <v>10.9</v>
      </c>
      <c r="P24">
        <v>220</v>
      </c>
      <c r="Q24">
        <v>1.05</v>
      </c>
      <c r="R24">
        <v>0.218</v>
      </c>
      <c r="S24">
        <v>56382</v>
      </c>
      <c r="T24">
        <v>88</v>
      </c>
      <c r="U24">
        <v>96.2</v>
      </c>
      <c r="V24">
        <v>0</v>
      </c>
      <c r="W24">
        <v>38.5</v>
      </c>
      <c r="X24">
        <v>84.85</v>
      </c>
      <c r="Y24">
        <v>0</v>
      </c>
    </row>
    <row r="25" spans="1:25" ht="13.9" x14ac:dyDescent="0.25">
      <c r="A25" t="s">
        <v>25</v>
      </c>
      <c r="B25">
        <f>_xlfn.XLOOKUP(Table4[[#This Row],[country]],Table2[country],Table2[country_id],FALSE)</f>
        <v>1</v>
      </c>
      <c r="C25" t="s">
        <v>26</v>
      </c>
      <c r="D25">
        <v>2017</v>
      </c>
      <c r="E25">
        <f>_xlfn.XLOOKUP(Table4[[#This Row],[year]],Table1[year],Table1[year_id])</f>
        <v>8</v>
      </c>
      <c r="F25" t="s">
        <v>30</v>
      </c>
      <c r="G25" t="s">
        <v>28</v>
      </c>
      <c r="H25" cm="1">
        <f t="array" ref="H25">_xlfn.XLOOKUP(Table4[[#This Row],[vehicle_segment]]&amp;Table4[[#This Row],[powertrain_type]],Table3[vehicle_segment]&amp;Table3[powertrain_type],Table3[vehicle_id])</f>
        <v>3</v>
      </c>
      <c r="I25">
        <v>1337</v>
      </c>
      <c r="J25">
        <v>272461</v>
      </c>
      <c r="K25">
        <v>23692</v>
      </c>
      <c r="L25">
        <v>297490</v>
      </c>
      <c r="M25">
        <v>0.45</v>
      </c>
      <c r="N25">
        <v>1540</v>
      </c>
      <c r="O25">
        <v>10.9</v>
      </c>
      <c r="P25">
        <v>220</v>
      </c>
      <c r="Q25">
        <v>1.05</v>
      </c>
      <c r="R25">
        <v>0.218</v>
      </c>
      <c r="S25">
        <v>56382</v>
      </c>
      <c r="T25">
        <v>88</v>
      </c>
      <c r="U25">
        <v>96.2</v>
      </c>
      <c r="V25">
        <v>0</v>
      </c>
      <c r="W25">
        <v>38.5</v>
      </c>
      <c r="X25">
        <v>86.73</v>
      </c>
      <c r="Y25">
        <v>0</v>
      </c>
    </row>
    <row r="26" spans="1:25" ht="13.9" x14ac:dyDescent="0.25">
      <c r="A26" t="s">
        <v>25</v>
      </c>
      <c r="B26">
        <f>_xlfn.XLOOKUP(Table4[[#This Row],[country]],Table2[country],Table2[country_id],FALSE)</f>
        <v>1</v>
      </c>
      <c r="C26" t="s">
        <v>26</v>
      </c>
      <c r="D26">
        <v>2018</v>
      </c>
      <c r="E26">
        <f>_xlfn.XLOOKUP(Table4[[#This Row],[year]],Table1[year],Table1[year_id])</f>
        <v>9</v>
      </c>
      <c r="F26" t="s">
        <v>27</v>
      </c>
      <c r="G26" t="s">
        <v>28</v>
      </c>
      <c r="H26" cm="1">
        <f t="array" ref="H26">_xlfn.XLOOKUP(Table4[[#This Row],[vehicle_segment]]&amp;Table4[[#This Row],[powertrain_type]],Table3[vehicle_segment]&amp;Table3[powertrain_type],Table3[vehicle_id])</f>
        <v>1</v>
      </c>
      <c r="I26">
        <v>257</v>
      </c>
      <c r="J26">
        <v>97669</v>
      </c>
      <c r="K26">
        <v>65113</v>
      </c>
      <c r="L26">
        <v>163039</v>
      </c>
      <c r="M26">
        <v>0.16</v>
      </c>
      <c r="N26">
        <v>2046</v>
      </c>
      <c r="O26">
        <v>13.6</v>
      </c>
      <c r="P26">
        <v>264</v>
      </c>
      <c r="Q26">
        <v>1.1100000000000001</v>
      </c>
      <c r="R26">
        <v>0.218</v>
      </c>
      <c r="S26">
        <v>55117</v>
      </c>
      <c r="T26">
        <v>87.7</v>
      </c>
      <c r="U26">
        <v>97.9</v>
      </c>
      <c r="V26">
        <v>0</v>
      </c>
      <c r="W26">
        <v>41</v>
      </c>
      <c r="X26">
        <v>29.8</v>
      </c>
      <c r="Y26">
        <v>0</v>
      </c>
    </row>
    <row r="27" spans="1:25" ht="13.9" x14ac:dyDescent="0.25">
      <c r="A27" t="s">
        <v>25</v>
      </c>
      <c r="B27">
        <f>_xlfn.XLOOKUP(Table4[[#This Row],[country]],Table2[country],Table2[country_id],FALSE)</f>
        <v>1</v>
      </c>
      <c r="C27" t="s">
        <v>26</v>
      </c>
      <c r="D27">
        <v>2018</v>
      </c>
      <c r="E27">
        <f>_xlfn.XLOOKUP(Table4[[#This Row],[year]],Table1[year],Table1[year_id])</f>
        <v>9</v>
      </c>
      <c r="F27" t="s">
        <v>29</v>
      </c>
      <c r="G27" t="s">
        <v>28</v>
      </c>
      <c r="H27" cm="1">
        <f t="array" ref="H27">_xlfn.XLOOKUP(Table4[[#This Row],[vehicle_segment]]&amp;Table4[[#This Row],[powertrain_type]],Table3[vehicle_segment]&amp;Table3[powertrain_type],Table3[vehicle_id])</f>
        <v>2</v>
      </c>
      <c r="I27">
        <v>2940</v>
      </c>
      <c r="J27">
        <v>572260</v>
      </c>
      <c r="K27">
        <v>78035</v>
      </c>
      <c r="L27">
        <v>653235</v>
      </c>
      <c r="M27">
        <v>0.45</v>
      </c>
      <c r="N27">
        <v>2046</v>
      </c>
      <c r="O27">
        <v>13.6</v>
      </c>
      <c r="P27">
        <v>264</v>
      </c>
      <c r="Q27">
        <v>1.1100000000000001</v>
      </c>
      <c r="R27">
        <v>0.218</v>
      </c>
      <c r="S27">
        <v>55117</v>
      </c>
      <c r="T27">
        <v>87.7</v>
      </c>
      <c r="U27">
        <v>97.9</v>
      </c>
      <c r="V27">
        <v>0</v>
      </c>
      <c r="W27">
        <v>41</v>
      </c>
      <c r="X27">
        <v>32.43</v>
      </c>
      <c r="Y27">
        <v>0</v>
      </c>
    </row>
    <row r="28" spans="1:25" ht="13.9" x14ac:dyDescent="0.25">
      <c r="A28" t="s">
        <v>25</v>
      </c>
      <c r="B28">
        <f>_xlfn.XLOOKUP(Table4[[#This Row],[country]],Table2[country],Table2[country_id],FALSE)</f>
        <v>1</v>
      </c>
      <c r="C28" t="s">
        <v>26</v>
      </c>
      <c r="D28">
        <v>2018</v>
      </c>
      <c r="E28">
        <f>_xlfn.XLOOKUP(Table4[[#This Row],[year]],Table1[year],Table1[year_id])</f>
        <v>9</v>
      </c>
      <c r="F28" t="s">
        <v>30</v>
      </c>
      <c r="G28" t="s">
        <v>28</v>
      </c>
      <c r="H28" cm="1">
        <f t="array" ref="H28">_xlfn.XLOOKUP(Table4[[#This Row],[vehicle_segment]]&amp;Table4[[#This Row],[powertrain_type]],Table3[vehicle_segment]&amp;Table3[powertrain_type],Table3[vehicle_id])</f>
        <v>3</v>
      </c>
      <c r="I28">
        <v>1810</v>
      </c>
      <c r="J28">
        <v>253500</v>
      </c>
      <c r="K28">
        <v>22043</v>
      </c>
      <c r="L28">
        <v>277353</v>
      </c>
      <c r="M28">
        <v>0.65</v>
      </c>
      <c r="N28">
        <v>2046</v>
      </c>
      <c r="O28">
        <v>13.6</v>
      </c>
      <c r="P28">
        <v>264</v>
      </c>
      <c r="Q28">
        <v>1.1100000000000001</v>
      </c>
      <c r="R28">
        <v>0.218</v>
      </c>
      <c r="S28">
        <v>55117</v>
      </c>
      <c r="T28">
        <v>87.7</v>
      </c>
      <c r="U28">
        <v>97.9</v>
      </c>
      <c r="V28">
        <v>0</v>
      </c>
      <c r="W28">
        <v>41</v>
      </c>
      <c r="X28">
        <v>35.380000000000003</v>
      </c>
      <c r="Y28">
        <v>0</v>
      </c>
    </row>
    <row r="29" spans="1:25" x14ac:dyDescent="0.25">
      <c r="A29" t="s">
        <v>25</v>
      </c>
      <c r="B29">
        <f>_xlfn.XLOOKUP(Table4[[#This Row],[country]],Table2[country],Table2[country_id],FALSE)</f>
        <v>1</v>
      </c>
      <c r="C29" t="s">
        <v>26</v>
      </c>
      <c r="D29">
        <v>2019</v>
      </c>
      <c r="E29">
        <f>_xlfn.XLOOKUP(Table4[[#This Row],[year]],Table1[year],Table1[year_id])</f>
        <v>10</v>
      </c>
      <c r="F29" t="s">
        <v>27</v>
      </c>
      <c r="G29" t="s">
        <v>28</v>
      </c>
      <c r="H29" cm="1">
        <f t="array" ref="H29">_xlfn.XLOOKUP(Table4[[#This Row],[vehicle_segment]]&amp;Table4[[#This Row],[powertrain_type]],Table3[vehicle_segment]&amp;Table3[powertrain_type],Table3[vehicle_id])</f>
        <v>1</v>
      </c>
      <c r="I29">
        <v>468</v>
      </c>
      <c r="J29">
        <v>96285</v>
      </c>
      <c r="K29">
        <v>64190</v>
      </c>
      <c r="L29">
        <v>160943</v>
      </c>
      <c r="M29">
        <v>0.28999999999999998</v>
      </c>
      <c r="N29">
        <v>2610</v>
      </c>
      <c r="O29">
        <v>14.6</v>
      </c>
      <c r="P29">
        <v>289</v>
      </c>
      <c r="Q29">
        <v>1.17</v>
      </c>
      <c r="R29">
        <v>0.219</v>
      </c>
      <c r="S29">
        <v>54844</v>
      </c>
      <c r="T29">
        <v>87.1</v>
      </c>
      <c r="U29">
        <v>93.3</v>
      </c>
      <c r="V29">
        <v>0</v>
      </c>
      <c r="W29">
        <v>43.2</v>
      </c>
      <c r="X29">
        <v>82.1</v>
      </c>
      <c r="Y29">
        <v>0</v>
      </c>
    </row>
    <row r="30" spans="1:25" x14ac:dyDescent="0.25">
      <c r="A30" t="s">
        <v>25</v>
      </c>
      <c r="B30">
        <f>_xlfn.XLOOKUP(Table4[[#This Row],[country]],Table2[country],Table2[country_id],FALSE)</f>
        <v>1</v>
      </c>
      <c r="C30" t="s">
        <v>26</v>
      </c>
      <c r="D30">
        <v>2019</v>
      </c>
      <c r="E30">
        <f>_xlfn.XLOOKUP(Table4[[#This Row],[year]],Table1[year],Table1[year_id])</f>
        <v>10</v>
      </c>
      <c r="F30" t="s">
        <v>29</v>
      </c>
      <c r="G30" t="s">
        <v>28</v>
      </c>
      <c r="H30" cm="1">
        <f t="array" ref="H30">_xlfn.XLOOKUP(Table4[[#This Row],[vehicle_segment]]&amp;Table4[[#This Row],[powertrain_type]],Table3[vehicle_segment]&amp;Table3[powertrain_type],Table3[vehicle_id])</f>
        <v>2</v>
      </c>
      <c r="I30">
        <v>5228</v>
      </c>
      <c r="J30">
        <v>549725</v>
      </c>
      <c r="K30">
        <v>74963</v>
      </c>
      <c r="L30">
        <v>629916</v>
      </c>
      <c r="M30">
        <v>0.83</v>
      </c>
      <c r="N30">
        <v>2610</v>
      </c>
      <c r="O30">
        <v>14.6</v>
      </c>
      <c r="P30">
        <v>289</v>
      </c>
      <c r="Q30">
        <v>1.17</v>
      </c>
      <c r="R30">
        <v>0.219</v>
      </c>
      <c r="S30">
        <v>54844</v>
      </c>
      <c r="T30">
        <v>87.1</v>
      </c>
      <c r="U30">
        <v>93.3</v>
      </c>
      <c r="V30">
        <v>0</v>
      </c>
      <c r="W30">
        <v>43.2</v>
      </c>
      <c r="X30">
        <v>77.819999999999993</v>
      </c>
      <c r="Y30">
        <v>0</v>
      </c>
    </row>
    <row r="31" spans="1:25" x14ac:dyDescent="0.25">
      <c r="A31" t="s">
        <v>25</v>
      </c>
      <c r="B31">
        <f>_xlfn.XLOOKUP(Table4[[#This Row],[country]],Table2[country],Table2[country_id],FALSE)</f>
        <v>1</v>
      </c>
      <c r="C31" t="s">
        <v>26</v>
      </c>
      <c r="D31">
        <v>2019</v>
      </c>
      <c r="E31">
        <f>_xlfn.XLOOKUP(Table4[[#This Row],[year]],Table1[year],Table1[year_id])</f>
        <v>10</v>
      </c>
      <c r="F31" t="s">
        <v>30</v>
      </c>
      <c r="G31" t="s">
        <v>28</v>
      </c>
      <c r="H31" cm="1">
        <f t="array" ref="H31">_xlfn.XLOOKUP(Table4[[#This Row],[vehicle_segment]]&amp;Table4[[#This Row],[powertrain_type]],Table3[vehicle_segment]&amp;Table3[powertrain_type],Table3[vehicle_id])</f>
        <v>3</v>
      </c>
      <c r="I31">
        <v>3179</v>
      </c>
      <c r="J31">
        <v>240099</v>
      </c>
      <c r="K31">
        <v>20878</v>
      </c>
      <c r="L31">
        <v>264156</v>
      </c>
      <c r="M31">
        <v>1.2</v>
      </c>
      <c r="N31">
        <v>2610</v>
      </c>
      <c r="O31">
        <v>14.6</v>
      </c>
      <c r="P31">
        <v>289</v>
      </c>
      <c r="Q31">
        <v>1.17</v>
      </c>
      <c r="R31">
        <v>0.219</v>
      </c>
      <c r="S31">
        <v>54844</v>
      </c>
      <c r="T31">
        <v>87.1</v>
      </c>
      <c r="U31">
        <v>93.3</v>
      </c>
      <c r="V31">
        <v>0</v>
      </c>
      <c r="W31">
        <v>43.2</v>
      </c>
      <c r="X31">
        <v>75.64</v>
      </c>
      <c r="Y31">
        <v>0</v>
      </c>
    </row>
    <row r="32" spans="1:25" x14ac:dyDescent="0.25">
      <c r="A32" t="s">
        <v>25</v>
      </c>
      <c r="B32">
        <f>_xlfn.XLOOKUP(Table4[[#This Row],[country]],Table2[country],Table2[country_id],FALSE)</f>
        <v>1</v>
      </c>
      <c r="C32" t="s">
        <v>26</v>
      </c>
      <c r="D32">
        <v>2020</v>
      </c>
      <c r="E32">
        <f>_xlfn.XLOOKUP(Table4[[#This Row],[year]],Table1[year],Table1[year_id])</f>
        <v>11</v>
      </c>
      <c r="F32" t="s">
        <v>27</v>
      </c>
      <c r="G32" t="s">
        <v>28</v>
      </c>
      <c r="H32" cm="1">
        <f t="array" ref="H32">_xlfn.XLOOKUP(Table4[[#This Row],[vehicle_segment]]&amp;Table4[[#This Row],[powertrain_type]],Table3[vehicle_segment]&amp;Table3[powertrain_type],Table3[vehicle_id])</f>
        <v>1</v>
      </c>
      <c r="I32">
        <v>349</v>
      </c>
      <c r="J32">
        <v>82916</v>
      </c>
      <c r="K32">
        <v>55277</v>
      </c>
      <c r="L32">
        <v>138542</v>
      </c>
      <c r="M32">
        <v>0.25</v>
      </c>
      <c r="N32">
        <v>3031</v>
      </c>
      <c r="O32">
        <v>17</v>
      </c>
      <c r="P32">
        <v>346</v>
      </c>
      <c r="Q32">
        <v>1.2669999999999999</v>
      </c>
      <c r="R32">
        <v>0.218</v>
      </c>
      <c r="S32">
        <v>58442</v>
      </c>
      <c r="T32">
        <v>85.9</v>
      </c>
      <c r="U32">
        <v>89.6</v>
      </c>
      <c r="V32">
        <v>0</v>
      </c>
      <c r="W32">
        <v>45.6</v>
      </c>
      <c r="X32">
        <v>-25.43</v>
      </c>
      <c r="Y32">
        <v>0</v>
      </c>
    </row>
    <row r="33" spans="1:25" x14ac:dyDescent="0.25">
      <c r="A33" t="s">
        <v>25</v>
      </c>
      <c r="B33">
        <f>_xlfn.XLOOKUP(Table4[[#This Row],[country]],Table2[country],Table2[country_id],FALSE)</f>
        <v>1</v>
      </c>
      <c r="C33" t="s">
        <v>26</v>
      </c>
      <c r="D33">
        <v>2020</v>
      </c>
      <c r="E33">
        <f>_xlfn.XLOOKUP(Table4[[#This Row],[year]],Table1[year],Table1[year_id])</f>
        <v>11</v>
      </c>
      <c r="F33" t="s">
        <v>29</v>
      </c>
      <c r="G33" t="s">
        <v>28</v>
      </c>
      <c r="H33" cm="1">
        <f t="array" ref="H33">_xlfn.XLOOKUP(Table4[[#This Row],[vehicle_segment]]&amp;Table4[[#This Row],[powertrain_type]],Table3[vehicle_segment]&amp;Table3[powertrain_type],Table3[vehicle_id])</f>
        <v>2</v>
      </c>
      <c r="I33">
        <v>4009</v>
      </c>
      <c r="J33">
        <v>486451</v>
      </c>
      <c r="K33">
        <v>66334</v>
      </c>
      <c r="L33">
        <v>556794</v>
      </c>
      <c r="M33">
        <v>0.72</v>
      </c>
      <c r="N33">
        <v>3031</v>
      </c>
      <c r="O33">
        <v>17</v>
      </c>
      <c r="P33">
        <v>346</v>
      </c>
      <c r="Q33">
        <v>1.2669999999999999</v>
      </c>
      <c r="R33">
        <v>0.218</v>
      </c>
      <c r="S33">
        <v>58442</v>
      </c>
      <c r="T33">
        <v>85.9</v>
      </c>
      <c r="U33">
        <v>89.6</v>
      </c>
      <c r="V33">
        <v>0</v>
      </c>
      <c r="W33">
        <v>45.6</v>
      </c>
      <c r="X33">
        <v>-23.32</v>
      </c>
      <c r="Y33">
        <v>0</v>
      </c>
    </row>
    <row r="34" spans="1:25" x14ac:dyDescent="0.25">
      <c r="A34" t="s">
        <v>25</v>
      </c>
      <c r="B34">
        <f>_xlfn.XLOOKUP(Table4[[#This Row],[country]],Table2[country],Table2[country_id],FALSE)</f>
        <v>1</v>
      </c>
      <c r="C34" t="s">
        <v>26</v>
      </c>
      <c r="D34">
        <v>2020</v>
      </c>
      <c r="E34">
        <f>_xlfn.XLOOKUP(Table4[[#This Row],[year]],Table1[year],Table1[year_id])</f>
        <v>11</v>
      </c>
      <c r="F34" t="s">
        <v>30</v>
      </c>
      <c r="G34" t="s">
        <v>28</v>
      </c>
      <c r="H34" cm="1">
        <f t="array" ref="H34">_xlfn.XLOOKUP(Table4[[#This Row],[vehicle_segment]]&amp;Table4[[#This Row],[powertrain_type]],Table3[vehicle_segment]&amp;Table3[powertrain_type],Table3[vehicle_id])</f>
        <v>3</v>
      </c>
      <c r="I34">
        <v>2415</v>
      </c>
      <c r="J34">
        <v>210605</v>
      </c>
      <c r="K34">
        <v>18313</v>
      </c>
      <c r="L34">
        <v>231333</v>
      </c>
      <c r="M34">
        <v>1.04</v>
      </c>
      <c r="N34">
        <v>3031</v>
      </c>
      <c r="O34">
        <v>17</v>
      </c>
      <c r="P34">
        <v>346</v>
      </c>
      <c r="Q34">
        <v>1.2669999999999999</v>
      </c>
      <c r="R34">
        <v>0.218</v>
      </c>
      <c r="S34">
        <v>58442</v>
      </c>
      <c r="T34">
        <v>85.9</v>
      </c>
      <c r="U34">
        <v>89.6</v>
      </c>
      <c r="V34">
        <v>0</v>
      </c>
      <c r="W34">
        <v>45.6</v>
      </c>
      <c r="X34">
        <v>-24.03</v>
      </c>
      <c r="Y34">
        <v>0</v>
      </c>
    </row>
    <row r="35" spans="1:25" x14ac:dyDescent="0.25">
      <c r="A35" t="s">
        <v>25</v>
      </c>
      <c r="B35">
        <f>_xlfn.XLOOKUP(Table4[[#This Row],[country]],Table2[country],Table2[country_id],FALSE)</f>
        <v>1</v>
      </c>
      <c r="C35" t="s">
        <v>26</v>
      </c>
      <c r="D35">
        <v>2021</v>
      </c>
      <c r="E35">
        <f>_xlfn.XLOOKUP(Table4[[#This Row],[year]],Table1[year],Table1[year_id])</f>
        <v>12</v>
      </c>
      <c r="F35" t="s">
        <v>27</v>
      </c>
      <c r="G35" t="s">
        <v>28</v>
      </c>
      <c r="H35" cm="1">
        <f t="array" ref="H35">_xlfn.XLOOKUP(Table4[[#This Row],[vehicle_segment]]&amp;Table4[[#This Row],[powertrain_type]],Table3[vehicle_segment]&amp;Table3[powertrain_type],Table3[vehicle_id])</f>
        <v>1</v>
      </c>
      <c r="I35">
        <v>1094</v>
      </c>
      <c r="J35">
        <v>92662</v>
      </c>
      <c r="K35">
        <v>61774</v>
      </c>
      <c r="L35">
        <v>155530</v>
      </c>
      <c r="M35">
        <v>0.7</v>
      </c>
      <c r="N35">
        <v>4245</v>
      </c>
      <c r="O35">
        <v>19.100000000000001</v>
      </c>
      <c r="P35">
        <v>367</v>
      </c>
      <c r="Q35">
        <v>1.397</v>
      </c>
      <c r="R35">
        <v>0.223</v>
      </c>
      <c r="S35">
        <v>62105</v>
      </c>
      <c r="T35">
        <v>86.3</v>
      </c>
      <c r="U35">
        <v>87.1</v>
      </c>
      <c r="V35">
        <v>1002</v>
      </c>
      <c r="W35">
        <v>47.2</v>
      </c>
      <c r="X35">
        <v>213.47</v>
      </c>
      <c r="Y35">
        <v>0</v>
      </c>
    </row>
    <row r="36" spans="1:25" x14ac:dyDescent="0.25">
      <c r="A36" t="s">
        <v>25</v>
      </c>
      <c r="B36">
        <f>_xlfn.XLOOKUP(Table4[[#This Row],[country]],Table2[country],Table2[country_id],FALSE)</f>
        <v>1</v>
      </c>
      <c r="C36" t="s">
        <v>26</v>
      </c>
      <c r="D36">
        <v>2021</v>
      </c>
      <c r="E36">
        <f>_xlfn.XLOOKUP(Table4[[#This Row],[year]],Table1[year],Table1[year_id])</f>
        <v>12</v>
      </c>
      <c r="F36" t="s">
        <v>29</v>
      </c>
      <c r="G36" t="s">
        <v>28</v>
      </c>
      <c r="H36" cm="1">
        <f t="array" ref="H36">_xlfn.XLOOKUP(Table4[[#This Row],[vehicle_segment]]&amp;Table4[[#This Row],[powertrain_type]],Table3[vehicle_segment]&amp;Table3[powertrain_type],Table3[vehicle_id])</f>
        <v>2</v>
      </c>
      <c r="I36">
        <v>12285</v>
      </c>
      <c r="J36">
        <v>527029</v>
      </c>
      <c r="K36">
        <v>71868</v>
      </c>
      <c r="L36">
        <v>611182</v>
      </c>
      <c r="M36">
        <v>2.0099999999999998</v>
      </c>
      <c r="N36">
        <v>4245</v>
      </c>
      <c r="O36">
        <v>19.100000000000001</v>
      </c>
      <c r="P36">
        <v>367</v>
      </c>
      <c r="Q36">
        <v>1.397</v>
      </c>
      <c r="R36">
        <v>0.223</v>
      </c>
      <c r="S36">
        <v>62105</v>
      </c>
      <c r="T36">
        <v>86.3</v>
      </c>
      <c r="U36">
        <v>87.1</v>
      </c>
      <c r="V36">
        <v>1002</v>
      </c>
      <c r="W36">
        <v>47.2</v>
      </c>
      <c r="X36">
        <v>206.44</v>
      </c>
      <c r="Y36">
        <v>0</v>
      </c>
    </row>
    <row r="37" spans="1:25" x14ac:dyDescent="0.25">
      <c r="A37" t="s">
        <v>25</v>
      </c>
      <c r="B37">
        <f>_xlfn.XLOOKUP(Table4[[#This Row],[country]],Table2[country],Table2[country_id],FALSE)</f>
        <v>1</v>
      </c>
      <c r="C37" t="s">
        <v>26</v>
      </c>
      <c r="D37">
        <v>2021</v>
      </c>
      <c r="E37">
        <f>_xlfn.XLOOKUP(Table4[[#This Row],[year]],Table1[year],Table1[year_id])</f>
        <v>12</v>
      </c>
      <c r="F37" t="s">
        <v>30</v>
      </c>
      <c r="G37" t="s">
        <v>28</v>
      </c>
      <c r="H37" cm="1">
        <f t="array" ref="H37">_xlfn.XLOOKUP(Table4[[#This Row],[vehicle_segment]]&amp;Table4[[#This Row],[powertrain_type]],Table3[vehicle_segment]&amp;Table3[powertrain_type],Table3[vehicle_id])</f>
        <v>3</v>
      </c>
      <c r="I37">
        <v>7441</v>
      </c>
      <c r="J37">
        <v>228052</v>
      </c>
      <c r="K37">
        <v>19831</v>
      </c>
      <c r="L37">
        <v>255324</v>
      </c>
      <c r="M37">
        <v>2.91</v>
      </c>
      <c r="N37">
        <v>4245</v>
      </c>
      <c r="O37">
        <v>19.100000000000001</v>
      </c>
      <c r="P37">
        <v>367</v>
      </c>
      <c r="Q37">
        <v>1.397</v>
      </c>
      <c r="R37">
        <v>0.223</v>
      </c>
      <c r="S37">
        <v>62105</v>
      </c>
      <c r="T37">
        <v>86.3</v>
      </c>
      <c r="U37">
        <v>87.1</v>
      </c>
      <c r="V37">
        <v>1002</v>
      </c>
      <c r="W37">
        <v>47.2</v>
      </c>
      <c r="X37">
        <v>208.12</v>
      </c>
      <c r="Y37">
        <v>0</v>
      </c>
    </row>
    <row r="38" spans="1:25" x14ac:dyDescent="0.25">
      <c r="A38" t="s">
        <v>25</v>
      </c>
      <c r="B38">
        <f>_xlfn.XLOOKUP(Table4[[#This Row],[country]],Table2[country],Table2[country_id],FALSE)</f>
        <v>1</v>
      </c>
      <c r="C38" t="s">
        <v>26</v>
      </c>
      <c r="D38">
        <v>2022</v>
      </c>
      <c r="E38">
        <f>_xlfn.XLOOKUP(Table4[[#This Row],[year]],Table1[year],Table1[year_id])</f>
        <v>13</v>
      </c>
      <c r="F38" t="s">
        <v>27</v>
      </c>
      <c r="G38" t="s">
        <v>28</v>
      </c>
      <c r="H38" cm="1">
        <f t="array" ref="H38">_xlfn.XLOOKUP(Table4[[#This Row],[vehicle_segment]]&amp;Table4[[#This Row],[powertrain_type]],Table3[vehicle_segment]&amp;Table3[powertrain_type],Table3[vehicle_id])</f>
        <v>1</v>
      </c>
      <c r="I38">
        <v>4541</v>
      </c>
      <c r="J38">
        <v>94469</v>
      </c>
      <c r="K38">
        <v>62979</v>
      </c>
      <c r="L38">
        <v>161989</v>
      </c>
      <c r="M38">
        <v>2.8</v>
      </c>
      <c r="N38">
        <v>4928</v>
      </c>
      <c r="O38">
        <v>20.5</v>
      </c>
      <c r="P38">
        <v>407</v>
      </c>
      <c r="Q38">
        <v>1.46</v>
      </c>
      <c r="R38">
        <v>0.23</v>
      </c>
      <c r="S38">
        <v>63869</v>
      </c>
      <c r="T38">
        <v>86.2</v>
      </c>
      <c r="U38">
        <v>89.5</v>
      </c>
      <c r="V38">
        <v>1999</v>
      </c>
      <c r="W38">
        <v>52.1</v>
      </c>
      <c r="X38">
        <v>300</v>
      </c>
      <c r="Y38">
        <v>0</v>
      </c>
    </row>
    <row r="39" spans="1:25" x14ac:dyDescent="0.25">
      <c r="A39" t="s">
        <v>25</v>
      </c>
      <c r="B39">
        <f>_xlfn.XLOOKUP(Table4[[#This Row],[country]],Table2[country],Table2[country_id],FALSE)</f>
        <v>1</v>
      </c>
      <c r="C39" t="s">
        <v>26</v>
      </c>
      <c r="D39">
        <v>2022</v>
      </c>
      <c r="E39">
        <f>_xlfn.XLOOKUP(Table4[[#This Row],[year]],Table1[year],Table1[year_id])</f>
        <v>13</v>
      </c>
      <c r="F39" t="s">
        <v>29</v>
      </c>
      <c r="G39" t="s">
        <v>28</v>
      </c>
      <c r="H39" cm="1">
        <f t="array" ref="H39">_xlfn.XLOOKUP(Table4[[#This Row],[vehicle_segment]]&amp;Table4[[#This Row],[powertrain_type]],Table3[vehicle_segment]&amp;Table3[powertrain_type],Table3[vehicle_id])</f>
        <v>2</v>
      </c>
      <c r="I39">
        <v>51183</v>
      </c>
      <c r="J39">
        <v>517272</v>
      </c>
      <c r="K39">
        <v>70537</v>
      </c>
      <c r="L39">
        <v>638992</v>
      </c>
      <c r="M39">
        <v>8.01</v>
      </c>
      <c r="N39">
        <v>4928</v>
      </c>
      <c r="O39">
        <v>20.5</v>
      </c>
      <c r="P39">
        <v>407</v>
      </c>
      <c r="Q39">
        <v>1.46</v>
      </c>
      <c r="R39">
        <v>0.23</v>
      </c>
      <c r="S39">
        <v>63869</v>
      </c>
      <c r="T39">
        <v>86.2</v>
      </c>
      <c r="U39">
        <v>89.5</v>
      </c>
      <c r="V39">
        <v>1999</v>
      </c>
      <c r="W39">
        <v>52.1</v>
      </c>
      <c r="X39">
        <v>300</v>
      </c>
      <c r="Y39">
        <v>0</v>
      </c>
    </row>
    <row r="40" spans="1:25" x14ac:dyDescent="0.25">
      <c r="A40" t="s">
        <v>25</v>
      </c>
      <c r="B40">
        <f>_xlfn.XLOOKUP(Table4[[#This Row],[country]],Table2[country],Table2[country_id],FALSE)</f>
        <v>1</v>
      </c>
      <c r="C40" t="s">
        <v>26</v>
      </c>
      <c r="D40">
        <v>2022</v>
      </c>
      <c r="E40">
        <f>_xlfn.XLOOKUP(Table4[[#This Row],[year]],Table1[year],Table1[year_id])</f>
        <v>13</v>
      </c>
      <c r="F40" t="s">
        <v>30</v>
      </c>
      <c r="G40" t="s">
        <v>28</v>
      </c>
      <c r="H40" cm="1">
        <f t="array" ref="H40">_xlfn.XLOOKUP(Table4[[#This Row],[vehicle_segment]]&amp;Table4[[#This Row],[powertrain_type]],Table3[vehicle_segment]&amp;Table3[powertrain_type],Table3[vehicle_id])</f>
        <v>3</v>
      </c>
      <c r="I40">
        <v>31580</v>
      </c>
      <c r="J40">
        <v>221097</v>
      </c>
      <c r="K40">
        <v>19226</v>
      </c>
      <c r="L40">
        <v>271903</v>
      </c>
      <c r="M40">
        <v>11.61</v>
      </c>
      <c r="N40">
        <v>4928</v>
      </c>
      <c r="O40">
        <v>20.5</v>
      </c>
      <c r="P40">
        <v>407</v>
      </c>
      <c r="Q40">
        <v>1.46</v>
      </c>
      <c r="R40">
        <v>0.23</v>
      </c>
      <c r="S40">
        <v>63869</v>
      </c>
      <c r="T40">
        <v>86.2</v>
      </c>
      <c r="U40">
        <v>89.5</v>
      </c>
      <c r="V40">
        <v>1999</v>
      </c>
      <c r="W40">
        <v>52.1</v>
      </c>
      <c r="X40">
        <v>300</v>
      </c>
      <c r="Y40">
        <v>0</v>
      </c>
    </row>
    <row r="41" spans="1:25" x14ac:dyDescent="0.25">
      <c r="A41" t="s">
        <v>25</v>
      </c>
      <c r="B41">
        <f>_xlfn.XLOOKUP(Table4[[#This Row],[country]],Table2[country],Table2[country_id],FALSE)</f>
        <v>1</v>
      </c>
      <c r="C41" t="s">
        <v>26</v>
      </c>
      <c r="D41">
        <v>2023</v>
      </c>
      <c r="E41">
        <f>_xlfn.XLOOKUP(Table4[[#This Row],[year]],Table1[year],Table1[year_id])</f>
        <v>14</v>
      </c>
      <c r="F41" t="s">
        <v>27</v>
      </c>
      <c r="G41" t="s">
        <v>28</v>
      </c>
      <c r="H41" cm="1">
        <f t="array" ref="H41">_xlfn.XLOOKUP(Table4[[#This Row],[vehicle_segment]]&amp;Table4[[#This Row],[powertrain_type]],Table3[vehicle_segment]&amp;Table3[powertrain_type],Table3[vehicle_id])</f>
        <v>1</v>
      </c>
      <c r="I41">
        <v>5073</v>
      </c>
      <c r="J41">
        <v>107470</v>
      </c>
      <c r="K41">
        <v>71646</v>
      </c>
      <c r="L41">
        <v>184189</v>
      </c>
      <c r="M41">
        <v>2.75</v>
      </c>
      <c r="N41">
        <v>6741</v>
      </c>
      <c r="O41">
        <v>25.8</v>
      </c>
      <c r="P41">
        <v>429</v>
      </c>
      <c r="Q41">
        <v>1.47</v>
      </c>
      <c r="R41">
        <v>0.23799999999999999</v>
      </c>
      <c r="S41">
        <v>62658</v>
      </c>
      <c r="T41">
        <v>86.2</v>
      </c>
      <c r="U41">
        <v>90.8</v>
      </c>
      <c r="V41">
        <v>1998</v>
      </c>
      <c r="W41">
        <v>54.7</v>
      </c>
      <c r="X41">
        <v>11.72</v>
      </c>
      <c r="Y41">
        <v>0</v>
      </c>
    </row>
    <row r="42" spans="1:25" x14ac:dyDescent="0.25">
      <c r="A42" t="s">
        <v>25</v>
      </c>
      <c r="B42">
        <f>_xlfn.XLOOKUP(Table4[[#This Row],[country]],Table2[country],Table2[country_id],FALSE)</f>
        <v>1</v>
      </c>
      <c r="C42" t="s">
        <v>26</v>
      </c>
      <c r="D42">
        <v>2023</v>
      </c>
      <c r="E42">
        <f>_xlfn.XLOOKUP(Table4[[#This Row],[year]],Table1[year],Table1[year_id])</f>
        <v>14</v>
      </c>
      <c r="F42" t="s">
        <v>29</v>
      </c>
      <c r="G42" t="s">
        <v>28</v>
      </c>
      <c r="H42" cm="1">
        <f t="array" ref="H42">_xlfn.XLOOKUP(Table4[[#This Row],[vehicle_segment]]&amp;Table4[[#This Row],[powertrain_type]],Table3[vehicle_segment]&amp;Table3[powertrain_type],Table3[vehicle_id])</f>
        <v>2</v>
      </c>
      <c r="I42">
        <v>57799</v>
      </c>
      <c r="J42">
        <v>595430</v>
      </c>
      <c r="K42">
        <v>81195</v>
      </c>
      <c r="L42">
        <v>734424</v>
      </c>
      <c r="M42">
        <v>7.87</v>
      </c>
      <c r="N42">
        <v>6741</v>
      </c>
      <c r="O42">
        <v>25.8</v>
      </c>
      <c r="P42">
        <v>429</v>
      </c>
      <c r="Q42">
        <v>1.47</v>
      </c>
      <c r="R42">
        <v>0.23799999999999999</v>
      </c>
      <c r="S42">
        <v>62658</v>
      </c>
      <c r="T42">
        <v>86.2</v>
      </c>
      <c r="U42">
        <v>90.8</v>
      </c>
      <c r="V42">
        <v>1998</v>
      </c>
      <c r="W42">
        <v>54.7</v>
      </c>
      <c r="X42">
        <v>12.93</v>
      </c>
      <c r="Y42">
        <v>0</v>
      </c>
    </row>
    <row r="43" spans="1:25" x14ac:dyDescent="0.25">
      <c r="A43" t="s">
        <v>25</v>
      </c>
      <c r="B43">
        <f>_xlfn.XLOOKUP(Table4[[#This Row],[country]],Table2[country],Table2[country_id],FALSE)</f>
        <v>1</v>
      </c>
      <c r="C43" t="s">
        <v>26</v>
      </c>
      <c r="D43">
        <v>2023</v>
      </c>
      <c r="E43">
        <f>_xlfn.XLOOKUP(Table4[[#This Row],[year]],Table1[year],Table1[year_id])</f>
        <v>14</v>
      </c>
      <c r="F43" t="s">
        <v>30</v>
      </c>
      <c r="G43" t="s">
        <v>28</v>
      </c>
      <c r="H43" cm="1">
        <f t="array" ref="H43">_xlfn.XLOOKUP(Table4[[#This Row],[vehicle_segment]]&amp;Table4[[#This Row],[powertrain_type]],Table3[vehicle_segment]&amp;Table3[powertrain_type],Table3[vehicle_id])</f>
        <v>3</v>
      </c>
      <c r="I43">
        <v>35066</v>
      </c>
      <c r="J43">
        <v>250441</v>
      </c>
      <c r="K43">
        <v>21778</v>
      </c>
      <c r="L43">
        <v>307285</v>
      </c>
      <c r="M43">
        <v>11.41</v>
      </c>
      <c r="N43">
        <v>6741</v>
      </c>
      <c r="O43">
        <v>25.8</v>
      </c>
      <c r="P43">
        <v>429</v>
      </c>
      <c r="Q43">
        <v>1.47</v>
      </c>
      <c r="R43">
        <v>0.23799999999999999</v>
      </c>
      <c r="S43">
        <v>62658</v>
      </c>
      <c r="T43">
        <v>86.2</v>
      </c>
      <c r="U43">
        <v>90.8</v>
      </c>
      <c r="V43">
        <v>1998</v>
      </c>
      <c r="W43">
        <v>54.7</v>
      </c>
      <c r="X43">
        <v>11.04</v>
      </c>
      <c r="Y43">
        <v>0</v>
      </c>
    </row>
    <row r="44" spans="1:25" x14ac:dyDescent="0.25">
      <c r="A44" t="s">
        <v>25</v>
      </c>
      <c r="B44">
        <f>_xlfn.XLOOKUP(Table4[[#This Row],[country]],Table2[country],Table2[country_id],FALSE)</f>
        <v>1</v>
      </c>
      <c r="C44" t="s">
        <v>26</v>
      </c>
      <c r="D44">
        <v>2024</v>
      </c>
      <c r="E44">
        <f>_xlfn.XLOOKUP(Table4[[#This Row],[year]],Table1[year],Table1[year_id])</f>
        <v>15</v>
      </c>
      <c r="F44" t="s">
        <v>27</v>
      </c>
      <c r="G44" t="s">
        <v>28</v>
      </c>
      <c r="H44" cm="1">
        <f t="array" ref="H44">_xlfn.XLOOKUP(Table4[[#This Row],[vehicle_segment]]&amp;Table4[[#This Row],[powertrain_type]],Table3[vehicle_segment]&amp;Table3[powertrain_type],Table3[vehicle_id])</f>
        <v>1</v>
      </c>
      <c r="I44">
        <v>6184</v>
      </c>
      <c r="J44">
        <v>107417</v>
      </c>
      <c r="K44">
        <v>71611</v>
      </c>
      <c r="L44">
        <v>185212</v>
      </c>
      <c r="M44">
        <v>3.34</v>
      </c>
      <c r="N44">
        <v>10083</v>
      </c>
      <c r="O44">
        <v>27.4</v>
      </c>
      <c r="P44">
        <v>450</v>
      </c>
      <c r="Q44">
        <v>1.39</v>
      </c>
      <c r="R44">
        <v>0.247</v>
      </c>
      <c r="S44">
        <v>61661</v>
      </c>
      <c r="T44">
        <v>86.6</v>
      </c>
      <c r="U44">
        <v>88.1</v>
      </c>
      <c r="V44">
        <v>2027</v>
      </c>
      <c r="W44">
        <v>57.9</v>
      </c>
      <c r="X44">
        <v>21.9</v>
      </c>
      <c r="Y44">
        <v>0</v>
      </c>
    </row>
    <row r="45" spans="1:25" x14ac:dyDescent="0.25">
      <c r="A45" t="s">
        <v>25</v>
      </c>
      <c r="B45">
        <f>_xlfn.XLOOKUP(Table4[[#This Row],[country]],Table2[country],Table2[country_id],FALSE)</f>
        <v>1</v>
      </c>
      <c r="C45" t="s">
        <v>26</v>
      </c>
      <c r="D45">
        <v>2024</v>
      </c>
      <c r="E45">
        <f>_xlfn.XLOOKUP(Table4[[#This Row],[year]],Table1[year],Table1[year_id])</f>
        <v>15</v>
      </c>
      <c r="F45" t="s">
        <v>29</v>
      </c>
      <c r="G45" t="s">
        <v>28</v>
      </c>
      <c r="H45" cm="1">
        <f t="array" ref="H45">_xlfn.XLOOKUP(Table4[[#This Row],[vehicle_segment]]&amp;Table4[[#This Row],[powertrain_type]],Table3[vehicle_segment]&amp;Table3[powertrain_type],Table3[vehicle_id])</f>
        <v>2</v>
      </c>
      <c r="I45">
        <v>69778</v>
      </c>
      <c r="J45">
        <v>582248</v>
      </c>
      <c r="K45">
        <v>79397</v>
      </c>
      <c r="L45">
        <v>731423</v>
      </c>
      <c r="M45">
        <v>9.5399999999999991</v>
      </c>
      <c r="N45">
        <v>10083</v>
      </c>
      <c r="O45">
        <v>27.4</v>
      </c>
      <c r="P45">
        <v>450</v>
      </c>
      <c r="Q45">
        <v>1.39</v>
      </c>
      <c r="R45">
        <v>0.247</v>
      </c>
      <c r="S45">
        <v>61661</v>
      </c>
      <c r="T45">
        <v>86.6</v>
      </c>
      <c r="U45">
        <v>88.1</v>
      </c>
      <c r="V45">
        <v>2027</v>
      </c>
      <c r="W45">
        <v>57.9</v>
      </c>
      <c r="X45">
        <v>20.73</v>
      </c>
      <c r="Y45">
        <v>0</v>
      </c>
    </row>
    <row r="46" spans="1:25" x14ac:dyDescent="0.25">
      <c r="A46" t="s">
        <v>25</v>
      </c>
      <c r="B46">
        <f>_xlfn.XLOOKUP(Table4[[#This Row],[country]],Table2[country],Table2[country_id],FALSE)</f>
        <v>1</v>
      </c>
      <c r="C46" t="s">
        <v>26</v>
      </c>
      <c r="D46">
        <v>2024</v>
      </c>
      <c r="E46">
        <f>_xlfn.XLOOKUP(Table4[[#This Row],[year]],Table1[year],Table1[year_id])</f>
        <v>15</v>
      </c>
      <c r="F46" t="s">
        <v>30</v>
      </c>
      <c r="G46" t="s">
        <v>28</v>
      </c>
      <c r="H46" cm="1">
        <f t="array" ref="H46">_xlfn.XLOOKUP(Table4[[#This Row],[vehicle_segment]]&amp;Table4[[#This Row],[powertrain_type]],Table3[vehicle_segment]&amp;Table3[powertrain_type],Table3[vehicle_id])</f>
        <v>3</v>
      </c>
      <c r="I46">
        <v>42428</v>
      </c>
      <c r="J46">
        <v>243146</v>
      </c>
      <c r="K46">
        <v>21143</v>
      </c>
      <c r="L46">
        <v>306717</v>
      </c>
      <c r="M46">
        <v>13.83</v>
      </c>
      <c r="N46">
        <v>10083</v>
      </c>
      <c r="O46">
        <v>27.4</v>
      </c>
      <c r="P46">
        <v>450</v>
      </c>
      <c r="Q46">
        <v>1.39</v>
      </c>
      <c r="R46">
        <v>0.247</v>
      </c>
      <c r="S46">
        <v>61661</v>
      </c>
      <c r="T46">
        <v>86.6</v>
      </c>
      <c r="U46">
        <v>88.1</v>
      </c>
      <c r="V46">
        <v>2027</v>
      </c>
      <c r="W46">
        <v>57.9</v>
      </c>
      <c r="X46">
        <v>20.99</v>
      </c>
      <c r="Y46">
        <v>0</v>
      </c>
    </row>
    <row r="47" spans="1:25" x14ac:dyDescent="0.25">
      <c r="A47" t="s">
        <v>25</v>
      </c>
      <c r="B47">
        <f>_xlfn.XLOOKUP(Table4[[#This Row],[country]],Table2[country],Table2[country_id],FALSE)</f>
        <v>1</v>
      </c>
      <c r="C47" t="s">
        <v>26</v>
      </c>
      <c r="D47">
        <v>2025</v>
      </c>
      <c r="E47">
        <f>_xlfn.XLOOKUP(Table4[[#This Row],[year]],Table1[year],Table1[year_id])</f>
        <v>16</v>
      </c>
      <c r="F47" t="s">
        <v>27</v>
      </c>
      <c r="G47" t="s">
        <v>28</v>
      </c>
      <c r="H47" cm="1">
        <f t="array" ref="H47">_xlfn.XLOOKUP(Table4[[#This Row],[vehicle_segment]]&amp;Table4[[#This Row],[powertrain_type]],Table3[vehicle_segment]&amp;Table3[powertrain_type],Table3[vehicle_id])</f>
        <v>1</v>
      </c>
      <c r="I47">
        <v>7871</v>
      </c>
      <c r="J47">
        <v>106880</v>
      </c>
      <c r="K47">
        <v>71254</v>
      </c>
      <c r="L47">
        <v>186005</v>
      </c>
      <c r="M47">
        <v>4.2300000000000004</v>
      </c>
      <c r="N47">
        <v>13357</v>
      </c>
      <c r="O47">
        <v>31.2</v>
      </c>
      <c r="P47">
        <v>479</v>
      </c>
      <c r="Q47">
        <v>1.32</v>
      </c>
      <c r="R47">
        <v>0.25800000000000001</v>
      </c>
      <c r="S47">
        <v>62917</v>
      </c>
      <c r="T47">
        <v>87.1</v>
      </c>
      <c r="U47">
        <v>84.5</v>
      </c>
      <c r="V47">
        <v>2011</v>
      </c>
      <c r="W47">
        <v>61.6</v>
      </c>
      <c r="X47">
        <v>27.28</v>
      </c>
      <c r="Y47">
        <v>0</v>
      </c>
    </row>
    <row r="48" spans="1:25" x14ac:dyDescent="0.25">
      <c r="A48" t="s">
        <v>25</v>
      </c>
      <c r="B48">
        <f>_xlfn.XLOOKUP(Table4[[#This Row],[country]],Table2[country],Table2[country_id],FALSE)</f>
        <v>1</v>
      </c>
      <c r="C48" t="s">
        <v>26</v>
      </c>
      <c r="D48">
        <v>2025</v>
      </c>
      <c r="E48">
        <f>_xlfn.XLOOKUP(Table4[[#This Row],[year]],Table1[year],Table1[year_id])</f>
        <v>16</v>
      </c>
      <c r="F48" t="s">
        <v>29</v>
      </c>
      <c r="G48" t="s">
        <v>28</v>
      </c>
      <c r="H48" cm="1">
        <f t="array" ref="H48">_xlfn.XLOOKUP(Table4[[#This Row],[vehicle_segment]]&amp;Table4[[#This Row],[powertrain_type]],Table3[vehicle_segment]&amp;Table3[powertrain_type],Table3[vehicle_id])</f>
        <v>2</v>
      </c>
      <c r="I48">
        <v>90872</v>
      </c>
      <c r="J48">
        <v>581468</v>
      </c>
      <c r="K48">
        <v>79291</v>
      </c>
      <c r="L48">
        <v>751631</v>
      </c>
      <c r="M48">
        <v>12.09</v>
      </c>
      <c r="N48">
        <v>13357</v>
      </c>
      <c r="O48">
        <v>31.2</v>
      </c>
      <c r="P48">
        <v>479</v>
      </c>
      <c r="Q48">
        <v>1.32</v>
      </c>
      <c r="R48">
        <v>0.25800000000000001</v>
      </c>
      <c r="S48">
        <v>62917</v>
      </c>
      <c r="T48">
        <v>87.1</v>
      </c>
      <c r="U48">
        <v>84.5</v>
      </c>
      <c r="V48">
        <v>2011</v>
      </c>
      <c r="W48">
        <v>61.6</v>
      </c>
      <c r="X48">
        <v>30.23</v>
      </c>
      <c r="Y48">
        <v>0</v>
      </c>
    </row>
    <row r="49" spans="1:25" x14ac:dyDescent="0.25">
      <c r="A49" t="s">
        <v>25</v>
      </c>
      <c r="B49">
        <f>_xlfn.XLOOKUP(Table4[[#This Row],[country]],Table2[country],Table2[country_id],FALSE)</f>
        <v>1</v>
      </c>
      <c r="C49" t="s">
        <v>26</v>
      </c>
      <c r="D49">
        <v>2025</v>
      </c>
      <c r="E49">
        <f>_xlfn.XLOOKUP(Table4[[#This Row],[year]],Table1[year],Table1[year_id])</f>
        <v>16</v>
      </c>
      <c r="F49" t="s">
        <v>30</v>
      </c>
      <c r="G49" t="s">
        <v>28</v>
      </c>
      <c r="H49" cm="1">
        <f t="array" ref="H49">_xlfn.XLOOKUP(Table4[[#This Row],[vehicle_segment]]&amp;Table4[[#This Row],[powertrain_type]],Table3[vehicle_segment]&amp;Table3[powertrain_type],Table3[vehicle_id])</f>
        <v>3</v>
      </c>
      <c r="I49">
        <v>54396</v>
      </c>
      <c r="J49">
        <v>235423</v>
      </c>
      <c r="K49">
        <v>20472</v>
      </c>
      <c r="L49">
        <v>310291</v>
      </c>
      <c r="M49">
        <v>17.53</v>
      </c>
      <c r="N49">
        <v>13357</v>
      </c>
      <c r="O49">
        <v>31.2</v>
      </c>
      <c r="P49">
        <v>479</v>
      </c>
      <c r="Q49">
        <v>1.32</v>
      </c>
      <c r="R49">
        <v>0.25800000000000001</v>
      </c>
      <c r="S49">
        <v>62917</v>
      </c>
      <c r="T49">
        <v>87.1</v>
      </c>
      <c r="U49">
        <v>84.5</v>
      </c>
      <c r="V49">
        <v>2011</v>
      </c>
      <c r="W49">
        <v>61.6</v>
      </c>
      <c r="X49">
        <v>28.21</v>
      </c>
      <c r="Y49">
        <v>0</v>
      </c>
    </row>
    <row r="50" spans="1:25" x14ac:dyDescent="0.25">
      <c r="A50" t="s">
        <v>31</v>
      </c>
      <c r="B50">
        <f>_xlfn.XLOOKUP(Table4[[#This Row],[country]],Table2[country],Table2[country_id],FALSE)</f>
        <v>2</v>
      </c>
      <c r="C50" t="s">
        <v>32</v>
      </c>
      <c r="D50">
        <v>2010</v>
      </c>
      <c r="E50">
        <f>_xlfn.XLOOKUP(Table4[[#This Row],[year]],Table1[year],Table1[year_id])</f>
        <v>1</v>
      </c>
      <c r="F50" t="s">
        <v>27</v>
      </c>
      <c r="G50" t="s">
        <v>28</v>
      </c>
      <c r="H50" cm="1">
        <f t="array" ref="H50">_xlfn.XLOOKUP(Table4[[#This Row],[vehicle_segment]]&amp;Table4[[#This Row],[powertrain_type]],Table3[vehicle_segment]&amp;Table3[powertrain_type],Table3[vehicle_id])</f>
        <v>1</v>
      </c>
      <c r="I50">
        <v>7</v>
      </c>
      <c r="J50">
        <v>29372</v>
      </c>
      <c r="K50">
        <v>19584</v>
      </c>
      <c r="L50">
        <v>48963</v>
      </c>
      <c r="M50">
        <v>0.01</v>
      </c>
      <c r="N50">
        <v>106</v>
      </c>
      <c r="O50">
        <v>3.1</v>
      </c>
      <c r="P50">
        <v>123</v>
      </c>
      <c r="Q50">
        <v>1.25</v>
      </c>
      <c r="R50">
        <v>0.183</v>
      </c>
      <c r="S50">
        <v>47040</v>
      </c>
      <c r="T50">
        <v>57.6</v>
      </c>
      <c r="U50">
        <v>21.9</v>
      </c>
      <c r="V50">
        <v>0</v>
      </c>
      <c r="W50">
        <v>55.7</v>
      </c>
      <c r="X50">
        <v>0</v>
      </c>
      <c r="Y50">
        <v>0</v>
      </c>
    </row>
    <row r="51" spans="1:25" x14ac:dyDescent="0.25">
      <c r="A51" t="s">
        <v>31</v>
      </c>
      <c r="B51">
        <f>_xlfn.XLOOKUP(Table4[[#This Row],[country]],Table2[country],Table2[country_id],FALSE)</f>
        <v>2</v>
      </c>
      <c r="C51" t="s">
        <v>32</v>
      </c>
      <c r="D51">
        <v>2010</v>
      </c>
      <c r="E51">
        <f>_xlfn.XLOOKUP(Table4[[#This Row],[year]],Table1[year],Table1[year_id])</f>
        <v>1</v>
      </c>
      <c r="F51" t="s">
        <v>29</v>
      </c>
      <c r="G51" t="s">
        <v>28</v>
      </c>
      <c r="H51" cm="1">
        <f t="array" ref="H51">_xlfn.XLOOKUP(Table4[[#This Row],[vehicle_segment]]&amp;Table4[[#This Row],[powertrain_type]],Table3[vehicle_segment]&amp;Table3[powertrain_type],Table3[vehicle_id])</f>
        <v>2</v>
      </c>
      <c r="I51">
        <v>39</v>
      </c>
      <c r="J51">
        <v>172919</v>
      </c>
      <c r="K51">
        <v>23580</v>
      </c>
      <c r="L51">
        <v>196538</v>
      </c>
      <c r="M51">
        <v>0.02</v>
      </c>
      <c r="N51">
        <v>106</v>
      </c>
      <c r="O51">
        <v>3.1</v>
      </c>
      <c r="P51">
        <v>123</v>
      </c>
      <c r="Q51">
        <v>1.25</v>
      </c>
      <c r="R51">
        <v>0.183</v>
      </c>
      <c r="S51">
        <v>47040</v>
      </c>
      <c r="T51">
        <v>57.6</v>
      </c>
      <c r="U51">
        <v>21.9</v>
      </c>
      <c r="V51">
        <v>0</v>
      </c>
      <c r="W51">
        <v>55.7</v>
      </c>
      <c r="X51">
        <v>0</v>
      </c>
      <c r="Y51">
        <v>0</v>
      </c>
    </row>
    <row r="52" spans="1:25" x14ac:dyDescent="0.25">
      <c r="A52" t="s">
        <v>31</v>
      </c>
      <c r="B52">
        <f>_xlfn.XLOOKUP(Table4[[#This Row],[country]],Table2[country],Table2[country_id],FALSE)</f>
        <v>2</v>
      </c>
      <c r="C52" t="s">
        <v>32</v>
      </c>
      <c r="D52">
        <v>2010</v>
      </c>
      <c r="E52">
        <f>_xlfn.XLOOKUP(Table4[[#This Row],[year]],Table1[year],Table1[year_id])</f>
        <v>1</v>
      </c>
      <c r="F52" t="s">
        <v>30</v>
      </c>
      <c r="G52" t="s">
        <v>28</v>
      </c>
      <c r="H52" cm="1">
        <f t="array" ref="H52">_xlfn.XLOOKUP(Table4[[#This Row],[vehicle_segment]]&amp;Table4[[#This Row],[powertrain_type]],Table3[vehicle_segment]&amp;Table3[powertrain_type],Table3[vehicle_id])</f>
        <v>3</v>
      </c>
      <c r="I52">
        <v>23</v>
      </c>
      <c r="J52">
        <v>74257</v>
      </c>
      <c r="K52">
        <v>6457</v>
      </c>
      <c r="L52">
        <v>80737</v>
      </c>
      <c r="M52">
        <v>0.03</v>
      </c>
      <c r="N52">
        <v>106</v>
      </c>
      <c r="O52">
        <v>3.1</v>
      </c>
      <c r="P52">
        <v>123</v>
      </c>
      <c r="Q52">
        <v>1.25</v>
      </c>
      <c r="R52">
        <v>0.183</v>
      </c>
      <c r="S52">
        <v>47040</v>
      </c>
      <c r="T52">
        <v>57.6</v>
      </c>
      <c r="U52">
        <v>21.9</v>
      </c>
      <c r="V52">
        <v>0</v>
      </c>
      <c r="W52">
        <v>55.7</v>
      </c>
      <c r="X52">
        <v>0</v>
      </c>
      <c r="Y52">
        <v>0</v>
      </c>
    </row>
    <row r="53" spans="1:25" x14ac:dyDescent="0.25">
      <c r="A53" t="s">
        <v>31</v>
      </c>
      <c r="B53">
        <f>_xlfn.XLOOKUP(Table4[[#This Row],[country]],Table2[country],Table2[country_id],FALSE)</f>
        <v>2</v>
      </c>
      <c r="C53" t="s">
        <v>32</v>
      </c>
      <c r="D53">
        <v>2011</v>
      </c>
      <c r="E53">
        <f>_xlfn.XLOOKUP(Table4[[#This Row],[year]],Table1[year],Table1[year_id])</f>
        <v>2</v>
      </c>
      <c r="F53" t="s">
        <v>27</v>
      </c>
      <c r="G53" t="s">
        <v>28</v>
      </c>
      <c r="H53" cm="1">
        <f t="array" ref="H53">_xlfn.XLOOKUP(Table4[[#This Row],[vehicle_segment]]&amp;Table4[[#This Row],[powertrain_type]],Table3[vehicle_segment]&amp;Table3[powertrain_type],Table3[vehicle_id])</f>
        <v>1</v>
      </c>
      <c r="I53">
        <v>7</v>
      </c>
      <c r="J53">
        <v>29600</v>
      </c>
      <c r="K53">
        <v>19734</v>
      </c>
      <c r="L53">
        <v>49341</v>
      </c>
      <c r="M53">
        <v>0.01</v>
      </c>
      <c r="N53">
        <v>245</v>
      </c>
      <c r="O53">
        <v>4.3</v>
      </c>
      <c r="P53">
        <v>132</v>
      </c>
      <c r="Q53">
        <v>1.2230000000000001</v>
      </c>
      <c r="R53">
        <v>0.18099999999999999</v>
      </c>
      <c r="S53">
        <v>46642</v>
      </c>
      <c r="T53">
        <v>57.6</v>
      </c>
      <c r="U53">
        <v>22.6</v>
      </c>
      <c r="V53">
        <v>570</v>
      </c>
      <c r="W53">
        <v>57.3</v>
      </c>
      <c r="X53">
        <v>0</v>
      </c>
      <c r="Y53">
        <v>0</v>
      </c>
    </row>
    <row r="54" spans="1:25" x14ac:dyDescent="0.25">
      <c r="A54" t="s">
        <v>31</v>
      </c>
      <c r="B54">
        <f>_xlfn.XLOOKUP(Table4[[#This Row],[country]],Table2[country],Table2[country_id],FALSE)</f>
        <v>2</v>
      </c>
      <c r="C54" t="s">
        <v>32</v>
      </c>
      <c r="D54">
        <v>2011</v>
      </c>
      <c r="E54">
        <f>_xlfn.XLOOKUP(Table4[[#This Row],[year]],Table1[year],Table1[year_id])</f>
        <v>2</v>
      </c>
      <c r="F54" t="s">
        <v>29</v>
      </c>
      <c r="G54" t="s">
        <v>28</v>
      </c>
      <c r="H54" cm="1">
        <f t="array" ref="H54">_xlfn.XLOOKUP(Table4[[#This Row],[vehicle_segment]]&amp;Table4[[#This Row],[powertrain_type]],Table3[vehicle_segment]&amp;Table3[powertrain_type],Table3[vehicle_id])</f>
        <v>2</v>
      </c>
      <c r="I54">
        <v>77</v>
      </c>
      <c r="J54">
        <v>169880</v>
      </c>
      <c r="K54">
        <v>23165</v>
      </c>
      <c r="L54">
        <v>193122</v>
      </c>
      <c r="M54">
        <v>0.04</v>
      </c>
      <c r="N54">
        <v>245</v>
      </c>
      <c r="O54">
        <v>4.3</v>
      </c>
      <c r="P54">
        <v>132</v>
      </c>
      <c r="Q54">
        <v>1.2230000000000001</v>
      </c>
      <c r="R54">
        <v>0.18099999999999999</v>
      </c>
      <c r="S54">
        <v>46642</v>
      </c>
      <c r="T54">
        <v>57.6</v>
      </c>
      <c r="U54">
        <v>22.6</v>
      </c>
      <c r="V54">
        <v>570</v>
      </c>
      <c r="W54">
        <v>57.3</v>
      </c>
      <c r="X54">
        <v>97.44</v>
      </c>
      <c r="Y54">
        <v>0</v>
      </c>
    </row>
    <row r="55" spans="1:25" x14ac:dyDescent="0.25">
      <c r="A55" t="s">
        <v>31</v>
      </c>
      <c r="B55">
        <f>_xlfn.XLOOKUP(Table4[[#This Row],[country]],Table2[country],Table2[country_id],FALSE)</f>
        <v>2</v>
      </c>
      <c r="C55" t="s">
        <v>32</v>
      </c>
      <c r="D55">
        <v>2011</v>
      </c>
      <c r="E55">
        <f>_xlfn.XLOOKUP(Table4[[#This Row],[year]],Table1[year],Table1[year_id])</f>
        <v>2</v>
      </c>
      <c r="F55" t="s">
        <v>30</v>
      </c>
      <c r="G55" t="s">
        <v>28</v>
      </c>
      <c r="H55" cm="1">
        <f t="array" ref="H55">_xlfn.XLOOKUP(Table4[[#This Row],[vehicle_segment]]&amp;Table4[[#This Row],[powertrain_type]],Table3[vehicle_segment]&amp;Table3[powertrain_type],Table3[vehicle_id])</f>
        <v>3</v>
      </c>
      <c r="I55">
        <v>47</v>
      </c>
      <c r="J55">
        <v>74737</v>
      </c>
      <c r="K55">
        <v>6499</v>
      </c>
      <c r="L55">
        <v>81283</v>
      </c>
      <c r="M55">
        <v>0.06</v>
      </c>
      <c r="N55">
        <v>245</v>
      </c>
      <c r="O55">
        <v>4.3</v>
      </c>
      <c r="P55">
        <v>132</v>
      </c>
      <c r="Q55">
        <v>1.2230000000000001</v>
      </c>
      <c r="R55">
        <v>0.18099999999999999</v>
      </c>
      <c r="S55">
        <v>46642</v>
      </c>
      <c r="T55">
        <v>57.6</v>
      </c>
      <c r="U55">
        <v>22.6</v>
      </c>
      <c r="V55">
        <v>570</v>
      </c>
      <c r="W55">
        <v>57.3</v>
      </c>
      <c r="X55">
        <v>104.35</v>
      </c>
      <c r="Y55">
        <v>0</v>
      </c>
    </row>
    <row r="56" spans="1:25" x14ac:dyDescent="0.25">
      <c r="A56" t="s">
        <v>31</v>
      </c>
      <c r="B56">
        <f>_xlfn.XLOOKUP(Table4[[#This Row],[country]],Table2[country],Table2[country_id],FALSE)</f>
        <v>2</v>
      </c>
      <c r="C56" t="s">
        <v>32</v>
      </c>
      <c r="D56">
        <v>2012</v>
      </c>
      <c r="E56">
        <f>_xlfn.XLOOKUP(Table4[[#This Row],[year]],Table1[year],Table1[year_id])</f>
        <v>3</v>
      </c>
      <c r="F56" t="s">
        <v>27</v>
      </c>
      <c r="G56" t="s">
        <v>28</v>
      </c>
      <c r="H56" cm="1">
        <f t="array" ref="H56">_xlfn.XLOOKUP(Table4[[#This Row],[vehicle_segment]]&amp;Table4[[#This Row],[powertrain_type]],Table3[vehicle_segment]&amp;Table3[powertrain_type],Table3[vehicle_id])</f>
        <v>1</v>
      </c>
      <c r="I56">
        <v>12</v>
      </c>
      <c r="J56">
        <v>28680</v>
      </c>
      <c r="K56">
        <v>19120</v>
      </c>
      <c r="L56">
        <v>47812</v>
      </c>
      <c r="M56">
        <v>0.03</v>
      </c>
      <c r="N56">
        <v>399</v>
      </c>
      <c r="O56">
        <v>6</v>
      </c>
      <c r="P56">
        <v>136</v>
      </c>
      <c r="Q56">
        <v>1.2070000000000001</v>
      </c>
      <c r="R56">
        <v>0.185</v>
      </c>
      <c r="S56">
        <v>45538</v>
      </c>
      <c r="T56">
        <v>57.6</v>
      </c>
      <c r="U56">
        <v>23.1</v>
      </c>
      <c r="V56">
        <v>1145</v>
      </c>
      <c r="W56">
        <v>59</v>
      </c>
      <c r="X56">
        <v>30.93</v>
      </c>
      <c r="Y56">
        <v>0</v>
      </c>
    </row>
    <row r="57" spans="1:25" x14ac:dyDescent="0.25">
      <c r="A57" t="s">
        <v>31</v>
      </c>
      <c r="B57">
        <f>_xlfn.XLOOKUP(Table4[[#This Row],[country]],Table2[country],Table2[country_id],FALSE)</f>
        <v>2</v>
      </c>
      <c r="C57" t="s">
        <v>32</v>
      </c>
      <c r="D57">
        <v>2012</v>
      </c>
      <c r="E57">
        <f>_xlfn.XLOOKUP(Table4[[#This Row],[year]],Table1[year],Table1[year_id])</f>
        <v>3</v>
      </c>
      <c r="F57" t="s">
        <v>29</v>
      </c>
      <c r="G57" t="s">
        <v>28</v>
      </c>
      <c r="H57" cm="1">
        <f t="array" ref="H57">_xlfn.XLOOKUP(Table4[[#This Row],[vehicle_segment]]&amp;Table4[[#This Row],[powertrain_type]],Table3[vehicle_segment]&amp;Table3[powertrain_type],Table3[vehicle_id])</f>
        <v>2</v>
      </c>
      <c r="I57">
        <v>135</v>
      </c>
      <c r="J57">
        <v>169419</v>
      </c>
      <c r="K57">
        <v>23103</v>
      </c>
      <c r="L57">
        <v>192657</v>
      </c>
      <c r="M57">
        <v>7.0000000000000007E-2</v>
      </c>
      <c r="N57">
        <v>399</v>
      </c>
      <c r="O57">
        <v>6</v>
      </c>
      <c r="P57">
        <v>136</v>
      </c>
      <c r="Q57">
        <v>1.2070000000000001</v>
      </c>
      <c r="R57">
        <v>0.185</v>
      </c>
      <c r="S57">
        <v>45538</v>
      </c>
      <c r="T57">
        <v>57.6</v>
      </c>
      <c r="U57">
        <v>23.1</v>
      </c>
      <c r="V57">
        <v>1145</v>
      </c>
      <c r="W57">
        <v>59</v>
      </c>
      <c r="X57">
        <v>86.05</v>
      </c>
      <c r="Y57">
        <v>0</v>
      </c>
    </row>
    <row r="58" spans="1:25" x14ac:dyDescent="0.25">
      <c r="A58" t="s">
        <v>31</v>
      </c>
      <c r="B58">
        <f>_xlfn.XLOOKUP(Table4[[#This Row],[country]],Table2[country],Table2[country_id],FALSE)</f>
        <v>2</v>
      </c>
      <c r="C58" t="s">
        <v>32</v>
      </c>
      <c r="D58">
        <v>2012</v>
      </c>
      <c r="E58">
        <f>_xlfn.XLOOKUP(Table4[[#This Row],[year]],Table1[year],Table1[year_id])</f>
        <v>3</v>
      </c>
      <c r="F58" t="s">
        <v>30</v>
      </c>
      <c r="G58" t="s">
        <v>28</v>
      </c>
      <c r="H58" cm="1">
        <f t="array" ref="H58">_xlfn.XLOOKUP(Table4[[#This Row],[vehicle_segment]]&amp;Table4[[#This Row],[powertrain_type]],Table3[vehicle_segment]&amp;Table3[powertrain_type],Table3[vehicle_id])</f>
        <v>3</v>
      </c>
      <c r="I58">
        <v>78</v>
      </c>
      <c r="J58">
        <v>70738</v>
      </c>
      <c r="K58">
        <v>6151</v>
      </c>
      <c r="L58">
        <v>76967</v>
      </c>
      <c r="M58">
        <v>0.1</v>
      </c>
      <c r="N58">
        <v>399</v>
      </c>
      <c r="O58">
        <v>6</v>
      </c>
      <c r="P58">
        <v>136</v>
      </c>
      <c r="Q58">
        <v>1.2070000000000001</v>
      </c>
      <c r="R58">
        <v>0.185</v>
      </c>
      <c r="S58">
        <v>45538</v>
      </c>
      <c r="T58">
        <v>57.6</v>
      </c>
      <c r="U58">
        <v>23.1</v>
      </c>
      <c r="V58">
        <v>1145</v>
      </c>
      <c r="W58">
        <v>59</v>
      </c>
      <c r="X58">
        <v>84.15</v>
      </c>
      <c r="Y58">
        <v>0</v>
      </c>
    </row>
    <row r="59" spans="1:25" x14ac:dyDescent="0.25">
      <c r="A59" t="s">
        <v>31</v>
      </c>
      <c r="B59">
        <f>_xlfn.XLOOKUP(Table4[[#This Row],[country]],Table2[country],Table2[country_id],FALSE)</f>
        <v>2</v>
      </c>
      <c r="C59" t="s">
        <v>32</v>
      </c>
      <c r="D59">
        <v>2013</v>
      </c>
      <c r="E59">
        <f>_xlfn.XLOOKUP(Table4[[#This Row],[year]],Table1[year],Table1[year_id])</f>
        <v>4</v>
      </c>
      <c r="F59" t="s">
        <v>27</v>
      </c>
      <c r="G59" t="s">
        <v>28</v>
      </c>
      <c r="H59" cm="1">
        <f t="array" ref="H59">_xlfn.XLOOKUP(Table4[[#This Row],[vehicle_segment]]&amp;Table4[[#This Row],[powertrain_type]],Table3[vehicle_segment]&amp;Table3[powertrain_type],Table3[vehicle_id])</f>
        <v>1</v>
      </c>
      <c r="I59">
        <v>16</v>
      </c>
      <c r="J59">
        <v>27821</v>
      </c>
      <c r="K59">
        <v>18547</v>
      </c>
      <c r="L59">
        <v>46384</v>
      </c>
      <c r="M59">
        <v>0.03</v>
      </c>
      <c r="N59">
        <v>515</v>
      </c>
      <c r="O59">
        <v>7</v>
      </c>
      <c r="P59">
        <v>145</v>
      </c>
      <c r="Q59">
        <v>1.2</v>
      </c>
      <c r="R59">
        <v>0.192</v>
      </c>
      <c r="S59">
        <v>44093</v>
      </c>
      <c r="T59">
        <v>58</v>
      </c>
      <c r="U59">
        <v>23.4</v>
      </c>
      <c r="V59">
        <v>1707</v>
      </c>
      <c r="W59">
        <v>61.1</v>
      </c>
      <c r="X59">
        <v>31.73</v>
      </c>
      <c r="Y59">
        <v>0</v>
      </c>
    </row>
    <row r="60" spans="1:25" x14ac:dyDescent="0.25">
      <c r="A60" t="s">
        <v>31</v>
      </c>
      <c r="B60">
        <f>_xlfn.XLOOKUP(Table4[[#This Row],[country]],Table2[country],Table2[country_id],FALSE)</f>
        <v>2</v>
      </c>
      <c r="C60" t="s">
        <v>32</v>
      </c>
      <c r="D60">
        <v>2013</v>
      </c>
      <c r="E60">
        <f>_xlfn.XLOOKUP(Table4[[#This Row],[year]],Table1[year],Table1[year_id])</f>
        <v>4</v>
      </c>
      <c r="F60" t="s">
        <v>29</v>
      </c>
      <c r="G60" t="s">
        <v>28</v>
      </c>
      <c r="H60" cm="1">
        <f t="array" ref="H60">_xlfn.XLOOKUP(Table4[[#This Row],[vehicle_segment]]&amp;Table4[[#This Row],[powertrain_type]],Table3[vehicle_segment]&amp;Table3[powertrain_type],Table3[vehicle_id])</f>
        <v>2</v>
      </c>
      <c r="I60">
        <v>189</v>
      </c>
      <c r="J60">
        <v>165919</v>
      </c>
      <c r="K60">
        <v>22625</v>
      </c>
      <c r="L60">
        <v>188733</v>
      </c>
      <c r="M60">
        <v>0.1</v>
      </c>
      <c r="N60">
        <v>515</v>
      </c>
      <c r="O60">
        <v>7</v>
      </c>
      <c r="P60">
        <v>145</v>
      </c>
      <c r="Q60">
        <v>1.2</v>
      </c>
      <c r="R60">
        <v>0.192</v>
      </c>
      <c r="S60">
        <v>44093</v>
      </c>
      <c r="T60">
        <v>58</v>
      </c>
      <c r="U60">
        <v>23.4</v>
      </c>
      <c r="V60">
        <v>1707</v>
      </c>
      <c r="W60">
        <v>61.1</v>
      </c>
      <c r="X60">
        <v>40</v>
      </c>
      <c r="Y60">
        <v>0</v>
      </c>
    </row>
    <row r="61" spans="1:25" x14ac:dyDescent="0.25">
      <c r="A61" t="s">
        <v>31</v>
      </c>
      <c r="B61">
        <f>_xlfn.XLOOKUP(Table4[[#This Row],[country]],Table2[country],Table2[country_id],FALSE)</f>
        <v>2</v>
      </c>
      <c r="C61" t="s">
        <v>32</v>
      </c>
      <c r="D61">
        <v>2013</v>
      </c>
      <c r="E61">
        <f>_xlfn.XLOOKUP(Table4[[#This Row],[year]],Table1[year],Table1[year_id])</f>
        <v>4</v>
      </c>
      <c r="F61" t="s">
        <v>30</v>
      </c>
      <c r="G61" t="s">
        <v>28</v>
      </c>
      <c r="H61" cm="1">
        <f t="array" ref="H61">_xlfn.XLOOKUP(Table4[[#This Row],[vehicle_segment]]&amp;Table4[[#This Row],[powertrain_type]],Table3[vehicle_segment]&amp;Table3[powertrain_type],Table3[vehicle_id])</f>
        <v>3</v>
      </c>
      <c r="I61">
        <v>114</v>
      </c>
      <c r="J61">
        <v>72526</v>
      </c>
      <c r="K61">
        <v>6307</v>
      </c>
      <c r="L61">
        <v>78947</v>
      </c>
      <c r="M61">
        <v>0.14000000000000001</v>
      </c>
      <c r="N61">
        <v>515</v>
      </c>
      <c r="O61">
        <v>7</v>
      </c>
      <c r="P61">
        <v>145</v>
      </c>
      <c r="Q61">
        <v>1.2</v>
      </c>
      <c r="R61">
        <v>0.192</v>
      </c>
      <c r="S61">
        <v>44093</v>
      </c>
      <c r="T61">
        <v>58</v>
      </c>
      <c r="U61">
        <v>23.4</v>
      </c>
      <c r="V61">
        <v>1707</v>
      </c>
      <c r="W61">
        <v>61.1</v>
      </c>
      <c r="X61">
        <v>70.5</v>
      </c>
      <c r="Y61">
        <v>0</v>
      </c>
    </row>
    <row r="62" spans="1:25" x14ac:dyDescent="0.25">
      <c r="A62" t="s">
        <v>31</v>
      </c>
      <c r="B62">
        <f>_xlfn.XLOOKUP(Table4[[#This Row],[country]],Table2[country],Table2[country_id],FALSE)</f>
        <v>2</v>
      </c>
      <c r="C62" t="s">
        <v>32</v>
      </c>
      <c r="D62">
        <v>2014</v>
      </c>
      <c r="E62">
        <f>_xlfn.XLOOKUP(Table4[[#This Row],[year]],Table1[year],Table1[year_id])</f>
        <v>5</v>
      </c>
      <c r="F62" t="s">
        <v>27</v>
      </c>
      <c r="G62" t="s">
        <v>28</v>
      </c>
      <c r="H62" cm="1">
        <f t="array" ref="H62">_xlfn.XLOOKUP(Table4[[#This Row],[vehicle_segment]]&amp;Table4[[#This Row],[powertrain_type]],Table3[vehicle_segment]&amp;Table3[powertrain_type],Table3[vehicle_id])</f>
        <v>1</v>
      </c>
      <c r="I62">
        <v>47</v>
      </c>
      <c r="J62">
        <v>27797</v>
      </c>
      <c r="K62">
        <v>18531</v>
      </c>
      <c r="L62">
        <v>46375</v>
      </c>
      <c r="M62">
        <v>0.1</v>
      </c>
      <c r="N62">
        <v>1521</v>
      </c>
      <c r="O62">
        <v>8.6999999999999993</v>
      </c>
      <c r="P62">
        <v>155</v>
      </c>
      <c r="Q62">
        <v>1.1970000000000001</v>
      </c>
      <c r="R62">
        <v>0.19600000000000001</v>
      </c>
      <c r="S62">
        <v>44555</v>
      </c>
      <c r="T62">
        <v>57.6</v>
      </c>
      <c r="U62">
        <v>23.2</v>
      </c>
      <c r="V62">
        <v>2323</v>
      </c>
      <c r="W62">
        <v>62.8</v>
      </c>
      <c r="X62">
        <v>88.65</v>
      </c>
      <c r="Y62">
        <v>0</v>
      </c>
    </row>
    <row r="63" spans="1:25" x14ac:dyDescent="0.25">
      <c r="A63" t="s">
        <v>31</v>
      </c>
      <c r="B63">
        <f>_xlfn.XLOOKUP(Table4[[#This Row],[country]],Table2[country],Table2[country_id],FALSE)</f>
        <v>2</v>
      </c>
      <c r="C63" t="s">
        <v>32</v>
      </c>
      <c r="D63">
        <v>2014</v>
      </c>
      <c r="E63">
        <f>_xlfn.XLOOKUP(Table4[[#This Row],[year]],Table1[year],Table1[year_id])</f>
        <v>5</v>
      </c>
      <c r="F63" t="s">
        <v>29</v>
      </c>
      <c r="G63" t="s">
        <v>28</v>
      </c>
      <c r="H63" cm="1">
        <f t="array" ref="H63">_xlfn.XLOOKUP(Table4[[#This Row],[vehicle_segment]]&amp;Table4[[#This Row],[powertrain_type]],Table3[vehicle_segment]&amp;Table3[powertrain_type],Table3[vehicle_id])</f>
        <v>2</v>
      </c>
      <c r="I63">
        <v>543</v>
      </c>
      <c r="J63">
        <v>164197</v>
      </c>
      <c r="K63">
        <v>22391</v>
      </c>
      <c r="L63">
        <v>187131</v>
      </c>
      <c r="M63">
        <v>0.28999999999999998</v>
      </c>
      <c r="N63">
        <v>1521</v>
      </c>
      <c r="O63">
        <v>8.6999999999999993</v>
      </c>
      <c r="P63">
        <v>155</v>
      </c>
      <c r="Q63">
        <v>1.1970000000000001</v>
      </c>
      <c r="R63">
        <v>0.19600000000000001</v>
      </c>
      <c r="S63">
        <v>44555</v>
      </c>
      <c r="T63">
        <v>57.6</v>
      </c>
      <c r="U63">
        <v>23.2</v>
      </c>
      <c r="V63">
        <v>2323</v>
      </c>
      <c r="W63">
        <v>62.8</v>
      </c>
      <c r="X63">
        <v>187.3</v>
      </c>
      <c r="Y63">
        <v>0</v>
      </c>
    </row>
    <row r="64" spans="1:25" x14ac:dyDescent="0.25">
      <c r="A64" t="s">
        <v>31</v>
      </c>
      <c r="B64">
        <f>_xlfn.XLOOKUP(Table4[[#This Row],[country]],Table2[country],Table2[country_id],FALSE)</f>
        <v>2</v>
      </c>
      <c r="C64" t="s">
        <v>32</v>
      </c>
      <c r="D64">
        <v>2014</v>
      </c>
      <c r="E64">
        <f>_xlfn.XLOOKUP(Table4[[#This Row],[year]],Table1[year],Table1[year_id])</f>
        <v>5</v>
      </c>
      <c r="F64" t="s">
        <v>30</v>
      </c>
      <c r="G64" t="s">
        <v>28</v>
      </c>
      <c r="H64" cm="1">
        <f t="array" ref="H64">_xlfn.XLOOKUP(Table4[[#This Row],[vehicle_segment]]&amp;Table4[[#This Row],[powertrain_type]],Table3[vehicle_segment]&amp;Table3[powertrain_type],Table3[vehicle_id])</f>
        <v>3</v>
      </c>
      <c r="I64">
        <v>332</v>
      </c>
      <c r="J64">
        <v>72229</v>
      </c>
      <c r="K64">
        <v>6281</v>
      </c>
      <c r="L64">
        <v>78842</v>
      </c>
      <c r="M64">
        <v>0.42</v>
      </c>
      <c r="N64">
        <v>1521</v>
      </c>
      <c r="O64">
        <v>8.6999999999999993</v>
      </c>
      <c r="P64">
        <v>155</v>
      </c>
      <c r="Q64">
        <v>1.1970000000000001</v>
      </c>
      <c r="R64">
        <v>0.19600000000000001</v>
      </c>
      <c r="S64">
        <v>44555</v>
      </c>
      <c r="T64">
        <v>57.6</v>
      </c>
      <c r="U64">
        <v>23.2</v>
      </c>
      <c r="V64">
        <v>2323</v>
      </c>
      <c r="W64">
        <v>62.8</v>
      </c>
      <c r="X64">
        <v>191.23</v>
      </c>
      <c r="Y64">
        <v>0</v>
      </c>
    </row>
    <row r="65" spans="1:25" x14ac:dyDescent="0.25">
      <c r="A65" t="s">
        <v>31</v>
      </c>
      <c r="B65">
        <f>_xlfn.XLOOKUP(Table4[[#This Row],[country]],Table2[country],Table2[country_id],FALSE)</f>
        <v>2</v>
      </c>
      <c r="C65" t="s">
        <v>32</v>
      </c>
      <c r="D65">
        <v>2015</v>
      </c>
      <c r="E65">
        <f>_xlfn.XLOOKUP(Table4[[#This Row],[year]],Table1[year],Table1[year_id])</f>
        <v>6</v>
      </c>
      <c r="F65" t="s">
        <v>27</v>
      </c>
      <c r="G65" t="s">
        <v>28</v>
      </c>
      <c r="H65" cm="1">
        <f t="array" ref="H65">_xlfn.XLOOKUP(Table4[[#This Row],[vehicle_segment]]&amp;Table4[[#This Row],[powertrain_type]],Table3[vehicle_segment]&amp;Table3[powertrain_type],Table3[vehicle_id])</f>
        <v>1</v>
      </c>
      <c r="I65">
        <v>76</v>
      </c>
      <c r="J65">
        <v>29553</v>
      </c>
      <c r="K65">
        <v>19702</v>
      </c>
      <c r="L65">
        <v>49331</v>
      </c>
      <c r="M65">
        <v>0.15</v>
      </c>
      <c r="N65">
        <v>2292</v>
      </c>
      <c r="O65">
        <v>10.3</v>
      </c>
      <c r="P65">
        <v>171</v>
      </c>
      <c r="Q65">
        <v>1.1930000000000001</v>
      </c>
      <c r="R65">
        <v>0.20200000000000001</v>
      </c>
      <c r="S65">
        <v>43327</v>
      </c>
      <c r="T65">
        <v>57.6</v>
      </c>
      <c r="U65">
        <v>23.2</v>
      </c>
      <c r="V65">
        <v>2801</v>
      </c>
      <c r="W65">
        <v>64.400000000000006</v>
      </c>
      <c r="X65">
        <v>85.02</v>
      </c>
      <c r="Y65">
        <v>0</v>
      </c>
    </row>
    <row r="66" spans="1:25" x14ac:dyDescent="0.25">
      <c r="A66" t="s">
        <v>31</v>
      </c>
      <c r="B66">
        <f>_xlfn.XLOOKUP(Table4[[#This Row],[country]],Table2[country],Table2[country_id],FALSE)</f>
        <v>2</v>
      </c>
      <c r="C66" t="s">
        <v>32</v>
      </c>
      <c r="D66">
        <v>2015</v>
      </c>
      <c r="E66">
        <f>_xlfn.XLOOKUP(Table4[[#This Row],[year]],Table1[year],Table1[year_id])</f>
        <v>6</v>
      </c>
      <c r="F66" t="s">
        <v>29</v>
      </c>
      <c r="G66" t="s">
        <v>28</v>
      </c>
      <c r="H66" cm="1">
        <f t="array" ref="H66">_xlfn.XLOOKUP(Table4[[#This Row],[vehicle_segment]]&amp;Table4[[#This Row],[powertrain_type]],Table3[vehicle_segment]&amp;Table3[powertrain_type],Table3[vehicle_id])</f>
        <v>2</v>
      </c>
      <c r="I66">
        <v>861</v>
      </c>
      <c r="J66">
        <v>171452</v>
      </c>
      <c r="K66">
        <v>23380</v>
      </c>
      <c r="L66">
        <v>195693</v>
      </c>
      <c r="M66">
        <v>0.44</v>
      </c>
      <c r="N66">
        <v>2292</v>
      </c>
      <c r="O66">
        <v>10.3</v>
      </c>
      <c r="P66">
        <v>171</v>
      </c>
      <c r="Q66">
        <v>1.1930000000000001</v>
      </c>
      <c r="R66">
        <v>0.20200000000000001</v>
      </c>
      <c r="S66">
        <v>43327</v>
      </c>
      <c r="T66">
        <v>57.6</v>
      </c>
      <c r="U66">
        <v>23.2</v>
      </c>
      <c r="V66">
        <v>2801</v>
      </c>
      <c r="W66">
        <v>64.400000000000006</v>
      </c>
      <c r="X66">
        <v>58.56</v>
      </c>
      <c r="Y66">
        <v>0</v>
      </c>
    </row>
    <row r="67" spans="1:25" x14ac:dyDescent="0.25">
      <c r="A67" t="s">
        <v>31</v>
      </c>
      <c r="B67">
        <f>_xlfn.XLOOKUP(Table4[[#This Row],[country]],Table2[country],Table2[country_id],FALSE)</f>
        <v>2</v>
      </c>
      <c r="C67" t="s">
        <v>32</v>
      </c>
      <c r="D67">
        <v>2015</v>
      </c>
      <c r="E67">
        <f>_xlfn.XLOOKUP(Table4[[#This Row],[year]],Table1[year],Table1[year_id])</f>
        <v>6</v>
      </c>
      <c r="F67" t="s">
        <v>30</v>
      </c>
      <c r="G67" t="s">
        <v>28</v>
      </c>
      <c r="H67" cm="1">
        <f t="array" ref="H67">_xlfn.XLOOKUP(Table4[[#This Row],[vehicle_segment]]&amp;Table4[[#This Row],[powertrain_type]],Table3[vehicle_segment]&amp;Table3[powertrain_type],Table3[vehicle_id])</f>
        <v>3</v>
      </c>
      <c r="I67">
        <v>528</v>
      </c>
      <c r="J67">
        <v>75598</v>
      </c>
      <c r="K67">
        <v>6574</v>
      </c>
      <c r="L67">
        <v>82700</v>
      </c>
      <c r="M67">
        <v>0.64</v>
      </c>
      <c r="N67">
        <v>2292</v>
      </c>
      <c r="O67">
        <v>10.3</v>
      </c>
      <c r="P67">
        <v>171</v>
      </c>
      <c r="Q67">
        <v>1.1930000000000001</v>
      </c>
      <c r="R67">
        <v>0.20200000000000001</v>
      </c>
      <c r="S67">
        <v>43327</v>
      </c>
      <c r="T67">
        <v>57.6</v>
      </c>
      <c r="U67">
        <v>23.2</v>
      </c>
      <c r="V67">
        <v>2801</v>
      </c>
      <c r="W67">
        <v>64.400000000000006</v>
      </c>
      <c r="X67">
        <v>59.04</v>
      </c>
      <c r="Y67">
        <v>0</v>
      </c>
    </row>
    <row r="68" spans="1:25" x14ac:dyDescent="0.25">
      <c r="A68" t="s">
        <v>31</v>
      </c>
      <c r="B68">
        <f>_xlfn.XLOOKUP(Table4[[#This Row],[country]],Table2[country],Table2[country_id],FALSE)</f>
        <v>2</v>
      </c>
      <c r="C68" t="s">
        <v>32</v>
      </c>
      <c r="D68">
        <v>2016</v>
      </c>
      <c r="E68">
        <f>_xlfn.XLOOKUP(Table4[[#This Row],[year]],Table1[year],Table1[year_id])</f>
        <v>7</v>
      </c>
      <c r="F68" t="s">
        <v>27</v>
      </c>
      <c r="G68" t="s">
        <v>28</v>
      </c>
      <c r="H68" cm="1">
        <f t="array" ref="H68">_xlfn.XLOOKUP(Table4[[#This Row],[vehicle_segment]]&amp;Table4[[#This Row],[powertrain_type]],Table3[vehicle_segment]&amp;Table3[powertrain_type],Table3[vehicle_id])</f>
        <v>1</v>
      </c>
      <c r="I68">
        <v>162</v>
      </c>
      <c r="J68">
        <v>30504</v>
      </c>
      <c r="K68">
        <v>20336</v>
      </c>
      <c r="L68">
        <v>51002</v>
      </c>
      <c r="M68">
        <v>0.32</v>
      </c>
      <c r="N68">
        <v>3438</v>
      </c>
      <c r="O68">
        <v>11.3</v>
      </c>
      <c r="P68">
        <v>190</v>
      </c>
      <c r="Q68">
        <v>1.2</v>
      </c>
      <c r="R68">
        <v>0.20699999999999999</v>
      </c>
      <c r="S68">
        <v>44927</v>
      </c>
      <c r="T68">
        <v>58.1</v>
      </c>
      <c r="U68">
        <v>23.2</v>
      </c>
      <c r="V68">
        <v>3445</v>
      </c>
      <c r="W68">
        <v>67.599999999999994</v>
      </c>
      <c r="X68">
        <v>116.34</v>
      </c>
      <c r="Y68">
        <v>0</v>
      </c>
    </row>
    <row r="69" spans="1:25" x14ac:dyDescent="0.25">
      <c r="A69" t="s">
        <v>31</v>
      </c>
      <c r="B69">
        <f>_xlfn.XLOOKUP(Table4[[#This Row],[country]],Table2[country],Table2[country_id],FALSE)</f>
        <v>2</v>
      </c>
      <c r="C69" t="s">
        <v>32</v>
      </c>
      <c r="D69">
        <v>2016</v>
      </c>
      <c r="E69">
        <f>_xlfn.XLOOKUP(Table4[[#This Row],[year]],Table1[year],Table1[year_id])</f>
        <v>7</v>
      </c>
      <c r="F69" t="s">
        <v>29</v>
      </c>
      <c r="G69" t="s">
        <v>28</v>
      </c>
      <c r="H69" cm="1">
        <f t="array" ref="H69">_xlfn.XLOOKUP(Table4[[#This Row],[vehicle_segment]]&amp;Table4[[#This Row],[powertrain_type]],Table3[vehicle_segment]&amp;Table3[powertrain_type],Table3[vehicle_id])</f>
        <v>2</v>
      </c>
      <c r="I69">
        <v>1848</v>
      </c>
      <c r="J69">
        <v>177091</v>
      </c>
      <c r="K69">
        <v>24149</v>
      </c>
      <c r="L69">
        <v>203088</v>
      </c>
      <c r="M69">
        <v>0.91</v>
      </c>
      <c r="N69">
        <v>3438</v>
      </c>
      <c r="O69">
        <v>11.3</v>
      </c>
      <c r="P69">
        <v>190</v>
      </c>
      <c r="Q69">
        <v>1.2</v>
      </c>
      <c r="R69">
        <v>0.20699999999999999</v>
      </c>
      <c r="S69">
        <v>44927</v>
      </c>
      <c r="T69">
        <v>58.1</v>
      </c>
      <c r="U69">
        <v>23.2</v>
      </c>
      <c r="V69">
        <v>3445</v>
      </c>
      <c r="W69">
        <v>67.599999999999994</v>
      </c>
      <c r="X69">
        <v>114.63</v>
      </c>
      <c r="Y69">
        <v>0</v>
      </c>
    </row>
    <row r="70" spans="1:25" x14ac:dyDescent="0.25">
      <c r="A70" t="s">
        <v>31</v>
      </c>
      <c r="B70">
        <f>_xlfn.XLOOKUP(Table4[[#This Row],[country]],Table2[country],Table2[country_id],FALSE)</f>
        <v>2</v>
      </c>
      <c r="C70" t="s">
        <v>32</v>
      </c>
      <c r="D70">
        <v>2016</v>
      </c>
      <c r="E70">
        <f>_xlfn.XLOOKUP(Table4[[#This Row],[year]],Table1[year],Table1[year_id])</f>
        <v>7</v>
      </c>
      <c r="F70" t="s">
        <v>30</v>
      </c>
      <c r="G70" t="s">
        <v>28</v>
      </c>
      <c r="H70" cm="1">
        <f t="array" ref="H70">_xlfn.XLOOKUP(Table4[[#This Row],[vehicle_segment]]&amp;Table4[[#This Row],[powertrain_type]],Table3[vehicle_segment]&amp;Table3[powertrain_type],Table3[vehicle_id])</f>
        <v>3</v>
      </c>
      <c r="I70">
        <v>1112</v>
      </c>
      <c r="J70">
        <v>76505</v>
      </c>
      <c r="K70">
        <v>6653</v>
      </c>
      <c r="L70">
        <v>84270</v>
      </c>
      <c r="M70">
        <v>1.32</v>
      </c>
      <c r="N70">
        <v>3438</v>
      </c>
      <c r="O70">
        <v>11.3</v>
      </c>
      <c r="P70">
        <v>190</v>
      </c>
      <c r="Q70">
        <v>1.2</v>
      </c>
      <c r="R70">
        <v>0.20699999999999999</v>
      </c>
      <c r="S70">
        <v>44927</v>
      </c>
      <c r="T70">
        <v>58.1</v>
      </c>
      <c r="U70">
        <v>23.2</v>
      </c>
      <c r="V70">
        <v>3445</v>
      </c>
      <c r="W70">
        <v>67.599999999999994</v>
      </c>
      <c r="X70">
        <v>110.61</v>
      </c>
      <c r="Y70">
        <v>0</v>
      </c>
    </row>
    <row r="71" spans="1:25" x14ac:dyDescent="0.25">
      <c r="A71" t="s">
        <v>31</v>
      </c>
      <c r="B71">
        <f>_xlfn.XLOOKUP(Table4[[#This Row],[country]],Table2[country],Table2[country_id],FALSE)</f>
        <v>2</v>
      </c>
      <c r="C71" t="s">
        <v>32</v>
      </c>
      <c r="D71">
        <v>2017</v>
      </c>
      <c r="E71">
        <f>_xlfn.XLOOKUP(Table4[[#This Row],[year]],Table1[year],Table1[year_id])</f>
        <v>8</v>
      </c>
      <c r="F71" t="s">
        <v>27</v>
      </c>
      <c r="G71" t="s">
        <v>28</v>
      </c>
      <c r="H71" cm="1">
        <f t="array" ref="H71">_xlfn.XLOOKUP(Table4[[#This Row],[vehicle_segment]]&amp;Table4[[#This Row],[powertrain_type]],Table3[vehicle_segment]&amp;Table3[powertrain_type],Table3[vehicle_id])</f>
        <v>1</v>
      </c>
      <c r="I71">
        <v>263</v>
      </c>
      <c r="J71">
        <v>30505</v>
      </c>
      <c r="K71">
        <v>20337</v>
      </c>
      <c r="L71">
        <v>51105</v>
      </c>
      <c r="M71">
        <v>0.51</v>
      </c>
      <c r="N71">
        <v>4874</v>
      </c>
      <c r="O71">
        <v>12.7</v>
      </c>
      <c r="P71">
        <v>206</v>
      </c>
      <c r="Q71">
        <v>1.2070000000000001</v>
      </c>
      <c r="R71">
        <v>0.214</v>
      </c>
      <c r="S71">
        <v>46311</v>
      </c>
      <c r="T71">
        <v>58</v>
      </c>
      <c r="U71">
        <v>23.4</v>
      </c>
      <c r="V71">
        <v>3997</v>
      </c>
      <c r="W71">
        <v>70.400000000000006</v>
      </c>
      <c r="X71">
        <v>62.35</v>
      </c>
      <c r="Y71">
        <v>0</v>
      </c>
    </row>
    <row r="72" spans="1:25" x14ac:dyDescent="0.25">
      <c r="A72" t="s">
        <v>31</v>
      </c>
      <c r="B72">
        <f>_xlfn.XLOOKUP(Table4[[#This Row],[country]],Table2[country],Table2[country_id],FALSE)</f>
        <v>2</v>
      </c>
      <c r="C72" t="s">
        <v>32</v>
      </c>
      <c r="D72">
        <v>2017</v>
      </c>
      <c r="E72">
        <f>_xlfn.XLOOKUP(Table4[[#This Row],[year]],Table1[year],Table1[year_id])</f>
        <v>8</v>
      </c>
      <c r="F72" t="s">
        <v>29</v>
      </c>
      <c r="G72" t="s">
        <v>28</v>
      </c>
      <c r="H72" cm="1">
        <f t="array" ref="H72">_xlfn.XLOOKUP(Table4[[#This Row],[vehicle_segment]]&amp;Table4[[#This Row],[powertrain_type]],Table3[vehicle_segment]&amp;Table3[powertrain_type],Table3[vehicle_id])</f>
        <v>2</v>
      </c>
      <c r="I72">
        <v>3040</v>
      </c>
      <c r="J72">
        <v>179289</v>
      </c>
      <c r="K72">
        <v>24448</v>
      </c>
      <c r="L72">
        <v>206777</v>
      </c>
      <c r="M72">
        <v>1.47</v>
      </c>
      <c r="N72">
        <v>4874</v>
      </c>
      <c r="O72">
        <v>12.7</v>
      </c>
      <c r="P72">
        <v>206</v>
      </c>
      <c r="Q72">
        <v>1.2070000000000001</v>
      </c>
      <c r="R72">
        <v>0.214</v>
      </c>
      <c r="S72">
        <v>46311</v>
      </c>
      <c r="T72">
        <v>58</v>
      </c>
      <c r="U72">
        <v>23.4</v>
      </c>
      <c r="V72">
        <v>3997</v>
      </c>
      <c r="W72">
        <v>70.400000000000006</v>
      </c>
      <c r="X72">
        <v>64.5</v>
      </c>
      <c r="Y72">
        <v>0</v>
      </c>
    </row>
    <row r="73" spans="1:25" x14ac:dyDescent="0.25">
      <c r="A73" t="s">
        <v>31</v>
      </c>
      <c r="B73">
        <f>_xlfn.XLOOKUP(Table4[[#This Row],[country]],Table2[country],Table2[country_id],FALSE)</f>
        <v>2</v>
      </c>
      <c r="C73" t="s">
        <v>32</v>
      </c>
      <c r="D73">
        <v>2017</v>
      </c>
      <c r="E73">
        <f>_xlfn.XLOOKUP(Table4[[#This Row],[year]],Table1[year],Table1[year_id])</f>
        <v>8</v>
      </c>
      <c r="F73" t="s">
        <v>30</v>
      </c>
      <c r="G73" t="s">
        <v>28</v>
      </c>
      <c r="H73" cm="1">
        <f t="array" ref="H73">_xlfn.XLOOKUP(Table4[[#This Row],[vehicle_segment]]&amp;Table4[[#This Row],[powertrain_type]],Table3[vehicle_segment]&amp;Table3[powertrain_type],Table3[vehicle_id])</f>
        <v>3</v>
      </c>
      <c r="I73">
        <v>1835</v>
      </c>
      <c r="J73">
        <v>77526</v>
      </c>
      <c r="K73">
        <v>6741</v>
      </c>
      <c r="L73">
        <v>86102</v>
      </c>
      <c r="M73">
        <v>2.13</v>
      </c>
      <c r="N73">
        <v>4874</v>
      </c>
      <c r="O73">
        <v>12.7</v>
      </c>
      <c r="P73">
        <v>206</v>
      </c>
      <c r="Q73">
        <v>1.2070000000000001</v>
      </c>
      <c r="R73">
        <v>0.214</v>
      </c>
      <c r="S73">
        <v>46311</v>
      </c>
      <c r="T73">
        <v>58</v>
      </c>
      <c r="U73">
        <v>23.4</v>
      </c>
      <c r="V73">
        <v>3997</v>
      </c>
      <c r="W73">
        <v>70.400000000000006</v>
      </c>
      <c r="X73">
        <v>65.02</v>
      </c>
      <c r="Y73">
        <v>0</v>
      </c>
    </row>
    <row r="74" spans="1:25" x14ac:dyDescent="0.25">
      <c r="A74" t="s">
        <v>31</v>
      </c>
      <c r="B74">
        <f>_xlfn.XLOOKUP(Table4[[#This Row],[country]],Table2[country],Table2[country_id],FALSE)</f>
        <v>2</v>
      </c>
      <c r="C74" t="s">
        <v>32</v>
      </c>
      <c r="D74">
        <v>2018</v>
      </c>
      <c r="E74">
        <f>_xlfn.XLOOKUP(Table4[[#This Row],[year]],Table1[year],Table1[year_id])</f>
        <v>9</v>
      </c>
      <c r="F74" t="s">
        <v>27</v>
      </c>
      <c r="G74" t="s">
        <v>28</v>
      </c>
      <c r="H74" cm="1">
        <f t="array" ref="H74">_xlfn.XLOOKUP(Table4[[#This Row],[vehicle_segment]]&amp;Table4[[#This Row],[powertrain_type]],Table3[vehicle_segment]&amp;Table3[powertrain_type],Table3[vehicle_id])</f>
        <v>1</v>
      </c>
      <c r="I74">
        <v>387</v>
      </c>
      <c r="J74">
        <v>30164</v>
      </c>
      <c r="K74">
        <v>20110</v>
      </c>
      <c r="L74">
        <v>50661</v>
      </c>
      <c r="M74">
        <v>0.76</v>
      </c>
      <c r="N74">
        <v>6365</v>
      </c>
      <c r="O74">
        <v>14.4</v>
      </c>
      <c r="P74">
        <v>263</v>
      </c>
      <c r="Q74">
        <v>1.2270000000000001</v>
      </c>
      <c r="R74">
        <v>0.214</v>
      </c>
      <c r="S74">
        <v>47724</v>
      </c>
      <c r="T74">
        <v>58.5</v>
      </c>
      <c r="U74">
        <v>23.8</v>
      </c>
      <c r="V74">
        <v>4486</v>
      </c>
      <c r="W74">
        <v>74.2</v>
      </c>
      <c r="X74">
        <v>47.15</v>
      </c>
      <c r="Y74">
        <v>0</v>
      </c>
    </row>
    <row r="75" spans="1:25" x14ac:dyDescent="0.25">
      <c r="A75" t="s">
        <v>31</v>
      </c>
      <c r="B75">
        <f>_xlfn.XLOOKUP(Table4[[#This Row],[country]],Table2[country],Table2[country_id],FALSE)</f>
        <v>2</v>
      </c>
      <c r="C75" t="s">
        <v>32</v>
      </c>
      <c r="D75">
        <v>2018</v>
      </c>
      <c r="E75">
        <f>_xlfn.XLOOKUP(Table4[[#This Row],[year]],Table1[year],Table1[year_id])</f>
        <v>9</v>
      </c>
      <c r="F75" t="s">
        <v>29</v>
      </c>
      <c r="G75" t="s">
        <v>28</v>
      </c>
      <c r="H75" cm="1">
        <f t="array" ref="H75">_xlfn.XLOOKUP(Table4[[#This Row],[vehicle_segment]]&amp;Table4[[#This Row],[powertrain_type]],Table3[vehicle_segment]&amp;Table3[powertrain_type],Table3[vehicle_id])</f>
        <v>2</v>
      </c>
      <c r="I75">
        <v>4440</v>
      </c>
      <c r="J75">
        <v>175305</v>
      </c>
      <c r="K75">
        <v>23905</v>
      </c>
      <c r="L75">
        <v>203650</v>
      </c>
      <c r="M75">
        <v>2.1800000000000002</v>
      </c>
      <c r="N75">
        <v>6365</v>
      </c>
      <c r="O75">
        <v>14.4</v>
      </c>
      <c r="P75">
        <v>263</v>
      </c>
      <c r="Q75">
        <v>1.2270000000000001</v>
      </c>
      <c r="R75">
        <v>0.214</v>
      </c>
      <c r="S75">
        <v>47724</v>
      </c>
      <c r="T75">
        <v>58.5</v>
      </c>
      <c r="U75">
        <v>23.8</v>
      </c>
      <c r="V75">
        <v>4486</v>
      </c>
      <c r="W75">
        <v>74.2</v>
      </c>
      <c r="X75">
        <v>46.05</v>
      </c>
      <c r="Y75">
        <v>0</v>
      </c>
    </row>
    <row r="76" spans="1:25" x14ac:dyDescent="0.25">
      <c r="A76" t="s">
        <v>31</v>
      </c>
      <c r="B76">
        <f>_xlfn.XLOOKUP(Table4[[#This Row],[country]],Table2[country],Table2[country_id],FALSE)</f>
        <v>2</v>
      </c>
      <c r="C76" t="s">
        <v>32</v>
      </c>
      <c r="D76">
        <v>2018</v>
      </c>
      <c r="E76">
        <f>_xlfn.XLOOKUP(Table4[[#This Row],[year]],Table1[year],Table1[year_id])</f>
        <v>9</v>
      </c>
      <c r="F76" t="s">
        <v>30</v>
      </c>
      <c r="G76" t="s">
        <v>28</v>
      </c>
      <c r="H76" cm="1">
        <f t="array" ref="H76">_xlfn.XLOOKUP(Table4[[#This Row],[vehicle_segment]]&amp;Table4[[#This Row],[powertrain_type]],Table3[vehicle_segment]&amp;Table3[powertrain_type],Table3[vehicle_id])</f>
        <v>3</v>
      </c>
      <c r="I76">
        <v>2675</v>
      </c>
      <c r="J76">
        <v>75406</v>
      </c>
      <c r="K76">
        <v>6557</v>
      </c>
      <c r="L76">
        <v>84638</v>
      </c>
      <c r="M76">
        <v>3.16</v>
      </c>
      <c r="N76">
        <v>6365</v>
      </c>
      <c r="O76">
        <v>14.4</v>
      </c>
      <c r="P76">
        <v>263</v>
      </c>
      <c r="Q76">
        <v>1.2270000000000001</v>
      </c>
      <c r="R76">
        <v>0.214</v>
      </c>
      <c r="S76">
        <v>47724</v>
      </c>
      <c r="T76">
        <v>58.5</v>
      </c>
      <c r="U76">
        <v>23.8</v>
      </c>
      <c r="V76">
        <v>4486</v>
      </c>
      <c r="W76">
        <v>74.2</v>
      </c>
      <c r="X76">
        <v>45.78</v>
      </c>
      <c r="Y76">
        <v>0</v>
      </c>
    </row>
    <row r="77" spans="1:25" x14ac:dyDescent="0.25">
      <c r="A77" t="s">
        <v>31</v>
      </c>
      <c r="B77">
        <f>_xlfn.XLOOKUP(Table4[[#This Row],[country]],Table2[country],Table2[country_id],FALSE)</f>
        <v>2</v>
      </c>
      <c r="C77" t="s">
        <v>32</v>
      </c>
      <c r="D77">
        <v>2019</v>
      </c>
      <c r="E77">
        <f>_xlfn.XLOOKUP(Table4[[#This Row],[year]],Table1[year],Table1[year_id])</f>
        <v>10</v>
      </c>
      <c r="F77" t="s">
        <v>27</v>
      </c>
      <c r="G77" t="s">
        <v>28</v>
      </c>
      <c r="H77" cm="1">
        <f t="array" ref="H77">_xlfn.XLOOKUP(Table4[[#This Row],[vehicle_segment]]&amp;Table4[[#This Row],[powertrain_type]],Table3[vehicle_segment]&amp;Table3[powertrain_type],Table3[vehicle_id])</f>
        <v>1</v>
      </c>
      <c r="I77">
        <v>516</v>
      </c>
      <c r="J77">
        <v>28807</v>
      </c>
      <c r="K77">
        <v>19204</v>
      </c>
      <c r="L77">
        <v>48527</v>
      </c>
      <c r="M77">
        <v>1.06</v>
      </c>
      <c r="N77">
        <v>8257</v>
      </c>
      <c r="O77">
        <v>16.7</v>
      </c>
      <c r="P77">
        <v>308</v>
      </c>
      <c r="Q77">
        <v>1.3129999999999999</v>
      </c>
      <c r="R77">
        <v>0.215</v>
      </c>
      <c r="S77">
        <v>48850</v>
      </c>
      <c r="T77">
        <v>58.4</v>
      </c>
      <c r="U77">
        <v>22.9</v>
      </c>
      <c r="V77">
        <v>5026</v>
      </c>
      <c r="W77">
        <v>75.900000000000006</v>
      </c>
      <c r="X77">
        <v>33.33</v>
      </c>
      <c r="Y77">
        <v>0</v>
      </c>
    </row>
    <row r="78" spans="1:25" x14ac:dyDescent="0.25">
      <c r="A78" t="s">
        <v>31</v>
      </c>
      <c r="B78">
        <f>_xlfn.XLOOKUP(Table4[[#This Row],[country]],Table2[country],Table2[country_id],FALSE)</f>
        <v>2</v>
      </c>
      <c r="C78" t="s">
        <v>32</v>
      </c>
      <c r="D78">
        <v>2019</v>
      </c>
      <c r="E78">
        <f>_xlfn.XLOOKUP(Table4[[#This Row],[year]],Table1[year],Table1[year_id])</f>
        <v>10</v>
      </c>
      <c r="F78" t="s">
        <v>29</v>
      </c>
      <c r="G78" t="s">
        <v>28</v>
      </c>
      <c r="H78" cm="1">
        <f t="array" ref="H78">_xlfn.XLOOKUP(Table4[[#This Row],[vehicle_segment]]&amp;Table4[[#This Row],[powertrain_type]],Table3[vehicle_segment]&amp;Table3[powertrain_type],Table3[vehicle_id])</f>
        <v>2</v>
      </c>
      <c r="I78">
        <v>5924</v>
      </c>
      <c r="J78">
        <v>166261</v>
      </c>
      <c r="K78">
        <v>22672</v>
      </c>
      <c r="L78">
        <v>194857</v>
      </c>
      <c r="M78">
        <v>3.04</v>
      </c>
      <c r="N78">
        <v>8257</v>
      </c>
      <c r="O78">
        <v>16.7</v>
      </c>
      <c r="P78">
        <v>308</v>
      </c>
      <c r="Q78">
        <v>1.3129999999999999</v>
      </c>
      <c r="R78">
        <v>0.215</v>
      </c>
      <c r="S78">
        <v>48850</v>
      </c>
      <c r="T78">
        <v>58.4</v>
      </c>
      <c r="U78">
        <v>22.9</v>
      </c>
      <c r="V78">
        <v>5026</v>
      </c>
      <c r="W78">
        <v>75.900000000000006</v>
      </c>
      <c r="X78">
        <v>33.42</v>
      </c>
      <c r="Y78">
        <v>0</v>
      </c>
    </row>
    <row r="79" spans="1:25" x14ac:dyDescent="0.25">
      <c r="A79" t="s">
        <v>31</v>
      </c>
      <c r="B79">
        <f>_xlfn.XLOOKUP(Table4[[#This Row],[country]],Table2[country],Table2[country_id],FALSE)</f>
        <v>2</v>
      </c>
      <c r="C79" t="s">
        <v>32</v>
      </c>
      <c r="D79">
        <v>2019</v>
      </c>
      <c r="E79">
        <f>_xlfn.XLOOKUP(Table4[[#This Row],[year]],Table1[year],Table1[year_id])</f>
        <v>10</v>
      </c>
      <c r="F79" t="s">
        <v>30</v>
      </c>
      <c r="G79" t="s">
        <v>28</v>
      </c>
      <c r="H79" cm="1">
        <f t="array" ref="H79">_xlfn.XLOOKUP(Table4[[#This Row],[vehicle_segment]]&amp;Table4[[#This Row],[powertrain_type]],Table3[vehicle_segment]&amp;Table3[powertrain_type],Table3[vehicle_id])</f>
        <v>3</v>
      </c>
      <c r="I79">
        <v>3582</v>
      </c>
      <c r="J79">
        <v>71458</v>
      </c>
      <c r="K79">
        <v>6214</v>
      </c>
      <c r="L79">
        <v>81254</v>
      </c>
      <c r="M79">
        <v>4.41</v>
      </c>
      <c r="N79">
        <v>8257</v>
      </c>
      <c r="O79">
        <v>16.7</v>
      </c>
      <c r="P79">
        <v>308</v>
      </c>
      <c r="Q79">
        <v>1.3129999999999999</v>
      </c>
      <c r="R79">
        <v>0.215</v>
      </c>
      <c r="S79">
        <v>48850</v>
      </c>
      <c r="T79">
        <v>58.4</v>
      </c>
      <c r="U79">
        <v>22.9</v>
      </c>
      <c r="V79">
        <v>5026</v>
      </c>
      <c r="W79">
        <v>75.900000000000006</v>
      </c>
      <c r="X79">
        <v>33.909999999999997</v>
      </c>
      <c r="Y79">
        <v>0</v>
      </c>
    </row>
    <row r="80" spans="1:25" x14ac:dyDescent="0.25">
      <c r="A80" t="s">
        <v>31</v>
      </c>
      <c r="B80">
        <f>_xlfn.XLOOKUP(Table4[[#This Row],[country]],Table2[country],Table2[country_id],FALSE)</f>
        <v>2</v>
      </c>
      <c r="C80" t="s">
        <v>32</v>
      </c>
      <c r="D80">
        <v>2020</v>
      </c>
      <c r="E80">
        <f>_xlfn.XLOOKUP(Table4[[#This Row],[year]],Table1[year],Table1[year_id])</f>
        <v>11</v>
      </c>
      <c r="F80" t="s">
        <v>27</v>
      </c>
      <c r="G80" t="s">
        <v>28</v>
      </c>
      <c r="H80" cm="1">
        <f t="array" ref="H80">_xlfn.XLOOKUP(Table4[[#This Row],[vehicle_segment]]&amp;Table4[[#This Row],[powertrain_type]],Table3[vehicle_segment]&amp;Table3[powertrain_type],Table3[vehicle_id])</f>
        <v>1</v>
      </c>
      <c r="I80">
        <v>1419</v>
      </c>
      <c r="J80">
        <v>21523</v>
      </c>
      <c r="K80">
        <v>14349</v>
      </c>
      <c r="L80">
        <v>37291</v>
      </c>
      <c r="M80">
        <v>3.81</v>
      </c>
      <c r="N80">
        <v>10082</v>
      </c>
      <c r="O80">
        <v>18.7</v>
      </c>
      <c r="P80">
        <v>337</v>
      </c>
      <c r="Q80">
        <v>1.4530000000000001</v>
      </c>
      <c r="R80">
        <v>0.23799999999999999</v>
      </c>
      <c r="S80">
        <v>51354</v>
      </c>
      <c r="T80">
        <v>58.6</v>
      </c>
      <c r="U80">
        <v>22.2</v>
      </c>
      <c r="V80">
        <v>5141</v>
      </c>
      <c r="W80">
        <v>79.900000000000006</v>
      </c>
      <c r="X80">
        <v>175</v>
      </c>
      <c r="Y80">
        <v>0</v>
      </c>
    </row>
    <row r="81" spans="1:25" x14ac:dyDescent="0.25">
      <c r="A81" t="s">
        <v>31</v>
      </c>
      <c r="B81">
        <f>_xlfn.XLOOKUP(Table4[[#This Row],[country]],Table2[country],Table2[country_id],FALSE)</f>
        <v>2</v>
      </c>
      <c r="C81" t="s">
        <v>32</v>
      </c>
      <c r="D81">
        <v>2020</v>
      </c>
      <c r="E81">
        <f>_xlfn.XLOOKUP(Table4[[#This Row],[year]],Table1[year],Table1[year_id])</f>
        <v>11</v>
      </c>
      <c r="F81" t="s">
        <v>29</v>
      </c>
      <c r="G81" t="s">
        <v>28</v>
      </c>
      <c r="H81" cm="1">
        <f t="array" ref="H81">_xlfn.XLOOKUP(Table4[[#This Row],[vehicle_segment]]&amp;Table4[[#This Row],[powertrain_type]],Table3[vehicle_segment]&amp;Table3[powertrain_type],Table3[vehicle_id])</f>
        <v>2</v>
      </c>
      <c r="I81">
        <v>16251</v>
      </c>
      <c r="J81">
        <v>117264</v>
      </c>
      <c r="K81">
        <v>15990</v>
      </c>
      <c r="L81">
        <v>149505</v>
      </c>
      <c r="M81">
        <v>10.87</v>
      </c>
      <c r="N81">
        <v>10082</v>
      </c>
      <c r="O81">
        <v>18.7</v>
      </c>
      <c r="P81">
        <v>337</v>
      </c>
      <c r="Q81">
        <v>1.4530000000000001</v>
      </c>
      <c r="R81">
        <v>0.23799999999999999</v>
      </c>
      <c r="S81">
        <v>51354</v>
      </c>
      <c r="T81">
        <v>58.6</v>
      </c>
      <c r="U81">
        <v>22.2</v>
      </c>
      <c r="V81">
        <v>5141</v>
      </c>
      <c r="W81">
        <v>79.900000000000006</v>
      </c>
      <c r="X81">
        <v>174.32</v>
      </c>
      <c r="Y81">
        <v>0</v>
      </c>
    </row>
    <row r="82" spans="1:25" x14ac:dyDescent="0.25">
      <c r="A82" t="s">
        <v>31</v>
      </c>
      <c r="B82">
        <f>_xlfn.XLOOKUP(Table4[[#This Row],[country]],Table2[country],Table2[country_id],FALSE)</f>
        <v>2</v>
      </c>
      <c r="C82" t="s">
        <v>32</v>
      </c>
      <c r="D82">
        <v>2020</v>
      </c>
      <c r="E82">
        <f>_xlfn.XLOOKUP(Table4[[#This Row],[year]],Table1[year],Table1[year_id])</f>
        <v>11</v>
      </c>
      <c r="F82" t="s">
        <v>30</v>
      </c>
      <c r="G82" t="s">
        <v>28</v>
      </c>
      <c r="H82" cm="1">
        <f t="array" ref="H82">_xlfn.XLOOKUP(Table4[[#This Row],[vehicle_segment]]&amp;Table4[[#This Row],[powertrain_type]],Table3[vehicle_segment]&amp;Table3[powertrain_type],Table3[vehicle_id])</f>
        <v>3</v>
      </c>
      <c r="I82">
        <v>9963</v>
      </c>
      <c r="J82">
        <v>48991</v>
      </c>
      <c r="K82">
        <v>4260</v>
      </c>
      <c r="L82">
        <v>63214</v>
      </c>
      <c r="M82">
        <v>15.76</v>
      </c>
      <c r="N82">
        <v>10082</v>
      </c>
      <c r="O82">
        <v>18.7</v>
      </c>
      <c r="P82">
        <v>337</v>
      </c>
      <c r="Q82">
        <v>1.4530000000000001</v>
      </c>
      <c r="R82">
        <v>0.23799999999999999</v>
      </c>
      <c r="S82">
        <v>51354</v>
      </c>
      <c r="T82">
        <v>58.6</v>
      </c>
      <c r="U82">
        <v>22.2</v>
      </c>
      <c r="V82">
        <v>5141</v>
      </c>
      <c r="W82">
        <v>79.900000000000006</v>
      </c>
      <c r="X82">
        <v>178.14</v>
      </c>
      <c r="Y82">
        <v>0</v>
      </c>
    </row>
    <row r="83" spans="1:25" x14ac:dyDescent="0.25">
      <c r="A83" t="s">
        <v>31</v>
      </c>
      <c r="B83">
        <f>_xlfn.XLOOKUP(Table4[[#This Row],[country]],Table2[country],Table2[country_id],FALSE)</f>
        <v>2</v>
      </c>
      <c r="C83" t="s">
        <v>32</v>
      </c>
      <c r="D83">
        <v>2021</v>
      </c>
      <c r="E83">
        <f>_xlfn.XLOOKUP(Table4[[#This Row],[year]],Table1[year],Table1[year_id])</f>
        <v>12</v>
      </c>
      <c r="F83" t="s">
        <v>27</v>
      </c>
      <c r="G83" t="s">
        <v>28</v>
      </c>
      <c r="H83" cm="1">
        <f t="array" ref="H83">_xlfn.XLOOKUP(Table4[[#This Row],[vehicle_segment]]&amp;Table4[[#This Row],[powertrain_type]],Table3[vehicle_segment]&amp;Table3[powertrain_type],Table3[vehicle_id])</f>
        <v>1</v>
      </c>
      <c r="I83">
        <v>2442</v>
      </c>
      <c r="J83">
        <v>20095</v>
      </c>
      <c r="K83">
        <v>13397</v>
      </c>
      <c r="L83">
        <v>35934</v>
      </c>
      <c r="M83">
        <v>6.8</v>
      </c>
      <c r="N83">
        <v>13094</v>
      </c>
      <c r="O83">
        <v>20.5</v>
      </c>
      <c r="P83">
        <v>366</v>
      </c>
      <c r="Q83">
        <v>1.647</v>
      </c>
      <c r="R83">
        <v>0.28599999999999998</v>
      </c>
      <c r="S83">
        <v>51589</v>
      </c>
      <c r="T83">
        <v>59.1</v>
      </c>
      <c r="U83">
        <v>21.2</v>
      </c>
      <c r="V83">
        <v>5048</v>
      </c>
      <c r="W83">
        <v>82.6</v>
      </c>
      <c r="X83">
        <v>72.09</v>
      </c>
      <c r="Y83">
        <v>0</v>
      </c>
    </row>
    <row r="84" spans="1:25" x14ac:dyDescent="0.25">
      <c r="A84" t="s">
        <v>31</v>
      </c>
      <c r="B84">
        <f>_xlfn.XLOOKUP(Table4[[#This Row],[country]],Table2[country],Table2[country_id],FALSE)</f>
        <v>2</v>
      </c>
      <c r="C84" t="s">
        <v>32</v>
      </c>
      <c r="D84">
        <v>2021</v>
      </c>
      <c r="E84">
        <f>_xlfn.XLOOKUP(Table4[[#This Row],[year]],Table1[year],Table1[year_id])</f>
        <v>12</v>
      </c>
      <c r="F84" t="s">
        <v>29</v>
      </c>
      <c r="G84" t="s">
        <v>28</v>
      </c>
      <c r="H84" cm="1">
        <f t="array" ref="H84">_xlfn.XLOOKUP(Table4[[#This Row],[vehicle_segment]]&amp;Table4[[#This Row],[powertrain_type]],Table3[vehicle_segment]&amp;Table3[powertrain_type],Table3[vehicle_id])</f>
        <v>2</v>
      </c>
      <c r="I84">
        <v>27900</v>
      </c>
      <c r="J84">
        <v>101875</v>
      </c>
      <c r="K84">
        <v>13892</v>
      </c>
      <c r="L84">
        <v>143667</v>
      </c>
      <c r="M84">
        <v>19.420000000000002</v>
      </c>
      <c r="N84">
        <v>13094</v>
      </c>
      <c r="O84">
        <v>20.5</v>
      </c>
      <c r="P84">
        <v>366</v>
      </c>
      <c r="Q84">
        <v>1.647</v>
      </c>
      <c r="R84">
        <v>0.28599999999999998</v>
      </c>
      <c r="S84">
        <v>51589</v>
      </c>
      <c r="T84">
        <v>59.1</v>
      </c>
      <c r="U84">
        <v>21.2</v>
      </c>
      <c r="V84">
        <v>5048</v>
      </c>
      <c r="W84">
        <v>82.6</v>
      </c>
      <c r="X84">
        <v>71.680000000000007</v>
      </c>
      <c r="Y84">
        <v>0</v>
      </c>
    </row>
    <row r="85" spans="1:25" x14ac:dyDescent="0.25">
      <c r="A85" t="s">
        <v>31</v>
      </c>
      <c r="B85">
        <f>_xlfn.XLOOKUP(Table4[[#This Row],[country]],Table2[country],Table2[country_id],FALSE)</f>
        <v>2</v>
      </c>
      <c r="C85" t="s">
        <v>32</v>
      </c>
      <c r="D85">
        <v>2021</v>
      </c>
      <c r="E85">
        <f>_xlfn.XLOOKUP(Table4[[#This Row],[year]],Table1[year],Table1[year_id])</f>
        <v>12</v>
      </c>
      <c r="F85" t="s">
        <v>30</v>
      </c>
      <c r="G85" t="s">
        <v>28</v>
      </c>
      <c r="H85" cm="1">
        <f t="array" ref="H85">_xlfn.XLOOKUP(Table4[[#This Row],[vehicle_segment]]&amp;Table4[[#This Row],[powertrain_type]],Table3[vehicle_segment]&amp;Table3[powertrain_type],Table3[vehicle_id])</f>
        <v>3</v>
      </c>
      <c r="I85">
        <v>16545</v>
      </c>
      <c r="J85">
        <v>38835</v>
      </c>
      <c r="K85">
        <v>3377</v>
      </c>
      <c r="L85">
        <v>58757</v>
      </c>
      <c r="M85">
        <v>28.16</v>
      </c>
      <c r="N85">
        <v>13094</v>
      </c>
      <c r="O85">
        <v>20.5</v>
      </c>
      <c r="P85">
        <v>366</v>
      </c>
      <c r="Q85">
        <v>1.647</v>
      </c>
      <c r="R85">
        <v>0.28599999999999998</v>
      </c>
      <c r="S85">
        <v>51589</v>
      </c>
      <c r="T85">
        <v>59.1</v>
      </c>
      <c r="U85">
        <v>21.2</v>
      </c>
      <c r="V85">
        <v>5048</v>
      </c>
      <c r="W85">
        <v>82.6</v>
      </c>
      <c r="X85">
        <v>66.06</v>
      </c>
      <c r="Y85">
        <v>0</v>
      </c>
    </row>
    <row r="86" spans="1:25" x14ac:dyDescent="0.25">
      <c r="A86" t="s">
        <v>31</v>
      </c>
      <c r="B86">
        <f>_xlfn.XLOOKUP(Table4[[#This Row],[country]],Table2[country],Table2[country_id],FALSE)</f>
        <v>2</v>
      </c>
      <c r="C86" t="s">
        <v>32</v>
      </c>
      <c r="D86">
        <v>2022</v>
      </c>
      <c r="E86">
        <f>_xlfn.XLOOKUP(Table4[[#This Row],[year]],Table1[year],Table1[year_id])</f>
        <v>13</v>
      </c>
      <c r="F86" t="s">
        <v>27</v>
      </c>
      <c r="G86" t="s">
        <v>28</v>
      </c>
      <c r="H86" cm="1">
        <f t="array" ref="H86">_xlfn.XLOOKUP(Table4[[#This Row],[vehicle_segment]]&amp;Table4[[#This Row],[powertrain_type]],Table3[vehicle_segment]&amp;Table3[powertrain_type],Table3[vehicle_id])</f>
        <v>1</v>
      </c>
      <c r="I86">
        <v>2154</v>
      </c>
      <c r="J86">
        <v>18047</v>
      </c>
      <c r="K86">
        <v>12031</v>
      </c>
      <c r="L86">
        <v>32232</v>
      </c>
      <c r="M86">
        <v>6.68</v>
      </c>
      <c r="N86">
        <v>16353</v>
      </c>
      <c r="O86">
        <v>22.4</v>
      </c>
      <c r="P86">
        <v>401</v>
      </c>
      <c r="Q86">
        <v>1.7370000000000001</v>
      </c>
      <c r="R86">
        <v>0.32600000000000001</v>
      </c>
      <c r="S86">
        <v>52184</v>
      </c>
      <c r="T86">
        <v>59.1</v>
      </c>
      <c r="U86">
        <v>21.3</v>
      </c>
      <c r="V86">
        <v>5053</v>
      </c>
      <c r="W86">
        <v>84.8</v>
      </c>
      <c r="X86">
        <v>-11.79</v>
      </c>
      <c r="Y86">
        <v>0</v>
      </c>
    </row>
    <row r="87" spans="1:25" x14ac:dyDescent="0.25">
      <c r="A87" t="s">
        <v>31</v>
      </c>
      <c r="B87">
        <f>_xlfn.XLOOKUP(Table4[[#This Row],[country]],Table2[country],Table2[country_id],FALSE)</f>
        <v>2</v>
      </c>
      <c r="C87" t="s">
        <v>32</v>
      </c>
      <c r="D87">
        <v>2022</v>
      </c>
      <c r="E87">
        <f>_xlfn.XLOOKUP(Table4[[#This Row],[year]],Table1[year],Table1[year_id])</f>
        <v>13</v>
      </c>
      <c r="F87" t="s">
        <v>29</v>
      </c>
      <c r="G87" t="s">
        <v>28</v>
      </c>
      <c r="H87" cm="1">
        <f t="array" ref="H87">_xlfn.XLOOKUP(Table4[[#This Row],[vehicle_segment]]&amp;Table4[[#This Row],[powertrain_type]],Table3[vehicle_segment]&amp;Table3[powertrain_type],Table3[vehicle_id])</f>
        <v>2</v>
      </c>
      <c r="I87">
        <v>25143</v>
      </c>
      <c r="J87">
        <v>93777</v>
      </c>
      <c r="K87">
        <v>12788</v>
      </c>
      <c r="L87">
        <v>131708</v>
      </c>
      <c r="M87">
        <v>19.09</v>
      </c>
      <c r="N87">
        <v>16353</v>
      </c>
      <c r="O87">
        <v>22.4</v>
      </c>
      <c r="P87">
        <v>401</v>
      </c>
      <c r="Q87">
        <v>1.7370000000000001</v>
      </c>
      <c r="R87">
        <v>0.32600000000000001</v>
      </c>
      <c r="S87">
        <v>52184</v>
      </c>
      <c r="T87">
        <v>59.1</v>
      </c>
      <c r="U87">
        <v>21.3</v>
      </c>
      <c r="V87">
        <v>5053</v>
      </c>
      <c r="W87">
        <v>84.8</v>
      </c>
      <c r="X87">
        <v>-9.8800000000000008</v>
      </c>
      <c r="Y87">
        <v>0</v>
      </c>
    </row>
    <row r="88" spans="1:25" x14ac:dyDescent="0.25">
      <c r="A88" t="s">
        <v>31</v>
      </c>
      <c r="B88">
        <f>_xlfn.XLOOKUP(Table4[[#This Row],[country]],Table2[country],Table2[country_id],FALSE)</f>
        <v>2</v>
      </c>
      <c r="C88" t="s">
        <v>32</v>
      </c>
      <c r="D88">
        <v>2022</v>
      </c>
      <c r="E88">
        <f>_xlfn.XLOOKUP(Table4[[#This Row],[year]],Table1[year],Table1[year_id])</f>
        <v>13</v>
      </c>
      <c r="F88" t="s">
        <v>30</v>
      </c>
      <c r="G88" t="s">
        <v>28</v>
      </c>
      <c r="H88" cm="1">
        <f t="array" ref="H88">_xlfn.XLOOKUP(Table4[[#This Row],[vehicle_segment]]&amp;Table4[[#This Row],[powertrain_type]],Table3[vehicle_segment]&amp;Table3[powertrain_type],Table3[vehicle_id])</f>
        <v>3</v>
      </c>
      <c r="I88">
        <v>14797</v>
      </c>
      <c r="J88">
        <v>35566</v>
      </c>
      <c r="K88">
        <v>3093</v>
      </c>
      <c r="L88">
        <v>53456</v>
      </c>
      <c r="M88">
        <v>27.68</v>
      </c>
      <c r="N88">
        <v>16353</v>
      </c>
      <c r="O88">
        <v>22.4</v>
      </c>
      <c r="P88">
        <v>401</v>
      </c>
      <c r="Q88">
        <v>1.7370000000000001</v>
      </c>
      <c r="R88">
        <v>0.32600000000000001</v>
      </c>
      <c r="S88">
        <v>52184</v>
      </c>
      <c r="T88">
        <v>59.1</v>
      </c>
      <c r="U88">
        <v>21.3</v>
      </c>
      <c r="V88">
        <v>5053</v>
      </c>
      <c r="W88">
        <v>84.8</v>
      </c>
      <c r="X88">
        <v>-10.57</v>
      </c>
      <c r="Y88">
        <v>0</v>
      </c>
    </row>
    <row r="89" spans="1:25" x14ac:dyDescent="0.25">
      <c r="A89" t="s">
        <v>31</v>
      </c>
      <c r="B89">
        <f>_xlfn.XLOOKUP(Table4[[#This Row],[country]],Table2[country],Table2[country_id],FALSE)</f>
        <v>2</v>
      </c>
      <c r="C89" t="s">
        <v>32</v>
      </c>
      <c r="D89">
        <v>2023</v>
      </c>
      <c r="E89">
        <f>_xlfn.XLOOKUP(Table4[[#This Row],[year]],Table1[year],Table1[year_id])</f>
        <v>14</v>
      </c>
      <c r="F89" t="s">
        <v>27</v>
      </c>
      <c r="G89" t="s">
        <v>28</v>
      </c>
      <c r="H89" cm="1">
        <f t="array" ref="H89">_xlfn.XLOOKUP(Table4[[#This Row],[vehicle_segment]]&amp;Table4[[#This Row],[powertrain_type]],Table3[vehicle_segment]&amp;Table3[powertrain_type],Table3[vehicle_id])</f>
        <v>1</v>
      </c>
      <c r="I89">
        <v>2330</v>
      </c>
      <c r="J89">
        <v>20460</v>
      </c>
      <c r="K89">
        <v>13640</v>
      </c>
      <c r="L89">
        <v>36430</v>
      </c>
      <c r="M89">
        <v>6.4</v>
      </c>
      <c r="N89">
        <v>20878</v>
      </c>
      <c r="O89">
        <v>23.5</v>
      </c>
      <c r="P89">
        <v>422</v>
      </c>
      <c r="Q89">
        <v>1.7569999999999999</v>
      </c>
      <c r="R89">
        <v>0.33300000000000002</v>
      </c>
      <c r="S89">
        <v>52958</v>
      </c>
      <c r="T89">
        <v>59.1</v>
      </c>
      <c r="U89">
        <v>20.9</v>
      </c>
      <c r="V89">
        <v>5032</v>
      </c>
      <c r="W89">
        <v>87.2</v>
      </c>
      <c r="X89">
        <v>8.17</v>
      </c>
      <c r="Y89">
        <v>0</v>
      </c>
    </row>
    <row r="90" spans="1:25" x14ac:dyDescent="0.25">
      <c r="A90" t="s">
        <v>31</v>
      </c>
      <c r="B90">
        <f>_xlfn.XLOOKUP(Table4[[#This Row],[country]],Table2[country],Table2[country_id],FALSE)</f>
        <v>2</v>
      </c>
      <c r="C90" t="s">
        <v>32</v>
      </c>
      <c r="D90">
        <v>2023</v>
      </c>
      <c r="E90">
        <f>_xlfn.XLOOKUP(Table4[[#This Row],[year]],Table1[year],Table1[year_id])</f>
        <v>14</v>
      </c>
      <c r="F90" t="s">
        <v>29</v>
      </c>
      <c r="G90" t="s">
        <v>28</v>
      </c>
      <c r="H90" cm="1">
        <f t="array" ref="H90">_xlfn.XLOOKUP(Table4[[#This Row],[vehicle_segment]]&amp;Table4[[#This Row],[powertrain_type]],Table3[vehicle_segment]&amp;Table3[powertrain_type],Table3[vehicle_id])</f>
        <v>2</v>
      </c>
      <c r="I90">
        <v>26115</v>
      </c>
      <c r="J90">
        <v>102806</v>
      </c>
      <c r="K90">
        <v>14019</v>
      </c>
      <c r="L90">
        <v>142940</v>
      </c>
      <c r="M90">
        <v>18.27</v>
      </c>
      <c r="N90">
        <v>20878</v>
      </c>
      <c r="O90">
        <v>23.5</v>
      </c>
      <c r="P90">
        <v>422</v>
      </c>
      <c r="Q90">
        <v>1.7569999999999999</v>
      </c>
      <c r="R90">
        <v>0.33300000000000002</v>
      </c>
      <c r="S90">
        <v>52958</v>
      </c>
      <c r="T90">
        <v>59.1</v>
      </c>
      <c r="U90">
        <v>20.9</v>
      </c>
      <c r="V90">
        <v>5032</v>
      </c>
      <c r="W90">
        <v>87.2</v>
      </c>
      <c r="X90">
        <v>3.87</v>
      </c>
      <c r="Y90">
        <v>0</v>
      </c>
    </row>
    <row r="91" spans="1:25" x14ac:dyDescent="0.25">
      <c r="A91" t="s">
        <v>31</v>
      </c>
      <c r="B91">
        <f>_xlfn.XLOOKUP(Table4[[#This Row],[country]],Table2[country],Table2[country_id],FALSE)</f>
        <v>2</v>
      </c>
      <c r="C91" t="s">
        <v>32</v>
      </c>
      <c r="D91">
        <v>2023</v>
      </c>
      <c r="E91">
        <f>_xlfn.XLOOKUP(Table4[[#This Row],[year]],Table1[year],Table1[year_id])</f>
        <v>14</v>
      </c>
      <c r="F91" t="s">
        <v>30</v>
      </c>
      <c r="G91" t="s">
        <v>28</v>
      </c>
      <c r="H91" cm="1">
        <f t="array" ref="H91">_xlfn.XLOOKUP(Table4[[#This Row],[vehicle_segment]]&amp;Table4[[#This Row],[powertrain_type]],Table3[vehicle_segment]&amp;Table3[powertrain_type],Table3[vehicle_id])</f>
        <v>3</v>
      </c>
      <c r="I91">
        <v>16147</v>
      </c>
      <c r="J91">
        <v>41220</v>
      </c>
      <c r="K91">
        <v>3584</v>
      </c>
      <c r="L91">
        <v>60951</v>
      </c>
      <c r="M91">
        <v>26.49</v>
      </c>
      <c r="N91">
        <v>20878</v>
      </c>
      <c r="O91">
        <v>23.5</v>
      </c>
      <c r="P91">
        <v>422</v>
      </c>
      <c r="Q91">
        <v>1.7569999999999999</v>
      </c>
      <c r="R91">
        <v>0.33300000000000002</v>
      </c>
      <c r="S91">
        <v>52958</v>
      </c>
      <c r="T91">
        <v>59.1</v>
      </c>
      <c r="U91">
        <v>20.9</v>
      </c>
      <c r="V91">
        <v>5032</v>
      </c>
      <c r="W91">
        <v>87.2</v>
      </c>
      <c r="X91">
        <v>9.1199999999999992</v>
      </c>
      <c r="Y91">
        <v>0</v>
      </c>
    </row>
    <row r="92" spans="1:25" x14ac:dyDescent="0.25">
      <c r="A92" t="s">
        <v>31</v>
      </c>
      <c r="B92">
        <f>_xlfn.XLOOKUP(Table4[[#This Row],[country]],Table2[country],Table2[country_id],FALSE)</f>
        <v>2</v>
      </c>
      <c r="C92" t="s">
        <v>32</v>
      </c>
      <c r="D92">
        <v>2024</v>
      </c>
      <c r="E92">
        <f>_xlfn.XLOOKUP(Table4[[#This Row],[year]],Table1[year],Table1[year_id])</f>
        <v>15</v>
      </c>
      <c r="F92" t="s">
        <v>27</v>
      </c>
      <c r="G92" t="s">
        <v>28</v>
      </c>
      <c r="H92" cm="1">
        <f t="array" ref="H92">_xlfn.XLOOKUP(Table4[[#This Row],[vehicle_segment]]&amp;Table4[[#This Row],[powertrain_type]],Table3[vehicle_segment]&amp;Table3[powertrain_type],Table3[vehicle_id])</f>
        <v>1</v>
      </c>
      <c r="I92">
        <v>2990</v>
      </c>
      <c r="J92">
        <v>20158</v>
      </c>
      <c r="K92">
        <v>13439</v>
      </c>
      <c r="L92">
        <v>36587</v>
      </c>
      <c r="M92">
        <v>8.17</v>
      </c>
      <c r="N92">
        <v>26311</v>
      </c>
      <c r="O92">
        <v>25.7</v>
      </c>
      <c r="P92">
        <v>445</v>
      </c>
      <c r="Q92">
        <v>1.68</v>
      </c>
      <c r="R92">
        <v>0.308</v>
      </c>
      <c r="S92">
        <v>56638</v>
      </c>
      <c r="T92">
        <v>59.3</v>
      </c>
      <c r="U92">
        <v>20.100000000000001</v>
      </c>
      <c r="V92">
        <v>5071</v>
      </c>
      <c r="W92">
        <v>90.2</v>
      </c>
      <c r="X92">
        <v>28.33</v>
      </c>
      <c r="Y92">
        <v>0</v>
      </c>
    </row>
    <row r="93" spans="1:25" x14ac:dyDescent="0.25">
      <c r="A93" t="s">
        <v>31</v>
      </c>
      <c r="B93">
        <f>_xlfn.XLOOKUP(Table4[[#This Row],[country]],Table2[country],Table2[country_id],FALSE)</f>
        <v>2</v>
      </c>
      <c r="C93" t="s">
        <v>32</v>
      </c>
      <c r="D93">
        <v>2024</v>
      </c>
      <c r="E93">
        <f>_xlfn.XLOOKUP(Table4[[#This Row],[year]],Table1[year],Table1[year_id])</f>
        <v>15</v>
      </c>
      <c r="F93" t="s">
        <v>29</v>
      </c>
      <c r="G93" t="s">
        <v>28</v>
      </c>
      <c r="H93" cm="1">
        <f t="array" ref="H93">_xlfn.XLOOKUP(Table4[[#This Row],[vehicle_segment]]&amp;Table4[[#This Row],[powertrain_type]],Table3[vehicle_segment]&amp;Table3[powertrain_type],Table3[vehicle_id])</f>
        <v>2</v>
      </c>
      <c r="I93">
        <v>34343</v>
      </c>
      <c r="J93">
        <v>99208</v>
      </c>
      <c r="K93">
        <v>13528</v>
      </c>
      <c r="L93">
        <v>147079</v>
      </c>
      <c r="M93">
        <v>23.35</v>
      </c>
      <c r="N93">
        <v>26311</v>
      </c>
      <c r="O93">
        <v>25.7</v>
      </c>
      <c r="P93">
        <v>445</v>
      </c>
      <c r="Q93">
        <v>1.68</v>
      </c>
      <c r="R93">
        <v>0.308</v>
      </c>
      <c r="S93">
        <v>56638</v>
      </c>
      <c r="T93">
        <v>59.3</v>
      </c>
      <c r="U93">
        <v>20.100000000000001</v>
      </c>
      <c r="V93">
        <v>5071</v>
      </c>
      <c r="W93">
        <v>90.2</v>
      </c>
      <c r="X93">
        <v>31.51</v>
      </c>
      <c r="Y93">
        <v>0</v>
      </c>
    </row>
    <row r="94" spans="1:25" x14ac:dyDescent="0.25">
      <c r="A94" t="s">
        <v>31</v>
      </c>
      <c r="B94">
        <f>_xlfn.XLOOKUP(Table4[[#This Row],[country]],Table2[country],Table2[country_id],FALSE)</f>
        <v>2</v>
      </c>
      <c r="C94" t="s">
        <v>32</v>
      </c>
      <c r="D94">
        <v>2024</v>
      </c>
      <c r="E94">
        <f>_xlfn.XLOOKUP(Table4[[#This Row],[year]],Table1[year],Table1[year_id])</f>
        <v>15</v>
      </c>
      <c r="F94" t="s">
        <v>30</v>
      </c>
      <c r="G94" t="s">
        <v>28</v>
      </c>
      <c r="H94" cm="1">
        <f t="array" ref="H94">_xlfn.XLOOKUP(Table4[[#This Row],[vehicle_segment]]&amp;Table4[[#This Row],[powertrain_type]],Table3[vehicle_segment]&amp;Table3[powertrain_type],Table3[vehicle_id])</f>
        <v>3</v>
      </c>
      <c r="I94">
        <v>21233</v>
      </c>
      <c r="J94">
        <v>38162</v>
      </c>
      <c r="K94">
        <v>3318</v>
      </c>
      <c r="L94">
        <v>62713</v>
      </c>
      <c r="M94">
        <v>33.86</v>
      </c>
      <c r="N94">
        <v>26311</v>
      </c>
      <c r="O94">
        <v>25.7</v>
      </c>
      <c r="P94">
        <v>445</v>
      </c>
      <c r="Q94">
        <v>1.68</v>
      </c>
      <c r="R94">
        <v>0.308</v>
      </c>
      <c r="S94">
        <v>56638</v>
      </c>
      <c r="T94">
        <v>59.3</v>
      </c>
      <c r="U94">
        <v>20.100000000000001</v>
      </c>
      <c r="V94">
        <v>5071</v>
      </c>
      <c r="W94">
        <v>90.2</v>
      </c>
      <c r="X94">
        <v>31.5</v>
      </c>
      <c r="Y94">
        <v>0</v>
      </c>
    </row>
    <row r="95" spans="1:25" x14ac:dyDescent="0.25">
      <c r="A95" t="s">
        <v>31</v>
      </c>
      <c r="B95">
        <f>_xlfn.XLOOKUP(Table4[[#This Row],[country]],Table2[country],Table2[country_id],FALSE)</f>
        <v>2</v>
      </c>
      <c r="C95" t="s">
        <v>32</v>
      </c>
      <c r="D95">
        <v>2025</v>
      </c>
      <c r="E95">
        <f>_xlfn.XLOOKUP(Table4[[#This Row],[year]],Table1[year],Table1[year_id])</f>
        <v>16</v>
      </c>
      <c r="F95" t="s">
        <v>27</v>
      </c>
      <c r="G95" t="s">
        <v>28</v>
      </c>
      <c r="H95" cm="1">
        <f t="array" ref="H95">_xlfn.XLOOKUP(Table4[[#This Row],[vehicle_segment]]&amp;Table4[[#This Row],[powertrain_type]],Table3[vehicle_segment]&amp;Table3[powertrain_type],Table3[vehicle_id])</f>
        <v>1</v>
      </c>
      <c r="I95">
        <v>3416</v>
      </c>
      <c r="J95">
        <v>21178</v>
      </c>
      <c r="K95">
        <v>14119</v>
      </c>
      <c r="L95">
        <v>38713</v>
      </c>
      <c r="M95">
        <v>8.82</v>
      </c>
      <c r="N95">
        <v>28762</v>
      </c>
      <c r="O95">
        <v>28.8</v>
      </c>
      <c r="P95">
        <v>481</v>
      </c>
      <c r="Q95">
        <v>1.6</v>
      </c>
      <c r="R95">
        <v>0.27700000000000002</v>
      </c>
      <c r="S95">
        <v>57542</v>
      </c>
      <c r="T95">
        <v>59.2</v>
      </c>
      <c r="U95">
        <v>19.2</v>
      </c>
      <c r="V95">
        <v>5068</v>
      </c>
      <c r="W95">
        <v>92.5</v>
      </c>
      <c r="X95">
        <v>14.25</v>
      </c>
      <c r="Y95">
        <v>0</v>
      </c>
    </row>
    <row r="96" spans="1:25" x14ac:dyDescent="0.25">
      <c r="A96" t="s">
        <v>31</v>
      </c>
      <c r="B96">
        <f>_xlfn.XLOOKUP(Table4[[#This Row],[country]],Table2[country],Table2[country_id],FALSE)</f>
        <v>2</v>
      </c>
      <c r="C96" t="s">
        <v>32</v>
      </c>
      <c r="D96">
        <v>2025</v>
      </c>
      <c r="E96">
        <f>_xlfn.XLOOKUP(Table4[[#This Row],[year]],Table1[year],Table1[year_id])</f>
        <v>16</v>
      </c>
      <c r="F96" t="s">
        <v>29</v>
      </c>
      <c r="G96" t="s">
        <v>28</v>
      </c>
      <c r="H96" cm="1">
        <f t="array" ref="H96">_xlfn.XLOOKUP(Table4[[#This Row],[vehicle_segment]]&amp;Table4[[#This Row],[powertrain_type]],Table3[vehicle_segment]&amp;Table3[powertrain_type],Table3[vehicle_id])</f>
        <v>2</v>
      </c>
      <c r="I96">
        <v>40120</v>
      </c>
      <c r="J96">
        <v>104742</v>
      </c>
      <c r="K96">
        <v>14283</v>
      </c>
      <c r="L96">
        <v>159145</v>
      </c>
      <c r="M96">
        <v>25.21</v>
      </c>
      <c r="N96">
        <v>28762</v>
      </c>
      <c r="O96">
        <v>28.8</v>
      </c>
      <c r="P96">
        <v>481</v>
      </c>
      <c r="Q96">
        <v>1.6</v>
      </c>
      <c r="R96">
        <v>0.27700000000000002</v>
      </c>
      <c r="S96">
        <v>57542</v>
      </c>
      <c r="T96">
        <v>59.2</v>
      </c>
      <c r="U96">
        <v>19.2</v>
      </c>
      <c r="V96">
        <v>5068</v>
      </c>
      <c r="W96">
        <v>92.5</v>
      </c>
      <c r="X96">
        <v>16.82</v>
      </c>
      <c r="Y96">
        <v>0</v>
      </c>
    </row>
    <row r="97" spans="1:25" x14ac:dyDescent="0.25">
      <c r="A97" t="s">
        <v>31</v>
      </c>
      <c r="B97">
        <f>_xlfn.XLOOKUP(Table4[[#This Row],[country]],Table2[country],Table2[country_id],FALSE)</f>
        <v>2</v>
      </c>
      <c r="C97" t="s">
        <v>32</v>
      </c>
      <c r="D97">
        <v>2025</v>
      </c>
      <c r="E97">
        <f>_xlfn.XLOOKUP(Table4[[#This Row],[year]],Table1[year],Table1[year_id])</f>
        <v>16</v>
      </c>
      <c r="F97" t="s">
        <v>30</v>
      </c>
      <c r="G97" t="s">
        <v>28</v>
      </c>
      <c r="H97" cm="1">
        <f t="array" ref="H97">_xlfn.XLOOKUP(Table4[[#This Row],[vehicle_segment]]&amp;Table4[[#This Row],[powertrain_type]],Table3[vehicle_segment]&amp;Table3[powertrain_type],Table3[vehicle_id])</f>
        <v>3</v>
      </c>
      <c r="I97">
        <v>23485</v>
      </c>
      <c r="J97">
        <v>37500</v>
      </c>
      <c r="K97">
        <v>3261</v>
      </c>
      <c r="L97">
        <v>64246</v>
      </c>
      <c r="M97">
        <v>36.549999999999997</v>
      </c>
      <c r="N97">
        <v>28762</v>
      </c>
      <c r="O97">
        <v>28.8</v>
      </c>
      <c r="P97">
        <v>481</v>
      </c>
      <c r="Q97">
        <v>1.6</v>
      </c>
      <c r="R97">
        <v>0.27700000000000002</v>
      </c>
      <c r="S97">
        <v>57542</v>
      </c>
      <c r="T97">
        <v>59.2</v>
      </c>
      <c r="U97">
        <v>19.2</v>
      </c>
      <c r="V97">
        <v>5068</v>
      </c>
      <c r="W97">
        <v>92.5</v>
      </c>
      <c r="X97">
        <v>10.61</v>
      </c>
      <c r="Y97">
        <v>0</v>
      </c>
    </row>
    <row r="98" spans="1:25" x14ac:dyDescent="0.25">
      <c r="A98" t="s">
        <v>33</v>
      </c>
      <c r="B98">
        <f>_xlfn.XLOOKUP(Table4[[#This Row],[country]],Table2[country],Table2[country_id],FALSE)</f>
        <v>3</v>
      </c>
      <c r="C98" t="s">
        <v>32</v>
      </c>
      <c r="D98">
        <v>2010</v>
      </c>
      <c r="E98">
        <f>_xlfn.XLOOKUP(Table4[[#This Row],[year]],Table1[year],Table1[year_id])</f>
        <v>1</v>
      </c>
      <c r="F98" t="s">
        <v>27</v>
      </c>
      <c r="G98" t="s">
        <v>28</v>
      </c>
      <c r="H98" cm="1">
        <f t="array" ref="H98">_xlfn.XLOOKUP(Table4[[#This Row],[vehicle_segment]]&amp;Table4[[#This Row],[powertrain_type]],Table3[vehicle_segment]&amp;Table3[powertrain_type],Table3[vehicle_id])</f>
        <v>1</v>
      </c>
      <c r="I98">
        <v>6</v>
      </c>
      <c r="J98">
        <v>50107</v>
      </c>
      <c r="K98">
        <v>33405</v>
      </c>
      <c r="L98">
        <v>83518</v>
      </c>
      <c r="M98">
        <v>0.01</v>
      </c>
      <c r="N98">
        <v>101</v>
      </c>
      <c r="O98">
        <v>2</v>
      </c>
      <c r="P98">
        <v>125</v>
      </c>
      <c r="Q98">
        <v>1.53</v>
      </c>
      <c r="R98">
        <v>0.216</v>
      </c>
      <c r="S98">
        <v>45291</v>
      </c>
      <c r="T98">
        <v>97.5</v>
      </c>
      <c r="U98">
        <v>26.4</v>
      </c>
      <c r="V98">
        <v>0</v>
      </c>
      <c r="W98">
        <v>55.1</v>
      </c>
      <c r="X98">
        <v>0</v>
      </c>
      <c r="Y98">
        <v>0</v>
      </c>
    </row>
    <row r="99" spans="1:25" x14ac:dyDescent="0.25">
      <c r="A99" t="s">
        <v>33</v>
      </c>
      <c r="B99">
        <f>_xlfn.XLOOKUP(Table4[[#This Row],[country]],Table2[country],Table2[country_id],FALSE)</f>
        <v>3</v>
      </c>
      <c r="C99" t="s">
        <v>32</v>
      </c>
      <c r="D99">
        <v>2010</v>
      </c>
      <c r="E99">
        <f>_xlfn.XLOOKUP(Table4[[#This Row],[year]],Table1[year],Table1[year_id])</f>
        <v>1</v>
      </c>
      <c r="F99" t="s">
        <v>29</v>
      </c>
      <c r="G99" t="s">
        <v>28</v>
      </c>
      <c r="H99" cm="1">
        <f t="array" ref="H99">_xlfn.XLOOKUP(Table4[[#This Row],[vehicle_segment]]&amp;Table4[[#This Row],[powertrain_type]],Table3[vehicle_segment]&amp;Table3[powertrain_type],Table3[vehicle_id])</f>
        <v>2</v>
      </c>
      <c r="I99">
        <v>66</v>
      </c>
      <c r="J99">
        <v>292245</v>
      </c>
      <c r="K99">
        <v>39852</v>
      </c>
      <c r="L99">
        <v>332163</v>
      </c>
      <c r="M99">
        <v>0.02</v>
      </c>
      <c r="N99">
        <v>101</v>
      </c>
      <c r="O99">
        <v>2</v>
      </c>
      <c r="P99">
        <v>125</v>
      </c>
      <c r="Q99">
        <v>1.53</v>
      </c>
      <c r="R99">
        <v>0.216</v>
      </c>
      <c r="S99">
        <v>45291</v>
      </c>
      <c r="T99">
        <v>97.5</v>
      </c>
      <c r="U99">
        <v>26.4</v>
      </c>
      <c r="V99">
        <v>0</v>
      </c>
      <c r="W99">
        <v>55.1</v>
      </c>
      <c r="X99">
        <v>0</v>
      </c>
      <c r="Y99">
        <v>0</v>
      </c>
    </row>
    <row r="100" spans="1:25" x14ac:dyDescent="0.25">
      <c r="A100" t="s">
        <v>33</v>
      </c>
      <c r="B100">
        <f>_xlfn.XLOOKUP(Table4[[#This Row],[country]],Table2[country],Table2[country_id],FALSE)</f>
        <v>3</v>
      </c>
      <c r="C100" t="s">
        <v>32</v>
      </c>
      <c r="D100">
        <v>2010</v>
      </c>
      <c r="E100">
        <f>_xlfn.XLOOKUP(Table4[[#This Row],[year]],Table1[year],Table1[year_id])</f>
        <v>1</v>
      </c>
      <c r="F100" t="s">
        <v>30</v>
      </c>
      <c r="G100" t="s">
        <v>28</v>
      </c>
      <c r="H100" cm="1">
        <f t="array" ref="H100">_xlfn.XLOOKUP(Table4[[#This Row],[vehicle_segment]]&amp;Table4[[#This Row],[powertrain_type]],Table3[vehicle_segment]&amp;Table3[powertrain_type],Table3[vehicle_id])</f>
        <v>3</v>
      </c>
      <c r="I100">
        <v>40</v>
      </c>
      <c r="J100">
        <v>125953</v>
      </c>
      <c r="K100">
        <v>10952</v>
      </c>
      <c r="L100">
        <v>136945</v>
      </c>
      <c r="M100">
        <v>0.03</v>
      </c>
      <c r="N100">
        <v>101</v>
      </c>
      <c r="O100">
        <v>2</v>
      </c>
      <c r="P100">
        <v>125</v>
      </c>
      <c r="Q100">
        <v>1.53</v>
      </c>
      <c r="R100">
        <v>0.216</v>
      </c>
      <c r="S100">
        <v>45291</v>
      </c>
      <c r="T100">
        <v>97.5</v>
      </c>
      <c r="U100">
        <v>26.4</v>
      </c>
      <c r="V100">
        <v>0</v>
      </c>
      <c r="W100">
        <v>55.1</v>
      </c>
      <c r="X100">
        <v>0</v>
      </c>
      <c r="Y100">
        <v>0</v>
      </c>
    </row>
    <row r="101" spans="1:25" x14ac:dyDescent="0.25">
      <c r="A101" t="s">
        <v>33</v>
      </c>
      <c r="B101">
        <f>_xlfn.XLOOKUP(Table4[[#This Row],[country]],Table2[country],Table2[country_id],FALSE)</f>
        <v>3</v>
      </c>
      <c r="C101" t="s">
        <v>32</v>
      </c>
      <c r="D101">
        <v>2011</v>
      </c>
      <c r="E101">
        <f>_xlfn.XLOOKUP(Table4[[#This Row],[year]],Table1[year],Table1[year_id])</f>
        <v>2</v>
      </c>
      <c r="F101" t="s">
        <v>27</v>
      </c>
      <c r="G101" t="s">
        <v>28</v>
      </c>
      <c r="H101" cm="1">
        <f t="array" ref="H101">_xlfn.XLOOKUP(Table4[[#This Row],[vehicle_segment]]&amp;Table4[[#This Row],[powertrain_type]],Table3[vehicle_segment]&amp;Table3[powertrain_type],Table3[vehicle_id])</f>
        <v>1</v>
      </c>
      <c r="I101">
        <v>11</v>
      </c>
      <c r="J101">
        <v>47677</v>
      </c>
      <c r="K101">
        <v>31785</v>
      </c>
      <c r="L101">
        <v>79473</v>
      </c>
      <c r="M101">
        <v>0.01</v>
      </c>
      <c r="N101">
        <v>221</v>
      </c>
      <c r="O101">
        <v>2.7</v>
      </c>
      <c r="P101">
        <v>135</v>
      </c>
      <c r="Q101">
        <v>1.4930000000000001</v>
      </c>
      <c r="R101">
        <v>0.223</v>
      </c>
      <c r="S101">
        <v>43513</v>
      </c>
      <c r="T101">
        <v>97.7</v>
      </c>
      <c r="U101">
        <v>25.9</v>
      </c>
      <c r="V101">
        <v>705</v>
      </c>
      <c r="W101">
        <v>56</v>
      </c>
      <c r="X101">
        <v>83.33</v>
      </c>
      <c r="Y101">
        <v>0</v>
      </c>
    </row>
    <row r="102" spans="1:25" x14ac:dyDescent="0.25">
      <c r="A102" t="s">
        <v>33</v>
      </c>
      <c r="B102">
        <f>_xlfn.XLOOKUP(Table4[[#This Row],[country]],Table2[country],Table2[country_id],FALSE)</f>
        <v>3</v>
      </c>
      <c r="C102" t="s">
        <v>32</v>
      </c>
      <c r="D102">
        <v>2011</v>
      </c>
      <c r="E102">
        <f>_xlfn.XLOOKUP(Table4[[#This Row],[year]],Table1[year],Table1[year_id])</f>
        <v>2</v>
      </c>
      <c r="F102" t="s">
        <v>29</v>
      </c>
      <c r="G102" t="s">
        <v>28</v>
      </c>
      <c r="H102" cm="1">
        <f t="array" ref="H102">_xlfn.XLOOKUP(Table4[[#This Row],[vehicle_segment]]&amp;Table4[[#This Row],[powertrain_type]],Table3[vehicle_segment]&amp;Table3[powertrain_type],Table3[vehicle_id])</f>
        <v>2</v>
      </c>
      <c r="I102">
        <v>126</v>
      </c>
      <c r="J102">
        <v>276670</v>
      </c>
      <c r="K102">
        <v>37728</v>
      </c>
      <c r="L102">
        <v>314524</v>
      </c>
      <c r="M102">
        <v>0.04</v>
      </c>
      <c r="N102">
        <v>221</v>
      </c>
      <c r="O102">
        <v>2.7</v>
      </c>
      <c r="P102">
        <v>135</v>
      </c>
      <c r="Q102">
        <v>1.4930000000000001</v>
      </c>
      <c r="R102">
        <v>0.223</v>
      </c>
      <c r="S102">
        <v>43513</v>
      </c>
      <c r="T102">
        <v>97.7</v>
      </c>
      <c r="U102">
        <v>25.9</v>
      </c>
      <c r="V102">
        <v>705</v>
      </c>
      <c r="W102">
        <v>56</v>
      </c>
      <c r="X102">
        <v>90.91</v>
      </c>
      <c r="Y102">
        <v>0</v>
      </c>
    </row>
    <row r="103" spans="1:25" x14ac:dyDescent="0.25">
      <c r="A103" t="s">
        <v>33</v>
      </c>
      <c r="B103">
        <f>_xlfn.XLOOKUP(Table4[[#This Row],[country]],Table2[country],Table2[country_id],FALSE)</f>
        <v>3</v>
      </c>
      <c r="C103" t="s">
        <v>32</v>
      </c>
      <c r="D103">
        <v>2011</v>
      </c>
      <c r="E103">
        <f>_xlfn.XLOOKUP(Table4[[#This Row],[year]],Table1[year],Table1[year_id])</f>
        <v>2</v>
      </c>
      <c r="F103" t="s">
        <v>30</v>
      </c>
      <c r="G103" t="s">
        <v>28</v>
      </c>
      <c r="H103" cm="1">
        <f t="array" ref="H103">_xlfn.XLOOKUP(Table4[[#This Row],[vehicle_segment]]&amp;Table4[[#This Row],[powertrain_type]],Table3[vehicle_segment]&amp;Table3[powertrain_type],Table3[vehicle_id])</f>
        <v>3</v>
      </c>
      <c r="I103">
        <v>75</v>
      </c>
      <c r="J103">
        <v>118827</v>
      </c>
      <c r="K103">
        <v>10333</v>
      </c>
      <c r="L103">
        <v>129235</v>
      </c>
      <c r="M103">
        <v>0.06</v>
      </c>
      <c r="N103">
        <v>221</v>
      </c>
      <c r="O103">
        <v>2.7</v>
      </c>
      <c r="P103">
        <v>135</v>
      </c>
      <c r="Q103">
        <v>1.4930000000000001</v>
      </c>
      <c r="R103">
        <v>0.223</v>
      </c>
      <c r="S103">
        <v>43513</v>
      </c>
      <c r="T103">
        <v>97.7</v>
      </c>
      <c r="U103">
        <v>25.9</v>
      </c>
      <c r="V103">
        <v>705</v>
      </c>
      <c r="W103">
        <v>56</v>
      </c>
      <c r="X103">
        <v>87.5</v>
      </c>
      <c r="Y103">
        <v>0</v>
      </c>
    </row>
    <row r="104" spans="1:25" x14ac:dyDescent="0.25">
      <c r="A104" t="s">
        <v>33</v>
      </c>
      <c r="B104">
        <f>_xlfn.XLOOKUP(Table4[[#This Row],[country]],Table2[country],Table2[country_id],FALSE)</f>
        <v>3</v>
      </c>
      <c r="C104" t="s">
        <v>32</v>
      </c>
      <c r="D104">
        <v>2012</v>
      </c>
      <c r="E104">
        <f>_xlfn.XLOOKUP(Table4[[#This Row],[year]],Table1[year],Table1[year_id])</f>
        <v>3</v>
      </c>
      <c r="F104" t="s">
        <v>27</v>
      </c>
      <c r="G104" t="s">
        <v>28</v>
      </c>
      <c r="H104" cm="1">
        <f t="array" ref="H104">_xlfn.XLOOKUP(Table4[[#This Row],[vehicle_segment]]&amp;Table4[[#This Row],[powertrain_type]],Table3[vehicle_segment]&amp;Table3[powertrain_type],Table3[vehicle_id])</f>
        <v>1</v>
      </c>
      <c r="I104">
        <v>18</v>
      </c>
      <c r="J104">
        <v>44566</v>
      </c>
      <c r="K104">
        <v>29711</v>
      </c>
      <c r="L104">
        <v>74295</v>
      </c>
      <c r="M104">
        <v>0.02</v>
      </c>
      <c r="N104">
        <v>380</v>
      </c>
      <c r="O104">
        <v>3.4</v>
      </c>
      <c r="P104">
        <v>146</v>
      </c>
      <c r="Q104">
        <v>1.4770000000000001</v>
      </c>
      <c r="R104">
        <v>0.22800000000000001</v>
      </c>
      <c r="S104">
        <v>42820</v>
      </c>
      <c r="T104">
        <v>98.2</v>
      </c>
      <c r="U104">
        <v>25.5</v>
      </c>
      <c r="V104">
        <v>1388</v>
      </c>
      <c r="W104">
        <v>58</v>
      </c>
      <c r="X104">
        <v>73.209999999999994</v>
      </c>
      <c r="Y104">
        <v>0</v>
      </c>
    </row>
    <row r="105" spans="1:25" x14ac:dyDescent="0.25">
      <c r="A105" t="s">
        <v>33</v>
      </c>
      <c r="B105">
        <f>_xlfn.XLOOKUP(Table4[[#This Row],[country]],Table2[country],Table2[country_id],FALSE)</f>
        <v>3</v>
      </c>
      <c r="C105" t="s">
        <v>32</v>
      </c>
      <c r="D105">
        <v>2012</v>
      </c>
      <c r="E105">
        <f>_xlfn.XLOOKUP(Table4[[#This Row],[year]],Table1[year],Table1[year_id])</f>
        <v>3</v>
      </c>
      <c r="F105" t="s">
        <v>29</v>
      </c>
      <c r="G105" t="s">
        <v>28</v>
      </c>
      <c r="H105" cm="1">
        <f t="array" ref="H105">_xlfn.XLOOKUP(Table4[[#This Row],[vehicle_segment]]&amp;Table4[[#This Row],[powertrain_type]],Table3[vehicle_segment]&amp;Table3[powertrain_type],Table3[vehicle_id])</f>
        <v>2</v>
      </c>
      <c r="I105">
        <v>210</v>
      </c>
      <c r="J105">
        <v>263740</v>
      </c>
      <c r="K105">
        <v>35965</v>
      </c>
      <c r="L105">
        <v>299915</v>
      </c>
      <c r="M105">
        <v>7.0000000000000007E-2</v>
      </c>
      <c r="N105">
        <v>380</v>
      </c>
      <c r="O105">
        <v>3.4</v>
      </c>
      <c r="P105">
        <v>146</v>
      </c>
      <c r="Q105">
        <v>1.4770000000000001</v>
      </c>
      <c r="R105">
        <v>0.22800000000000001</v>
      </c>
      <c r="S105">
        <v>42820</v>
      </c>
      <c r="T105">
        <v>98.2</v>
      </c>
      <c r="U105">
        <v>25.5</v>
      </c>
      <c r="V105">
        <v>1388</v>
      </c>
      <c r="W105">
        <v>58</v>
      </c>
      <c r="X105">
        <v>66.67</v>
      </c>
      <c r="Y105">
        <v>0</v>
      </c>
    </row>
    <row r="106" spans="1:25" x14ac:dyDescent="0.25">
      <c r="A106" t="s">
        <v>33</v>
      </c>
      <c r="B106">
        <f>_xlfn.XLOOKUP(Table4[[#This Row],[country]],Table2[country],Table2[country_id],FALSE)</f>
        <v>3</v>
      </c>
      <c r="C106" t="s">
        <v>32</v>
      </c>
      <c r="D106">
        <v>2012</v>
      </c>
      <c r="E106">
        <f>_xlfn.XLOOKUP(Table4[[#This Row],[year]],Table1[year],Table1[year_id])</f>
        <v>3</v>
      </c>
      <c r="F106" t="s">
        <v>30</v>
      </c>
      <c r="G106" t="s">
        <v>28</v>
      </c>
      <c r="H106" cm="1">
        <f t="array" ref="H106">_xlfn.XLOOKUP(Table4[[#This Row],[vehicle_segment]]&amp;Table4[[#This Row],[powertrain_type]],Table3[vehicle_segment]&amp;Table3[powertrain_type],Table3[vehicle_id])</f>
        <v>3</v>
      </c>
      <c r="I106">
        <v>128</v>
      </c>
      <c r="J106">
        <v>116159</v>
      </c>
      <c r="K106">
        <v>10101</v>
      </c>
      <c r="L106">
        <v>126388</v>
      </c>
      <c r="M106">
        <v>0.1</v>
      </c>
      <c r="N106">
        <v>380</v>
      </c>
      <c r="O106">
        <v>3.4</v>
      </c>
      <c r="P106">
        <v>146</v>
      </c>
      <c r="Q106">
        <v>1.4770000000000001</v>
      </c>
      <c r="R106">
        <v>0.22800000000000001</v>
      </c>
      <c r="S106">
        <v>42820</v>
      </c>
      <c r="T106">
        <v>98.2</v>
      </c>
      <c r="U106">
        <v>25.5</v>
      </c>
      <c r="V106">
        <v>1388</v>
      </c>
      <c r="W106">
        <v>58</v>
      </c>
      <c r="X106">
        <v>78.89</v>
      </c>
      <c r="Y106">
        <v>0</v>
      </c>
    </row>
    <row r="107" spans="1:25" x14ac:dyDescent="0.25">
      <c r="A107" t="s">
        <v>33</v>
      </c>
      <c r="B107">
        <f>_xlfn.XLOOKUP(Table4[[#This Row],[country]],Table2[country],Table2[country_id],FALSE)</f>
        <v>3</v>
      </c>
      <c r="C107" t="s">
        <v>32</v>
      </c>
      <c r="D107">
        <v>2013</v>
      </c>
      <c r="E107">
        <f>_xlfn.XLOOKUP(Table4[[#This Row],[year]],Table1[year],Table1[year_id])</f>
        <v>4</v>
      </c>
      <c r="F107" t="s">
        <v>27</v>
      </c>
      <c r="G107" t="s">
        <v>28</v>
      </c>
      <c r="H107" cm="1">
        <f t="array" ref="H107">_xlfn.XLOOKUP(Table4[[#This Row],[vehicle_segment]]&amp;Table4[[#This Row],[powertrain_type]],Table3[vehicle_segment]&amp;Table3[powertrain_type],Table3[vehicle_id])</f>
        <v>1</v>
      </c>
      <c r="I107">
        <v>26</v>
      </c>
      <c r="J107">
        <v>44672</v>
      </c>
      <c r="K107">
        <v>29782</v>
      </c>
      <c r="L107">
        <v>74480</v>
      </c>
      <c r="M107">
        <v>0.03</v>
      </c>
      <c r="N107">
        <v>512</v>
      </c>
      <c r="O107">
        <v>4.3</v>
      </c>
      <c r="P107">
        <v>142</v>
      </c>
      <c r="Q107">
        <v>1.44</v>
      </c>
      <c r="R107">
        <v>0.23200000000000001</v>
      </c>
      <c r="S107">
        <v>42187</v>
      </c>
      <c r="T107">
        <v>97.8</v>
      </c>
      <c r="U107">
        <v>25.2</v>
      </c>
      <c r="V107">
        <v>2108</v>
      </c>
      <c r="W107">
        <v>60.6</v>
      </c>
      <c r="X107">
        <v>63.03</v>
      </c>
      <c r="Y107">
        <v>0</v>
      </c>
    </row>
    <row r="108" spans="1:25" x14ac:dyDescent="0.25">
      <c r="A108" t="s">
        <v>33</v>
      </c>
      <c r="B108">
        <f>_xlfn.XLOOKUP(Table4[[#This Row],[country]],Table2[country],Table2[country_id],FALSE)</f>
        <v>3</v>
      </c>
      <c r="C108" t="s">
        <v>32</v>
      </c>
      <c r="D108">
        <v>2013</v>
      </c>
      <c r="E108">
        <f>_xlfn.XLOOKUP(Table4[[#This Row],[year]],Table1[year],Table1[year_id])</f>
        <v>4</v>
      </c>
      <c r="F108" t="s">
        <v>29</v>
      </c>
      <c r="G108" t="s">
        <v>28</v>
      </c>
      <c r="H108" cm="1">
        <f t="array" ref="H108">_xlfn.XLOOKUP(Table4[[#This Row],[vehicle_segment]]&amp;Table4[[#This Row],[powertrain_type]],Table3[vehicle_segment]&amp;Table3[powertrain_type],Table3[vehicle_id])</f>
        <v>2</v>
      </c>
      <c r="I108">
        <v>301</v>
      </c>
      <c r="J108">
        <v>264841</v>
      </c>
      <c r="K108">
        <v>36115</v>
      </c>
      <c r="L108">
        <v>301257</v>
      </c>
      <c r="M108">
        <v>0.1</v>
      </c>
      <c r="N108">
        <v>512</v>
      </c>
      <c r="O108">
        <v>4.3</v>
      </c>
      <c r="P108">
        <v>142</v>
      </c>
      <c r="Q108">
        <v>1.44</v>
      </c>
      <c r="R108">
        <v>0.23200000000000001</v>
      </c>
      <c r="S108">
        <v>42187</v>
      </c>
      <c r="T108">
        <v>97.8</v>
      </c>
      <c r="U108">
        <v>25.2</v>
      </c>
      <c r="V108">
        <v>2108</v>
      </c>
      <c r="W108">
        <v>60.6</v>
      </c>
      <c r="X108">
        <v>43.33</v>
      </c>
      <c r="Y108">
        <v>0</v>
      </c>
    </row>
    <row r="109" spans="1:25" x14ac:dyDescent="0.25">
      <c r="A109" t="s">
        <v>33</v>
      </c>
      <c r="B109">
        <f>_xlfn.XLOOKUP(Table4[[#This Row],[country]],Table2[country],Table2[country_id],FALSE)</f>
        <v>3</v>
      </c>
      <c r="C109" t="s">
        <v>32</v>
      </c>
      <c r="D109">
        <v>2013</v>
      </c>
      <c r="E109">
        <f>_xlfn.XLOOKUP(Table4[[#This Row],[year]],Table1[year],Table1[year_id])</f>
        <v>4</v>
      </c>
      <c r="F109" t="s">
        <v>30</v>
      </c>
      <c r="G109" t="s">
        <v>28</v>
      </c>
      <c r="H109" cm="1">
        <f t="array" ref="H109">_xlfn.XLOOKUP(Table4[[#This Row],[vehicle_segment]]&amp;Table4[[#This Row],[powertrain_type]],Table3[vehicle_segment]&amp;Table3[powertrain_type],Table3[vehicle_id])</f>
        <v>3</v>
      </c>
      <c r="I109">
        <v>177</v>
      </c>
      <c r="J109">
        <v>111996</v>
      </c>
      <c r="K109">
        <v>9739</v>
      </c>
      <c r="L109">
        <v>121912</v>
      </c>
      <c r="M109">
        <v>0.15</v>
      </c>
      <c r="N109">
        <v>512</v>
      </c>
      <c r="O109">
        <v>4.3</v>
      </c>
      <c r="P109">
        <v>142</v>
      </c>
      <c r="Q109">
        <v>1.44</v>
      </c>
      <c r="R109">
        <v>0.23200000000000001</v>
      </c>
      <c r="S109">
        <v>42187</v>
      </c>
      <c r="T109">
        <v>97.8</v>
      </c>
      <c r="U109">
        <v>25.2</v>
      </c>
      <c r="V109">
        <v>2108</v>
      </c>
      <c r="W109">
        <v>60.6</v>
      </c>
      <c r="X109">
        <v>38.28</v>
      </c>
      <c r="Y109">
        <v>0</v>
      </c>
    </row>
    <row r="110" spans="1:25" x14ac:dyDescent="0.25">
      <c r="A110" t="s">
        <v>33</v>
      </c>
      <c r="B110">
        <f>_xlfn.XLOOKUP(Table4[[#This Row],[country]],Table2[country],Table2[country_id],FALSE)</f>
        <v>3</v>
      </c>
      <c r="C110" t="s">
        <v>32</v>
      </c>
      <c r="D110">
        <v>2014</v>
      </c>
      <c r="E110">
        <f>_xlfn.XLOOKUP(Table4[[#This Row],[year]],Table1[year],Table1[year_id])</f>
        <v>5</v>
      </c>
      <c r="F110" t="s">
        <v>27</v>
      </c>
      <c r="G110" t="s">
        <v>28</v>
      </c>
      <c r="H110" cm="1">
        <f t="array" ref="H110">_xlfn.XLOOKUP(Table4[[#This Row],[vehicle_segment]]&amp;Table4[[#This Row],[powertrain_type]],Table3[vehicle_segment]&amp;Table3[powertrain_type],Table3[vehicle_id])</f>
        <v>1</v>
      </c>
      <c r="I110">
        <v>92</v>
      </c>
      <c r="J110">
        <v>43958</v>
      </c>
      <c r="K110">
        <v>29305</v>
      </c>
      <c r="L110">
        <v>73355</v>
      </c>
      <c r="M110">
        <v>0.13</v>
      </c>
      <c r="N110">
        <v>1241</v>
      </c>
      <c r="O110">
        <v>4.9000000000000004</v>
      </c>
      <c r="P110">
        <v>153</v>
      </c>
      <c r="Q110">
        <v>1.4330000000000001</v>
      </c>
      <c r="R110">
        <v>0.23599999999999999</v>
      </c>
      <c r="S110">
        <v>40760</v>
      </c>
      <c r="T110">
        <v>97.8</v>
      </c>
      <c r="U110">
        <v>25.2</v>
      </c>
      <c r="V110">
        <v>2822</v>
      </c>
      <c r="W110">
        <v>62.4</v>
      </c>
      <c r="X110">
        <v>102.99</v>
      </c>
      <c r="Y110">
        <v>0</v>
      </c>
    </row>
    <row r="111" spans="1:25" x14ac:dyDescent="0.25">
      <c r="A111" t="s">
        <v>33</v>
      </c>
      <c r="B111">
        <f>_xlfn.XLOOKUP(Table4[[#This Row],[country]],Table2[country],Table2[country_id],FALSE)</f>
        <v>3</v>
      </c>
      <c r="C111" t="s">
        <v>32</v>
      </c>
      <c r="D111">
        <v>2014</v>
      </c>
      <c r="E111">
        <f>_xlfn.XLOOKUP(Table4[[#This Row],[year]],Table1[year],Table1[year_id])</f>
        <v>5</v>
      </c>
      <c r="F111" t="s">
        <v>29</v>
      </c>
      <c r="G111" t="s">
        <v>28</v>
      </c>
      <c r="H111" cm="1">
        <f t="array" ref="H111">_xlfn.XLOOKUP(Table4[[#This Row],[vehicle_segment]]&amp;Table4[[#This Row],[powertrain_type]],Table3[vehicle_segment]&amp;Table3[powertrain_type],Table3[vehicle_id])</f>
        <v>2</v>
      </c>
      <c r="I111">
        <v>1079</v>
      </c>
      <c r="J111">
        <v>262762</v>
      </c>
      <c r="K111">
        <v>35831</v>
      </c>
      <c r="L111">
        <v>299672</v>
      </c>
      <c r="M111">
        <v>0.36</v>
      </c>
      <c r="N111">
        <v>1241</v>
      </c>
      <c r="O111">
        <v>4.9000000000000004</v>
      </c>
      <c r="P111">
        <v>153</v>
      </c>
      <c r="Q111">
        <v>1.4330000000000001</v>
      </c>
      <c r="R111">
        <v>0.23599999999999999</v>
      </c>
      <c r="S111">
        <v>40760</v>
      </c>
      <c r="T111">
        <v>97.8</v>
      </c>
      <c r="U111">
        <v>25.2</v>
      </c>
      <c r="V111">
        <v>2822</v>
      </c>
      <c r="W111">
        <v>62.4</v>
      </c>
      <c r="X111">
        <v>258.47000000000003</v>
      </c>
      <c r="Y111">
        <v>0</v>
      </c>
    </row>
    <row r="112" spans="1:25" x14ac:dyDescent="0.25">
      <c r="A112" t="s">
        <v>33</v>
      </c>
      <c r="B112">
        <f>_xlfn.XLOOKUP(Table4[[#This Row],[country]],Table2[country],Table2[country_id],FALSE)</f>
        <v>3</v>
      </c>
      <c r="C112" t="s">
        <v>32</v>
      </c>
      <c r="D112">
        <v>2014</v>
      </c>
      <c r="E112">
        <f>_xlfn.XLOOKUP(Table4[[#This Row],[year]],Table1[year],Table1[year_id])</f>
        <v>5</v>
      </c>
      <c r="F112" t="s">
        <v>30</v>
      </c>
      <c r="G112" t="s">
        <v>28</v>
      </c>
      <c r="H112" cm="1">
        <f t="array" ref="H112">_xlfn.XLOOKUP(Table4[[#This Row],[vehicle_segment]]&amp;Table4[[#This Row],[powertrain_type]],Table3[vehicle_segment]&amp;Table3[powertrain_type],Table3[vehicle_id])</f>
        <v>3</v>
      </c>
      <c r="I112">
        <v>639</v>
      </c>
      <c r="J112">
        <v>111985</v>
      </c>
      <c r="K112">
        <v>9738</v>
      </c>
      <c r="L112">
        <v>122362</v>
      </c>
      <c r="M112">
        <v>0.52</v>
      </c>
      <c r="N112">
        <v>1241</v>
      </c>
      <c r="O112">
        <v>4.9000000000000004</v>
      </c>
      <c r="P112">
        <v>153</v>
      </c>
      <c r="Q112">
        <v>1.4330000000000001</v>
      </c>
      <c r="R112">
        <v>0.23599999999999999</v>
      </c>
      <c r="S112">
        <v>40760</v>
      </c>
      <c r="T112">
        <v>97.8</v>
      </c>
      <c r="U112">
        <v>25.2</v>
      </c>
      <c r="V112">
        <v>2822</v>
      </c>
      <c r="W112">
        <v>62.4</v>
      </c>
      <c r="X112">
        <v>261.02</v>
      </c>
      <c r="Y112">
        <v>0</v>
      </c>
    </row>
    <row r="113" spans="1:25" x14ac:dyDescent="0.25">
      <c r="A113" t="s">
        <v>33</v>
      </c>
      <c r="B113">
        <f>_xlfn.XLOOKUP(Table4[[#This Row],[country]],Table2[country],Table2[country_id],FALSE)</f>
        <v>3</v>
      </c>
      <c r="C113" t="s">
        <v>32</v>
      </c>
      <c r="D113">
        <v>2015</v>
      </c>
      <c r="E113">
        <f>_xlfn.XLOOKUP(Table4[[#This Row],[year]],Table1[year],Table1[year_id])</f>
        <v>6</v>
      </c>
      <c r="F113" t="s">
        <v>27</v>
      </c>
      <c r="G113" t="s">
        <v>28</v>
      </c>
      <c r="H113" cm="1">
        <f t="array" ref="H113">_xlfn.XLOOKUP(Table4[[#This Row],[vehicle_segment]]&amp;Table4[[#This Row],[powertrain_type]],Table3[vehicle_segment]&amp;Table3[powertrain_type],Table3[vehicle_id])</f>
        <v>1</v>
      </c>
      <c r="I113">
        <v>161</v>
      </c>
      <c r="J113">
        <v>45037</v>
      </c>
      <c r="K113">
        <v>30024</v>
      </c>
      <c r="L113">
        <v>75222</v>
      </c>
      <c r="M113">
        <v>0.21</v>
      </c>
      <c r="N113">
        <v>2036</v>
      </c>
      <c r="O113">
        <v>5.8</v>
      </c>
      <c r="P113">
        <v>173</v>
      </c>
      <c r="Q113">
        <v>1.427</v>
      </c>
      <c r="R113">
        <v>0.24</v>
      </c>
      <c r="S113">
        <v>40432</v>
      </c>
      <c r="T113">
        <v>97.2</v>
      </c>
      <c r="U113">
        <v>25.1</v>
      </c>
      <c r="V113">
        <v>3577</v>
      </c>
      <c r="W113">
        <v>64.400000000000006</v>
      </c>
      <c r="X113">
        <v>107.58</v>
      </c>
      <c r="Y113">
        <v>0</v>
      </c>
    </row>
    <row r="114" spans="1:25" x14ac:dyDescent="0.25">
      <c r="A114" t="s">
        <v>33</v>
      </c>
      <c r="B114">
        <f>_xlfn.XLOOKUP(Table4[[#This Row],[country]],Table2[country],Table2[country_id],FALSE)</f>
        <v>3</v>
      </c>
      <c r="C114" t="s">
        <v>32</v>
      </c>
      <c r="D114">
        <v>2015</v>
      </c>
      <c r="E114">
        <f>_xlfn.XLOOKUP(Table4[[#This Row],[year]],Table1[year],Table1[year_id])</f>
        <v>6</v>
      </c>
      <c r="F114" t="s">
        <v>29</v>
      </c>
      <c r="G114" t="s">
        <v>28</v>
      </c>
      <c r="H114" cm="1">
        <f t="array" ref="H114">_xlfn.XLOOKUP(Table4[[#This Row],[vehicle_segment]]&amp;Table4[[#This Row],[powertrain_type]],Table3[vehicle_segment]&amp;Table3[powertrain_type],Table3[vehicle_id])</f>
        <v>2</v>
      </c>
      <c r="I114">
        <v>1835</v>
      </c>
      <c r="J114">
        <v>263036</v>
      </c>
      <c r="K114">
        <v>35868</v>
      </c>
      <c r="L114">
        <v>300739</v>
      </c>
      <c r="M114">
        <v>0.61</v>
      </c>
      <c r="N114">
        <v>2036</v>
      </c>
      <c r="O114">
        <v>5.8</v>
      </c>
      <c r="P114">
        <v>173</v>
      </c>
      <c r="Q114">
        <v>1.427</v>
      </c>
      <c r="R114">
        <v>0.24</v>
      </c>
      <c r="S114">
        <v>40432</v>
      </c>
      <c r="T114">
        <v>97.2</v>
      </c>
      <c r="U114">
        <v>25.1</v>
      </c>
      <c r="V114">
        <v>3577</v>
      </c>
      <c r="W114">
        <v>64.400000000000006</v>
      </c>
      <c r="X114">
        <v>70.06</v>
      </c>
      <c r="Y114">
        <v>0</v>
      </c>
    </row>
    <row r="115" spans="1:25" x14ac:dyDescent="0.25">
      <c r="A115" t="s">
        <v>33</v>
      </c>
      <c r="B115">
        <f>_xlfn.XLOOKUP(Table4[[#This Row],[country]],Table2[country],Table2[country_id],FALSE)</f>
        <v>3</v>
      </c>
      <c r="C115" t="s">
        <v>32</v>
      </c>
      <c r="D115">
        <v>2015</v>
      </c>
      <c r="E115">
        <f>_xlfn.XLOOKUP(Table4[[#This Row],[year]],Table1[year],Table1[year_id])</f>
        <v>6</v>
      </c>
      <c r="F115" t="s">
        <v>30</v>
      </c>
      <c r="G115" t="s">
        <v>28</v>
      </c>
      <c r="H115" cm="1">
        <f t="array" ref="H115">_xlfn.XLOOKUP(Table4[[#This Row],[vehicle_segment]]&amp;Table4[[#This Row],[powertrain_type]],Table3[vehicle_segment]&amp;Table3[powertrain_type],Table3[vehicle_id])</f>
        <v>3</v>
      </c>
      <c r="I115">
        <v>1108</v>
      </c>
      <c r="J115">
        <v>114211</v>
      </c>
      <c r="K115">
        <v>9931</v>
      </c>
      <c r="L115">
        <v>125250</v>
      </c>
      <c r="M115">
        <v>0.88</v>
      </c>
      <c r="N115">
        <v>2036</v>
      </c>
      <c r="O115">
        <v>5.8</v>
      </c>
      <c r="P115">
        <v>173</v>
      </c>
      <c r="Q115">
        <v>1.427</v>
      </c>
      <c r="R115">
        <v>0.24</v>
      </c>
      <c r="S115">
        <v>40432</v>
      </c>
      <c r="T115">
        <v>97.2</v>
      </c>
      <c r="U115">
        <v>25.1</v>
      </c>
      <c r="V115">
        <v>3577</v>
      </c>
      <c r="W115">
        <v>64.400000000000006</v>
      </c>
      <c r="X115">
        <v>73.400000000000006</v>
      </c>
      <c r="Y115">
        <v>0</v>
      </c>
    </row>
    <row r="116" spans="1:25" x14ac:dyDescent="0.25">
      <c r="A116" t="s">
        <v>33</v>
      </c>
      <c r="B116">
        <f>_xlfn.XLOOKUP(Table4[[#This Row],[country]],Table2[country],Table2[country_id],FALSE)</f>
        <v>3</v>
      </c>
      <c r="C116" t="s">
        <v>32</v>
      </c>
      <c r="D116">
        <v>2016</v>
      </c>
      <c r="E116">
        <f>_xlfn.XLOOKUP(Table4[[#This Row],[year]],Table1[year],Table1[year_id])</f>
        <v>7</v>
      </c>
      <c r="F116" t="s">
        <v>27</v>
      </c>
      <c r="G116" t="s">
        <v>28</v>
      </c>
      <c r="H116" cm="1">
        <f t="array" ref="H116">_xlfn.XLOOKUP(Table4[[#This Row],[vehicle_segment]]&amp;Table4[[#This Row],[powertrain_type]],Table3[vehicle_segment]&amp;Table3[powertrain_type],Table3[vehicle_id])</f>
        <v>1</v>
      </c>
      <c r="I116">
        <v>307</v>
      </c>
      <c r="J116">
        <v>46430</v>
      </c>
      <c r="K116">
        <v>30954</v>
      </c>
      <c r="L116">
        <v>77691</v>
      </c>
      <c r="M116">
        <v>0.4</v>
      </c>
      <c r="N116">
        <v>3544</v>
      </c>
      <c r="O116">
        <v>7.4</v>
      </c>
      <c r="P116">
        <v>192</v>
      </c>
      <c r="Q116">
        <v>1.4470000000000001</v>
      </c>
      <c r="R116">
        <v>0.246</v>
      </c>
      <c r="S116">
        <v>42098</v>
      </c>
      <c r="T116">
        <v>97.8</v>
      </c>
      <c r="U116">
        <v>24.7</v>
      </c>
      <c r="V116">
        <v>3536</v>
      </c>
      <c r="W116">
        <v>66.3</v>
      </c>
      <c r="X116">
        <v>90.68</v>
      </c>
      <c r="Y116">
        <v>0</v>
      </c>
    </row>
    <row r="117" spans="1:25" x14ac:dyDescent="0.25">
      <c r="A117" t="s">
        <v>33</v>
      </c>
      <c r="B117">
        <f>_xlfn.XLOOKUP(Table4[[#This Row],[country]],Table2[country],Table2[country_id],FALSE)</f>
        <v>3</v>
      </c>
      <c r="C117" t="s">
        <v>32</v>
      </c>
      <c r="D117">
        <v>2016</v>
      </c>
      <c r="E117">
        <f>_xlfn.XLOOKUP(Table4[[#This Row],[year]],Table1[year],Table1[year_id])</f>
        <v>7</v>
      </c>
      <c r="F117" t="s">
        <v>29</v>
      </c>
      <c r="G117" t="s">
        <v>28</v>
      </c>
      <c r="H117" cm="1">
        <f t="array" ref="H117">_xlfn.XLOOKUP(Table4[[#This Row],[vehicle_segment]]&amp;Table4[[#This Row],[powertrain_type]],Table3[vehicle_segment]&amp;Table3[powertrain_type],Table3[vehicle_id])</f>
        <v>2</v>
      </c>
      <c r="I117">
        <v>3545</v>
      </c>
      <c r="J117">
        <v>272960</v>
      </c>
      <c r="K117">
        <v>37222</v>
      </c>
      <c r="L117">
        <v>313727</v>
      </c>
      <c r="M117">
        <v>1.1299999999999999</v>
      </c>
      <c r="N117">
        <v>3544</v>
      </c>
      <c r="O117">
        <v>7.4</v>
      </c>
      <c r="P117">
        <v>192</v>
      </c>
      <c r="Q117">
        <v>1.4470000000000001</v>
      </c>
      <c r="R117">
        <v>0.246</v>
      </c>
      <c r="S117">
        <v>42098</v>
      </c>
      <c r="T117">
        <v>97.8</v>
      </c>
      <c r="U117">
        <v>24.7</v>
      </c>
      <c r="V117">
        <v>3536</v>
      </c>
      <c r="W117">
        <v>66.3</v>
      </c>
      <c r="X117">
        <v>93.19</v>
      </c>
      <c r="Y117">
        <v>0</v>
      </c>
    </row>
    <row r="118" spans="1:25" x14ac:dyDescent="0.25">
      <c r="A118" t="s">
        <v>33</v>
      </c>
      <c r="B118">
        <f>_xlfn.XLOOKUP(Table4[[#This Row],[country]],Table2[country],Table2[country_id],FALSE)</f>
        <v>3</v>
      </c>
      <c r="C118" t="s">
        <v>32</v>
      </c>
      <c r="D118">
        <v>2016</v>
      </c>
      <c r="E118">
        <f>_xlfn.XLOOKUP(Table4[[#This Row],[year]],Table1[year],Table1[year_id])</f>
        <v>7</v>
      </c>
      <c r="F118" t="s">
        <v>30</v>
      </c>
      <c r="G118" t="s">
        <v>28</v>
      </c>
      <c r="H118" cm="1">
        <f t="array" ref="H118">_xlfn.XLOOKUP(Table4[[#This Row],[vehicle_segment]]&amp;Table4[[#This Row],[powertrain_type]],Table3[vehicle_segment]&amp;Table3[powertrain_type],Table3[vehicle_id])</f>
        <v>3</v>
      </c>
      <c r="I118">
        <v>2143</v>
      </c>
      <c r="J118">
        <v>118364</v>
      </c>
      <c r="K118">
        <v>10292</v>
      </c>
      <c r="L118">
        <v>130799</v>
      </c>
      <c r="M118">
        <v>1.64</v>
      </c>
      <c r="N118">
        <v>3544</v>
      </c>
      <c r="O118">
        <v>7.4</v>
      </c>
      <c r="P118">
        <v>192</v>
      </c>
      <c r="Q118">
        <v>1.4470000000000001</v>
      </c>
      <c r="R118">
        <v>0.246</v>
      </c>
      <c r="S118">
        <v>42098</v>
      </c>
      <c r="T118">
        <v>97.8</v>
      </c>
      <c r="U118">
        <v>24.7</v>
      </c>
      <c r="V118">
        <v>3536</v>
      </c>
      <c r="W118">
        <v>66.3</v>
      </c>
      <c r="X118">
        <v>93.41</v>
      </c>
      <c r="Y118">
        <v>0</v>
      </c>
    </row>
    <row r="119" spans="1:25" x14ac:dyDescent="0.25">
      <c r="A119" t="s">
        <v>33</v>
      </c>
      <c r="B119">
        <f>_xlfn.XLOOKUP(Table4[[#This Row],[country]],Table2[country],Table2[country_id],FALSE)</f>
        <v>3</v>
      </c>
      <c r="C119" t="s">
        <v>32</v>
      </c>
      <c r="D119">
        <v>2017</v>
      </c>
      <c r="E119">
        <f>_xlfn.XLOOKUP(Table4[[#This Row],[year]],Table1[year],Table1[year_id])</f>
        <v>8</v>
      </c>
      <c r="F119" t="s">
        <v>27</v>
      </c>
      <c r="G119" t="s">
        <v>28</v>
      </c>
      <c r="H119" cm="1">
        <f t="array" ref="H119">_xlfn.XLOOKUP(Table4[[#This Row],[vehicle_segment]]&amp;Table4[[#This Row],[powertrain_type]],Table3[vehicle_segment]&amp;Table3[powertrain_type],Table3[vehicle_id])</f>
        <v>1</v>
      </c>
      <c r="I119">
        <v>459</v>
      </c>
      <c r="J119">
        <v>49834</v>
      </c>
      <c r="K119">
        <v>33223</v>
      </c>
      <c r="L119">
        <v>83516</v>
      </c>
      <c r="M119">
        <v>0.55000000000000004</v>
      </c>
      <c r="N119">
        <v>4987</v>
      </c>
      <c r="O119">
        <v>8</v>
      </c>
      <c r="P119">
        <v>224</v>
      </c>
      <c r="Q119">
        <v>1.4930000000000001</v>
      </c>
      <c r="R119">
        <v>0.254</v>
      </c>
      <c r="S119">
        <v>43789</v>
      </c>
      <c r="T119">
        <v>97.9</v>
      </c>
      <c r="U119">
        <v>24.5</v>
      </c>
      <c r="V119">
        <v>3486</v>
      </c>
      <c r="W119">
        <v>71.099999999999994</v>
      </c>
      <c r="X119">
        <v>49.51</v>
      </c>
      <c r="Y119">
        <v>0</v>
      </c>
    </row>
    <row r="120" spans="1:25" x14ac:dyDescent="0.25">
      <c r="A120" t="s">
        <v>33</v>
      </c>
      <c r="B120">
        <f>_xlfn.XLOOKUP(Table4[[#This Row],[country]],Table2[country],Table2[country_id],FALSE)</f>
        <v>3</v>
      </c>
      <c r="C120" t="s">
        <v>32</v>
      </c>
      <c r="D120">
        <v>2017</v>
      </c>
      <c r="E120">
        <f>_xlfn.XLOOKUP(Table4[[#This Row],[year]],Table1[year],Table1[year_id])</f>
        <v>8</v>
      </c>
      <c r="F120" t="s">
        <v>29</v>
      </c>
      <c r="G120" t="s">
        <v>28</v>
      </c>
      <c r="H120" cm="1">
        <f t="array" ref="H120">_xlfn.XLOOKUP(Table4[[#This Row],[vehicle_segment]]&amp;Table4[[#This Row],[powertrain_type]],Table3[vehicle_segment]&amp;Table3[powertrain_type],Table3[vehicle_id])</f>
        <v>2</v>
      </c>
      <c r="I120">
        <v>5235</v>
      </c>
      <c r="J120">
        <v>288837</v>
      </c>
      <c r="K120">
        <v>39387</v>
      </c>
      <c r="L120">
        <v>333459</v>
      </c>
      <c r="M120">
        <v>1.57</v>
      </c>
      <c r="N120">
        <v>4987</v>
      </c>
      <c r="O120">
        <v>8</v>
      </c>
      <c r="P120">
        <v>224</v>
      </c>
      <c r="Q120">
        <v>1.4930000000000001</v>
      </c>
      <c r="R120">
        <v>0.254</v>
      </c>
      <c r="S120">
        <v>43789</v>
      </c>
      <c r="T120">
        <v>97.9</v>
      </c>
      <c r="U120">
        <v>24.5</v>
      </c>
      <c r="V120">
        <v>3486</v>
      </c>
      <c r="W120">
        <v>71.099999999999994</v>
      </c>
      <c r="X120">
        <v>47.67</v>
      </c>
      <c r="Y120">
        <v>0</v>
      </c>
    </row>
    <row r="121" spans="1:25" x14ac:dyDescent="0.25">
      <c r="A121" t="s">
        <v>33</v>
      </c>
      <c r="B121">
        <f>_xlfn.XLOOKUP(Table4[[#This Row],[country]],Table2[country],Table2[country_id],FALSE)</f>
        <v>3</v>
      </c>
      <c r="C121" t="s">
        <v>32</v>
      </c>
      <c r="D121">
        <v>2017</v>
      </c>
      <c r="E121">
        <f>_xlfn.XLOOKUP(Table4[[#This Row],[year]],Table1[year],Table1[year_id])</f>
        <v>8</v>
      </c>
      <c r="F121" t="s">
        <v>30</v>
      </c>
      <c r="G121" t="s">
        <v>28</v>
      </c>
      <c r="H121" cm="1">
        <f t="array" ref="H121">_xlfn.XLOOKUP(Table4[[#This Row],[vehicle_segment]]&amp;Table4[[#This Row],[powertrain_type]],Table3[vehicle_segment]&amp;Table3[powertrain_type],Table3[vehicle_id])</f>
        <v>3</v>
      </c>
      <c r="I121">
        <v>3111</v>
      </c>
      <c r="J121">
        <v>122846</v>
      </c>
      <c r="K121">
        <v>10682</v>
      </c>
      <c r="L121">
        <v>136639</v>
      </c>
      <c r="M121">
        <v>2.2799999999999998</v>
      </c>
      <c r="N121">
        <v>4987</v>
      </c>
      <c r="O121">
        <v>8</v>
      </c>
      <c r="P121">
        <v>224</v>
      </c>
      <c r="Q121">
        <v>1.4930000000000001</v>
      </c>
      <c r="R121">
        <v>0.254</v>
      </c>
      <c r="S121">
        <v>43789</v>
      </c>
      <c r="T121">
        <v>97.9</v>
      </c>
      <c r="U121">
        <v>24.5</v>
      </c>
      <c r="V121">
        <v>3486</v>
      </c>
      <c r="W121">
        <v>71.099999999999994</v>
      </c>
      <c r="X121">
        <v>45.17</v>
      </c>
      <c r="Y121">
        <v>0</v>
      </c>
    </row>
    <row r="122" spans="1:25" x14ac:dyDescent="0.25">
      <c r="A122" t="s">
        <v>33</v>
      </c>
      <c r="B122">
        <f>_xlfn.XLOOKUP(Table4[[#This Row],[country]],Table2[country],Table2[country_id],FALSE)</f>
        <v>3</v>
      </c>
      <c r="C122" t="s">
        <v>32</v>
      </c>
      <c r="D122">
        <v>2018</v>
      </c>
      <c r="E122">
        <f>_xlfn.XLOOKUP(Table4[[#This Row],[year]],Table1[year],Table1[year_id])</f>
        <v>9</v>
      </c>
      <c r="F122" t="s">
        <v>27</v>
      </c>
      <c r="G122" t="s">
        <v>28</v>
      </c>
      <c r="H122" cm="1">
        <f t="array" ref="H122">_xlfn.XLOOKUP(Table4[[#This Row],[vehicle_segment]]&amp;Table4[[#This Row],[powertrain_type]],Table3[vehicle_segment]&amp;Table3[powertrain_type],Table3[vehicle_id])</f>
        <v>1</v>
      </c>
      <c r="I122">
        <v>755</v>
      </c>
      <c r="J122">
        <v>48593</v>
      </c>
      <c r="K122">
        <v>32396</v>
      </c>
      <c r="L122">
        <v>81744</v>
      </c>
      <c r="M122">
        <v>0.92</v>
      </c>
      <c r="N122">
        <v>6279</v>
      </c>
      <c r="O122">
        <v>10.1</v>
      </c>
      <c r="P122">
        <v>263</v>
      </c>
      <c r="Q122">
        <v>1.52</v>
      </c>
      <c r="R122">
        <v>0.26600000000000001</v>
      </c>
      <c r="S122">
        <v>44627</v>
      </c>
      <c r="T122">
        <v>98.1</v>
      </c>
      <c r="U122">
        <v>24.1</v>
      </c>
      <c r="V122">
        <v>3543</v>
      </c>
      <c r="W122">
        <v>71.599999999999994</v>
      </c>
      <c r="X122">
        <v>64.489999999999995</v>
      </c>
      <c r="Y122">
        <v>0</v>
      </c>
    </row>
    <row r="123" spans="1:25" x14ac:dyDescent="0.25">
      <c r="A123" t="s">
        <v>33</v>
      </c>
      <c r="B123">
        <f>_xlfn.XLOOKUP(Table4[[#This Row],[country]],Table2[country],Table2[country_id],FALSE)</f>
        <v>3</v>
      </c>
      <c r="C123" t="s">
        <v>32</v>
      </c>
      <c r="D123">
        <v>2018</v>
      </c>
      <c r="E123">
        <f>_xlfn.XLOOKUP(Table4[[#This Row],[year]],Table1[year],Table1[year_id])</f>
        <v>9</v>
      </c>
      <c r="F123" t="s">
        <v>29</v>
      </c>
      <c r="G123" t="s">
        <v>28</v>
      </c>
      <c r="H123" cm="1">
        <f t="array" ref="H123">_xlfn.XLOOKUP(Table4[[#This Row],[vehicle_segment]]&amp;Table4[[#This Row],[powertrain_type]],Table3[vehicle_segment]&amp;Table3[powertrain_type],Table3[vehicle_id])</f>
        <v>2</v>
      </c>
      <c r="I123">
        <v>8772</v>
      </c>
      <c r="J123">
        <v>284684</v>
      </c>
      <c r="K123">
        <v>38820</v>
      </c>
      <c r="L123">
        <v>332276</v>
      </c>
      <c r="M123">
        <v>2.64</v>
      </c>
      <c r="N123">
        <v>6279</v>
      </c>
      <c r="O123">
        <v>10.1</v>
      </c>
      <c r="P123">
        <v>263</v>
      </c>
      <c r="Q123">
        <v>1.52</v>
      </c>
      <c r="R123">
        <v>0.26600000000000001</v>
      </c>
      <c r="S123">
        <v>44627</v>
      </c>
      <c r="T123">
        <v>98.1</v>
      </c>
      <c r="U123">
        <v>24.1</v>
      </c>
      <c r="V123">
        <v>3543</v>
      </c>
      <c r="W123">
        <v>71.599999999999994</v>
      </c>
      <c r="X123">
        <v>67.56</v>
      </c>
      <c r="Y123">
        <v>0</v>
      </c>
    </row>
    <row r="124" spans="1:25" x14ac:dyDescent="0.25">
      <c r="A124" t="s">
        <v>33</v>
      </c>
      <c r="B124">
        <f>_xlfn.XLOOKUP(Table4[[#This Row],[country]],Table2[country],Table2[country_id],FALSE)</f>
        <v>3</v>
      </c>
      <c r="C124" t="s">
        <v>32</v>
      </c>
      <c r="D124">
        <v>2018</v>
      </c>
      <c r="E124">
        <f>_xlfn.XLOOKUP(Table4[[#This Row],[year]],Table1[year],Table1[year_id])</f>
        <v>9</v>
      </c>
      <c r="F124" t="s">
        <v>30</v>
      </c>
      <c r="G124" t="s">
        <v>28</v>
      </c>
      <c r="H124" cm="1">
        <f t="array" ref="H124">_xlfn.XLOOKUP(Table4[[#This Row],[vehicle_segment]]&amp;Table4[[#This Row],[powertrain_type]],Table3[vehicle_segment]&amp;Table3[powertrain_type],Table3[vehicle_id])</f>
        <v>3</v>
      </c>
      <c r="I124">
        <v>5319</v>
      </c>
      <c r="J124">
        <v>122949</v>
      </c>
      <c r="K124">
        <v>10691</v>
      </c>
      <c r="L124">
        <v>138959</v>
      </c>
      <c r="M124">
        <v>3.83</v>
      </c>
      <c r="N124">
        <v>6279</v>
      </c>
      <c r="O124">
        <v>10.1</v>
      </c>
      <c r="P124">
        <v>263</v>
      </c>
      <c r="Q124">
        <v>1.52</v>
      </c>
      <c r="R124">
        <v>0.26600000000000001</v>
      </c>
      <c r="S124">
        <v>44627</v>
      </c>
      <c r="T124">
        <v>98.1</v>
      </c>
      <c r="U124">
        <v>24.1</v>
      </c>
      <c r="V124">
        <v>3543</v>
      </c>
      <c r="W124">
        <v>71.599999999999994</v>
      </c>
      <c r="X124">
        <v>70.97</v>
      </c>
      <c r="Y124">
        <v>0</v>
      </c>
    </row>
    <row r="125" spans="1:25" x14ac:dyDescent="0.25">
      <c r="A125" t="s">
        <v>33</v>
      </c>
      <c r="B125">
        <f>_xlfn.XLOOKUP(Table4[[#This Row],[country]],Table2[country],Table2[country_id],FALSE)</f>
        <v>3</v>
      </c>
      <c r="C125" t="s">
        <v>32</v>
      </c>
      <c r="D125">
        <v>2019</v>
      </c>
      <c r="E125">
        <f>_xlfn.XLOOKUP(Table4[[#This Row],[year]],Table1[year],Table1[year_id])</f>
        <v>10</v>
      </c>
      <c r="F125" t="s">
        <v>27</v>
      </c>
      <c r="G125" t="s">
        <v>28</v>
      </c>
      <c r="H125" cm="1">
        <f t="array" ref="H125">_xlfn.XLOOKUP(Table4[[#This Row],[vehicle_segment]]&amp;Table4[[#This Row],[powertrain_type]],Table3[vehicle_segment]&amp;Table3[powertrain_type],Table3[vehicle_id])</f>
        <v>1</v>
      </c>
      <c r="I125">
        <v>1043</v>
      </c>
      <c r="J125">
        <v>50613</v>
      </c>
      <c r="K125">
        <v>33742</v>
      </c>
      <c r="L125">
        <v>85398</v>
      </c>
      <c r="M125">
        <v>1.22</v>
      </c>
      <c r="N125">
        <v>7817</v>
      </c>
      <c r="O125">
        <v>10.199999999999999</v>
      </c>
      <c r="P125">
        <v>298</v>
      </c>
      <c r="Q125">
        <v>1.59</v>
      </c>
      <c r="R125">
        <v>0.27400000000000002</v>
      </c>
      <c r="S125">
        <v>46608</v>
      </c>
      <c r="T125">
        <v>98.5</v>
      </c>
      <c r="U125">
        <v>22.5</v>
      </c>
      <c r="V125">
        <v>3471</v>
      </c>
      <c r="W125">
        <v>76</v>
      </c>
      <c r="X125">
        <v>38.15</v>
      </c>
      <c r="Y125">
        <v>0</v>
      </c>
    </row>
    <row r="126" spans="1:25" x14ac:dyDescent="0.25">
      <c r="A126" t="s">
        <v>33</v>
      </c>
      <c r="B126">
        <f>_xlfn.XLOOKUP(Table4[[#This Row],[country]],Table2[country],Table2[country_id],FALSE)</f>
        <v>3</v>
      </c>
      <c r="C126" t="s">
        <v>32</v>
      </c>
      <c r="D126">
        <v>2019</v>
      </c>
      <c r="E126">
        <f>_xlfn.XLOOKUP(Table4[[#This Row],[year]],Table1[year],Table1[year_id])</f>
        <v>10</v>
      </c>
      <c r="F126" t="s">
        <v>29</v>
      </c>
      <c r="G126" t="s">
        <v>28</v>
      </c>
      <c r="H126" cm="1">
        <f t="array" ref="H126">_xlfn.XLOOKUP(Table4[[#This Row],[vehicle_segment]]&amp;Table4[[#This Row],[powertrain_type]],Table3[vehicle_segment]&amp;Table3[powertrain_type],Table3[vehicle_id])</f>
        <v>2</v>
      </c>
      <c r="I126">
        <v>11748</v>
      </c>
      <c r="J126">
        <v>285886</v>
      </c>
      <c r="K126">
        <v>38984</v>
      </c>
      <c r="L126">
        <v>336618</v>
      </c>
      <c r="M126">
        <v>3.49</v>
      </c>
      <c r="N126">
        <v>7817</v>
      </c>
      <c r="O126">
        <v>10.199999999999999</v>
      </c>
      <c r="P126">
        <v>298</v>
      </c>
      <c r="Q126">
        <v>1.59</v>
      </c>
      <c r="R126">
        <v>0.27400000000000002</v>
      </c>
      <c r="S126">
        <v>46608</v>
      </c>
      <c r="T126">
        <v>98.5</v>
      </c>
      <c r="U126">
        <v>22.5</v>
      </c>
      <c r="V126">
        <v>3471</v>
      </c>
      <c r="W126">
        <v>76</v>
      </c>
      <c r="X126">
        <v>33.93</v>
      </c>
      <c r="Y126">
        <v>0</v>
      </c>
    </row>
    <row r="127" spans="1:25" x14ac:dyDescent="0.25">
      <c r="A127" t="s">
        <v>33</v>
      </c>
      <c r="B127">
        <f>_xlfn.XLOOKUP(Table4[[#This Row],[country]],Table2[country],Table2[country_id],FALSE)</f>
        <v>3</v>
      </c>
      <c r="C127" t="s">
        <v>32</v>
      </c>
      <c r="D127">
        <v>2019</v>
      </c>
      <c r="E127">
        <f>_xlfn.XLOOKUP(Table4[[#This Row],[year]],Table1[year],Table1[year_id])</f>
        <v>10</v>
      </c>
      <c r="F127" t="s">
        <v>30</v>
      </c>
      <c r="G127" t="s">
        <v>28</v>
      </c>
      <c r="H127" cm="1">
        <f t="array" ref="H127">_xlfn.XLOOKUP(Table4[[#This Row],[vehicle_segment]]&amp;Table4[[#This Row],[powertrain_type]],Table3[vehicle_segment]&amp;Table3[powertrain_type],Table3[vehicle_id])</f>
        <v>3</v>
      </c>
      <c r="I127">
        <v>7127</v>
      </c>
      <c r="J127">
        <v>123006</v>
      </c>
      <c r="K127">
        <v>10696</v>
      </c>
      <c r="L127">
        <v>140829</v>
      </c>
      <c r="M127">
        <v>5.0599999999999996</v>
      </c>
      <c r="N127">
        <v>7817</v>
      </c>
      <c r="O127">
        <v>10.199999999999999</v>
      </c>
      <c r="P127">
        <v>298</v>
      </c>
      <c r="Q127">
        <v>1.59</v>
      </c>
      <c r="R127">
        <v>0.27400000000000002</v>
      </c>
      <c r="S127">
        <v>46608</v>
      </c>
      <c r="T127">
        <v>98.5</v>
      </c>
      <c r="U127">
        <v>22.5</v>
      </c>
      <c r="V127">
        <v>3471</v>
      </c>
      <c r="W127">
        <v>76</v>
      </c>
      <c r="X127">
        <v>33.99</v>
      </c>
      <c r="Y127">
        <v>0</v>
      </c>
    </row>
    <row r="128" spans="1:25" x14ac:dyDescent="0.25">
      <c r="A128" t="s">
        <v>33</v>
      </c>
      <c r="B128">
        <f>_xlfn.XLOOKUP(Table4[[#This Row],[country]],Table2[country],Table2[country_id],FALSE)</f>
        <v>3</v>
      </c>
      <c r="C128" t="s">
        <v>32</v>
      </c>
      <c r="D128">
        <v>2020</v>
      </c>
      <c r="E128">
        <f>_xlfn.XLOOKUP(Table4[[#This Row],[year]],Table1[year],Table1[year_id])</f>
        <v>11</v>
      </c>
      <c r="F128" t="s">
        <v>27</v>
      </c>
      <c r="G128" t="s">
        <v>28</v>
      </c>
      <c r="H128" cm="1">
        <f t="array" ref="H128">_xlfn.XLOOKUP(Table4[[#This Row],[vehicle_segment]]&amp;Table4[[#This Row],[powertrain_type]],Table3[vehicle_segment]&amp;Table3[powertrain_type],Table3[vehicle_id])</f>
        <v>1</v>
      </c>
      <c r="I128">
        <v>2312</v>
      </c>
      <c r="J128">
        <v>37094</v>
      </c>
      <c r="K128">
        <v>24730</v>
      </c>
      <c r="L128">
        <v>64136</v>
      </c>
      <c r="M128">
        <v>3.6</v>
      </c>
      <c r="N128">
        <v>12649</v>
      </c>
      <c r="O128">
        <v>11.9</v>
      </c>
      <c r="P128">
        <v>337</v>
      </c>
      <c r="Q128">
        <v>1.7330000000000001</v>
      </c>
      <c r="R128">
        <v>0.29799999999999999</v>
      </c>
      <c r="S128">
        <v>46763</v>
      </c>
      <c r="T128">
        <v>98.2</v>
      </c>
      <c r="U128">
        <v>21.1</v>
      </c>
      <c r="V128">
        <v>3535</v>
      </c>
      <c r="W128">
        <v>77.8</v>
      </c>
      <c r="X128">
        <v>121.67</v>
      </c>
      <c r="Y128">
        <v>0</v>
      </c>
    </row>
    <row r="129" spans="1:25" x14ac:dyDescent="0.25">
      <c r="A129" t="s">
        <v>33</v>
      </c>
      <c r="B129">
        <f>_xlfn.XLOOKUP(Table4[[#This Row],[country]],Table2[country],Table2[country_id],FALSE)</f>
        <v>3</v>
      </c>
      <c r="C129" t="s">
        <v>32</v>
      </c>
      <c r="D129">
        <v>2020</v>
      </c>
      <c r="E129">
        <f>_xlfn.XLOOKUP(Table4[[#This Row],[year]],Table1[year],Table1[year_id])</f>
        <v>11</v>
      </c>
      <c r="F129" t="s">
        <v>29</v>
      </c>
      <c r="G129" t="s">
        <v>28</v>
      </c>
      <c r="H129" cm="1">
        <f t="array" ref="H129">_xlfn.XLOOKUP(Table4[[#This Row],[vehicle_segment]]&amp;Table4[[#This Row],[powertrain_type]],Table3[vehicle_segment]&amp;Table3[powertrain_type],Table3[vehicle_id])</f>
        <v>2</v>
      </c>
      <c r="I129">
        <v>26441</v>
      </c>
      <c r="J129">
        <v>202631</v>
      </c>
      <c r="K129">
        <v>27632</v>
      </c>
      <c r="L129">
        <v>256704</v>
      </c>
      <c r="M129">
        <v>10.3</v>
      </c>
      <c r="N129">
        <v>12649</v>
      </c>
      <c r="O129">
        <v>11.9</v>
      </c>
      <c r="P129">
        <v>337</v>
      </c>
      <c r="Q129">
        <v>1.7330000000000001</v>
      </c>
      <c r="R129">
        <v>0.29799999999999999</v>
      </c>
      <c r="S129">
        <v>46763</v>
      </c>
      <c r="T129">
        <v>98.2</v>
      </c>
      <c r="U129">
        <v>21.1</v>
      </c>
      <c r="V129">
        <v>3535</v>
      </c>
      <c r="W129">
        <v>77.8</v>
      </c>
      <c r="X129">
        <v>125.07</v>
      </c>
      <c r="Y129">
        <v>0</v>
      </c>
    </row>
    <row r="130" spans="1:25" x14ac:dyDescent="0.25">
      <c r="A130" t="s">
        <v>33</v>
      </c>
      <c r="B130">
        <f>_xlfn.XLOOKUP(Table4[[#This Row],[country]],Table2[country],Table2[country_id],FALSE)</f>
        <v>3</v>
      </c>
      <c r="C130" t="s">
        <v>32</v>
      </c>
      <c r="D130">
        <v>2020</v>
      </c>
      <c r="E130">
        <f>_xlfn.XLOOKUP(Table4[[#This Row],[year]],Table1[year],Table1[year_id])</f>
        <v>11</v>
      </c>
      <c r="F130" t="s">
        <v>30</v>
      </c>
      <c r="G130" t="s">
        <v>28</v>
      </c>
      <c r="H130" cm="1">
        <f t="array" ref="H130">_xlfn.XLOOKUP(Table4[[#This Row],[vehicle_segment]]&amp;Table4[[#This Row],[powertrain_type]],Table3[vehicle_segment]&amp;Table3[powertrain_type],Table3[vehicle_id])</f>
        <v>3</v>
      </c>
      <c r="I130">
        <v>15953</v>
      </c>
      <c r="J130">
        <v>83592</v>
      </c>
      <c r="K130">
        <v>7269</v>
      </c>
      <c r="L130">
        <v>106814</v>
      </c>
      <c r="M130">
        <v>14.94</v>
      </c>
      <c r="N130">
        <v>12649</v>
      </c>
      <c r="O130">
        <v>11.9</v>
      </c>
      <c r="P130">
        <v>337</v>
      </c>
      <c r="Q130">
        <v>1.7330000000000001</v>
      </c>
      <c r="R130">
        <v>0.29799999999999999</v>
      </c>
      <c r="S130">
        <v>46763</v>
      </c>
      <c r="T130">
        <v>98.2</v>
      </c>
      <c r="U130">
        <v>21.1</v>
      </c>
      <c r="V130">
        <v>3535</v>
      </c>
      <c r="W130">
        <v>77.8</v>
      </c>
      <c r="X130">
        <v>123.84</v>
      </c>
      <c r="Y130">
        <v>0</v>
      </c>
    </row>
    <row r="131" spans="1:25" x14ac:dyDescent="0.25">
      <c r="A131" t="s">
        <v>33</v>
      </c>
      <c r="B131">
        <f>_xlfn.XLOOKUP(Table4[[#This Row],[country]],Table2[country],Table2[country_id],FALSE)</f>
        <v>3</v>
      </c>
      <c r="C131" t="s">
        <v>32</v>
      </c>
      <c r="D131">
        <v>2021</v>
      </c>
      <c r="E131">
        <f>_xlfn.XLOOKUP(Table4[[#This Row],[year]],Table1[year],Table1[year_id])</f>
        <v>12</v>
      </c>
      <c r="F131" t="s">
        <v>27</v>
      </c>
      <c r="G131" t="s">
        <v>28</v>
      </c>
      <c r="H131" cm="1">
        <f t="array" ref="H131">_xlfn.XLOOKUP(Table4[[#This Row],[vehicle_segment]]&amp;Table4[[#This Row],[powertrain_type]],Table3[vehicle_segment]&amp;Table3[powertrain_type],Table3[vehicle_id])</f>
        <v>1</v>
      </c>
      <c r="I131">
        <v>4589</v>
      </c>
      <c r="J131">
        <v>34726</v>
      </c>
      <c r="K131">
        <v>23150</v>
      </c>
      <c r="L131">
        <v>62465</v>
      </c>
      <c r="M131">
        <v>7.35</v>
      </c>
      <c r="N131">
        <v>17869</v>
      </c>
      <c r="O131">
        <v>13.3</v>
      </c>
      <c r="P131">
        <v>382</v>
      </c>
      <c r="Q131">
        <v>1.893</v>
      </c>
      <c r="R131">
        <v>0.33</v>
      </c>
      <c r="S131">
        <v>47860</v>
      </c>
      <c r="T131">
        <v>97.6</v>
      </c>
      <c r="U131">
        <v>20.6</v>
      </c>
      <c r="V131">
        <v>3520</v>
      </c>
      <c r="W131">
        <v>80.3</v>
      </c>
      <c r="X131">
        <v>98.49</v>
      </c>
      <c r="Y131">
        <v>0</v>
      </c>
    </row>
    <row r="132" spans="1:25" x14ac:dyDescent="0.25">
      <c r="A132" t="s">
        <v>33</v>
      </c>
      <c r="B132">
        <f>_xlfn.XLOOKUP(Table4[[#This Row],[country]],Table2[country],Table2[country_id],FALSE)</f>
        <v>3</v>
      </c>
      <c r="C132" t="s">
        <v>32</v>
      </c>
      <c r="D132">
        <v>2021</v>
      </c>
      <c r="E132">
        <f>_xlfn.XLOOKUP(Table4[[#This Row],[year]],Table1[year],Table1[year_id])</f>
        <v>12</v>
      </c>
      <c r="F132" t="s">
        <v>29</v>
      </c>
      <c r="G132" t="s">
        <v>28</v>
      </c>
      <c r="H132" cm="1">
        <f t="array" ref="H132">_xlfn.XLOOKUP(Table4[[#This Row],[vehicle_segment]]&amp;Table4[[#This Row],[powertrain_type]],Table3[vehicle_segment]&amp;Table3[powertrain_type],Table3[vehicle_id])</f>
        <v>2</v>
      </c>
      <c r="I132">
        <v>52193</v>
      </c>
      <c r="J132">
        <v>172887</v>
      </c>
      <c r="K132">
        <v>23576</v>
      </c>
      <c r="L132">
        <v>248656</v>
      </c>
      <c r="M132">
        <v>20.99</v>
      </c>
      <c r="N132">
        <v>17869</v>
      </c>
      <c r="O132">
        <v>13.3</v>
      </c>
      <c r="P132">
        <v>382</v>
      </c>
      <c r="Q132">
        <v>1.893</v>
      </c>
      <c r="R132">
        <v>0.33</v>
      </c>
      <c r="S132">
        <v>47860</v>
      </c>
      <c r="T132">
        <v>97.6</v>
      </c>
      <c r="U132">
        <v>20.6</v>
      </c>
      <c r="V132">
        <v>3520</v>
      </c>
      <c r="W132">
        <v>80.3</v>
      </c>
      <c r="X132">
        <v>97.39</v>
      </c>
      <c r="Y132">
        <v>0</v>
      </c>
    </row>
    <row r="133" spans="1:25" x14ac:dyDescent="0.25">
      <c r="A133" t="s">
        <v>33</v>
      </c>
      <c r="B133">
        <f>_xlfn.XLOOKUP(Table4[[#This Row],[country]],Table2[country],Table2[country_id],FALSE)</f>
        <v>3</v>
      </c>
      <c r="C133" t="s">
        <v>32</v>
      </c>
      <c r="D133">
        <v>2021</v>
      </c>
      <c r="E133">
        <f>_xlfn.XLOOKUP(Table4[[#This Row],[year]],Table1[year],Table1[year_id])</f>
        <v>12</v>
      </c>
      <c r="F133" t="s">
        <v>30</v>
      </c>
      <c r="G133" t="s">
        <v>28</v>
      </c>
      <c r="H133" cm="1">
        <f t="array" ref="H133">_xlfn.XLOOKUP(Table4[[#This Row],[vehicle_segment]]&amp;Table4[[#This Row],[powertrain_type]],Table3[vehicle_segment]&amp;Table3[powertrain_type],Table3[vehicle_id])</f>
        <v>3</v>
      </c>
      <c r="I133">
        <v>31513</v>
      </c>
      <c r="J133">
        <v>66265</v>
      </c>
      <c r="K133">
        <v>5762</v>
      </c>
      <c r="L133">
        <v>103540</v>
      </c>
      <c r="M133">
        <v>30.44</v>
      </c>
      <c r="N133">
        <v>17869</v>
      </c>
      <c r="O133">
        <v>13.3</v>
      </c>
      <c r="P133">
        <v>382</v>
      </c>
      <c r="Q133">
        <v>1.893</v>
      </c>
      <c r="R133">
        <v>0.33</v>
      </c>
      <c r="S133">
        <v>47860</v>
      </c>
      <c r="T133">
        <v>97.6</v>
      </c>
      <c r="U133">
        <v>20.6</v>
      </c>
      <c r="V133">
        <v>3520</v>
      </c>
      <c r="W133">
        <v>80.3</v>
      </c>
      <c r="X133">
        <v>97.54</v>
      </c>
      <c r="Y133">
        <v>0</v>
      </c>
    </row>
    <row r="134" spans="1:25" x14ac:dyDescent="0.25">
      <c r="A134" t="s">
        <v>33</v>
      </c>
      <c r="B134">
        <f>_xlfn.XLOOKUP(Table4[[#This Row],[country]],Table2[country],Table2[country_id],FALSE)</f>
        <v>3</v>
      </c>
      <c r="C134" t="s">
        <v>32</v>
      </c>
      <c r="D134">
        <v>2022</v>
      </c>
      <c r="E134">
        <f>_xlfn.XLOOKUP(Table4[[#This Row],[year]],Table1[year],Table1[year_id])</f>
        <v>13</v>
      </c>
      <c r="F134" t="s">
        <v>27</v>
      </c>
      <c r="G134" t="s">
        <v>28</v>
      </c>
      <c r="H134" cm="1">
        <f t="array" ref="H134">_xlfn.XLOOKUP(Table4[[#This Row],[vehicle_segment]]&amp;Table4[[#This Row],[powertrain_type]],Table3[vehicle_segment]&amp;Table3[powertrain_type],Table3[vehicle_id])</f>
        <v>1</v>
      </c>
      <c r="I134">
        <v>4620</v>
      </c>
      <c r="J134">
        <v>32806</v>
      </c>
      <c r="K134">
        <v>21871</v>
      </c>
      <c r="L134">
        <v>59297</v>
      </c>
      <c r="M134">
        <v>7.79</v>
      </c>
      <c r="N134">
        <v>21777</v>
      </c>
      <c r="O134">
        <v>15.6</v>
      </c>
      <c r="P134">
        <v>394</v>
      </c>
      <c r="Q134">
        <v>2.0070000000000001</v>
      </c>
      <c r="R134">
        <v>0.35599999999999998</v>
      </c>
      <c r="S134">
        <v>49999</v>
      </c>
      <c r="T134">
        <v>98.4</v>
      </c>
      <c r="U134">
        <v>20.9</v>
      </c>
      <c r="V134">
        <v>3484</v>
      </c>
      <c r="W134">
        <v>82.8</v>
      </c>
      <c r="X134">
        <v>0.68</v>
      </c>
      <c r="Y134">
        <v>0</v>
      </c>
    </row>
    <row r="135" spans="1:25" x14ac:dyDescent="0.25">
      <c r="A135" t="s">
        <v>33</v>
      </c>
      <c r="B135">
        <f>_xlfn.XLOOKUP(Table4[[#This Row],[country]],Table2[country],Table2[country_id],FALSE)</f>
        <v>3</v>
      </c>
      <c r="C135" t="s">
        <v>32</v>
      </c>
      <c r="D135">
        <v>2022</v>
      </c>
      <c r="E135">
        <f>_xlfn.XLOOKUP(Table4[[#This Row],[year]],Table1[year],Table1[year_id])</f>
        <v>13</v>
      </c>
      <c r="F135" t="s">
        <v>29</v>
      </c>
      <c r="G135" t="s">
        <v>28</v>
      </c>
      <c r="H135" cm="1">
        <f t="array" ref="H135">_xlfn.XLOOKUP(Table4[[#This Row],[vehicle_segment]]&amp;Table4[[#This Row],[powertrain_type]],Table3[vehicle_segment]&amp;Table3[powertrain_type],Table3[vehicle_id])</f>
        <v>2</v>
      </c>
      <c r="I135">
        <v>52147</v>
      </c>
      <c r="J135">
        <v>160264</v>
      </c>
      <c r="K135">
        <v>21854</v>
      </c>
      <c r="L135">
        <v>234265</v>
      </c>
      <c r="M135">
        <v>22.26</v>
      </c>
      <c r="N135">
        <v>21777</v>
      </c>
      <c r="O135">
        <v>15.6</v>
      </c>
      <c r="P135">
        <v>394</v>
      </c>
      <c r="Q135">
        <v>2.0070000000000001</v>
      </c>
      <c r="R135">
        <v>0.35599999999999998</v>
      </c>
      <c r="S135">
        <v>49999</v>
      </c>
      <c r="T135">
        <v>98.4</v>
      </c>
      <c r="U135">
        <v>20.9</v>
      </c>
      <c r="V135">
        <v>3484</v>
      </c>
      <c r="W135">
        <v>82.8</v>
      </c>
      <c r="X135">
        <v>-0.09</v>
      </c>
      <c r="Y135">
        <v>0</v>
      </c>
    </row>
    <row r="136" spans="1:25" x14ac:dyDescent="0.25">
      <c r="A136" t="s">
        <v>33</v>
      </c>
      <c r="B136">
        <f>_xlfn.XLOOKUP(Table4[[#This Row],[country]],Table2[country],Table2[country_id],FALSE)</f>
        <v>3</v>
      </c>
      <c r="C136" t="s">
        <v>32</v>
      </c>
      <c r="D136">
        <v>2022</v>
      </c>
      <c r="E136">
        <f>_xlfn.XLOOKUP(Table4[[#This Row],[year]],Table1[year],Table1[year_id])</f>
        <v>13</v>
      </c>
      <c r="F136" t="s">
        <v>30</v>
      </c>
      <c r="G136" t="s">
        <v>28</v>
      </c>
      <c r="H136" cm="1">
        <f t="array" ref="H136">_xlfn.XLOOKUP(Table4[[#This Row],[vehicle_segment]]&amp;Table4[[#This Row],[powertrain_type]],Table3[vehicle_segment]&amp;Table3[powertrain_type],Table3[vehicle_id])</f>
        <v>3</v>
      </c>
      <c r="I136">
        <v>30972</v>
      </c>
      <c r="J136">
        <v>59786</v>
      </c>
      <c r="K136">
        <v>5199</v>
      </c>
      <c r="L136">
        <v>95957</v>
      </c>
      <c r="M136">
        <v>32.28</v>
      </c>
      <c r="N136">
        <v>21777</v>
      </c>
      <c r="O136">
        <v>15.6</v>
      </c>
      <c r="P136">
        <v>394</v>
      </c>
      <c r="Q136">
        <v>2.0070000000000001</v>
      </c>
      <c r="R136">
        <v>0.35599999999999998</v>
      </c>
      <c r="S136">
        <v>49999</v>
      </c>
      <c r="T136">
        <v>98.4</v>
      </c>
      <c r="U136">
        <v>20.9</v>
      </c>
      <c r="V136">
        <v>3484</v>
      </c>
      <c r="W136">
        <v>82.8</v>
      </c>
      <c r="X136">
        <v>-1.72</v>
      </c>
      <c r="Y136">
        <v>0</v>
      </c>
    </row>
    <row r="137" spans="1:25" x14ac:dyDescent="0.25">
      <c r="A137" t="s">
        <v>33</v>
      </c>
      <c r="B137">
        <f>_xlfn.XLOOKUP(Table4[[#This Row],[country]],Table2[country],Table2[country_id],FALSE)</f>
        <v>3</v>
      </c>
      <c r="C137" t="s">
        <v>32</v>
      </c>
      <c r="D137">
        <v>2023</v>
      </c>
      <c r="E137">
        <f>_xlfn.XLOOKUP(Table4[[#This Row],[year]],Table1[year],Table1[year_id])</f>
        <v>14</v>
      </c>
      <c r="F137" t="s">
        <v>27</v>
      </c>
      <c r="G137" t="s">
        <v>28</v>
      </c>
      <c r="H137" cm="1">
        <f t="array" ref="H137">_xlfn.XLOOKUP(Table4[[#This Row],[vehicle_segment]]&amp;Table4[[#This Row],[powertrain_type]],Table3[vehicle_segment]&amp;Table3[powertrain_type],Table3[vehicle_id])</f>
        <v>1</v>
      </c>
      <c r="I137">
        <v>5218</v>
      </c>
      <c r="J137">
        <v>35843</v>
      </c>
      <c r="K137">
        <v>23896</v>
      </c>
      <c r="L137">
        <v>64957</v>
      </c>
      <c r="M137">
        <v>8.0299999999999994</v>
      </c>
      <c r="N137">
        <v>29142</v>
      </c>
      <c r="O137">
        <v>17.8</v>
      </c>
      <c r="P137">
        <v>423</v>
      </c>
      <c r="Q137">
        <v>1.9830000000000001</v>
      </c>
      <c r="R137">
        <v>0.35099999999999998</v>
      </c>
      <c r="S137">
        <v>50951</v>
      </c>
      <c r="T137">
        <v>98.1</v>
      </c>
      <c r="U137">
        <v>20.9</v>
      </c>
      <c r="V137">
        <v>1753</v>
      </c>
      <c r="W137">
        <v>85.7</v>
      </c>
      <c r="X137">
        <v>12.94</v>
      </c>
      <c r="Y137">
        <v>0</v>
      </c>
    </row>
    <row r="138" spans="1:25" x14ac:dyDescent="0.25">
      <c r="A138" t="s">
        <v>33</v>
      </c>
      <c r="B138">
        <f>_xlfn.XLOOKUP(Table4[[#This Row],[country]],Table2[country],Table2[country_id],FALSE)</f>
        <v>3</v>
      </c>
      <c r="C138" t="s">
        <v>32</v>
      </c>
      <c r="D138">
        <v>2023</v>
      </c>
      <c r="E138">
        <f>_xlfn.XLOOKUP(Table4[[#This Row],[year]],Table1[year],Table1[year_id])</f>
        <v>14</v>
      </c>
      <c r="F138" t="s">
        <v>29</v>
      </c>
      <c r="G138" t="s">
        <v>28</v>
      </c>
      <c r="H138" cm="1">
        <f t="array" ref="H138">_xlfn.XLOOKUP(Table4[[#This Row],[vehicle_segment]]&amp;Table4[[#This Row],[powertrain_type]],Table3[vehicle_segment]&amp;Table3[powertrain_type],Table3[vehicle_id])</f>
        <v>2</v>
      </c>
      <c r="I138">
        <v>58836</v>
      </c>
      <c r="J138">
        <v>173825</v>
      </c>
      <c r="K138">
        <v>23703</v>
      </c>
      <c r="L138">
        <v>256364</v>
      </c>
      <c r="M138">
        <v>22.95</v>
      </c>
      <c r="N138">
        <v>29142</v>
      </c>
      <c r="O138">
        <v>17.8</v>
      </c>
      <c r="P138">
        <v>423</v>
      </c>
      <c r="Q138">
        <v>1.9830000000000001</v>
      </c>
      <c r="R138">
        <v>0.35099999999999998</v>
      </c>
      <c r="S138">
        <v>50951</v>
      </c>
      <c r="T138">
        <v>98.1</v>
      </c>
      <c r="U138">
        <v>20.9</v>
      </c>
      <c r="V138">
        <v>1753</v>
      </c>
      <c r="W138">
        <v>85.7</v>
      </c>
      <c r="X138">
        <v>12.83</v>
      </c>
      <c r="Y138">
        <v>0</v>
      </c>
    </row>
    <row r="139" spans="1:25" x14ac:dyDescent="0.25">
      <c r="A139" t="s">
        <v>33</v>
      </c>
      <c r="B139">
        <f>_xlfn.XLOOKUP(Table4[[#This Row],[country]],Table2[country],Table2[country_id],FALSE)</f>
        <v>3</v>
      </c>
      <c r="C139" t="s">
        <v>32</v>
      </c>
      <c r="D139">
        <v>2023</v>
      </c>
      <c r="E139">
        <f>_xlfn.XLOOKUP(Table4[[#This Row],[year]],Table1[year],Table1[year_id])</f>
        <v>14</v>
      </c>
      <c r="F139" t="s">
        <v>30</v>
      </c>
      <c r="G139" t="s">
        <v>28</v>
      </c>
      <c r="H139" cm="1">
        <f t="array" ref="H139">_xlfn.XLOOKUP(Table4[[#This Row],[vehicle_segment]]&amp;Table4[[#This Row],[powertrain_type]],Table3[vehicle_segment]&amp;Table3[powertrain_type],Table3[vehicle_id])</f>
        <v>3</v>
      </c>
      <c r="I139">
        <v>35470</v>
      </c>
      <c r="J139">
        <v>65429</v>
      </c>
      <c r="K139">
        <v>5689</v>
      </c>
      <c r="L139">
        <v>106588</v>
      </c>
      <c r="M139">
        <v>33.28</v>
      </c>
      <c r="N139">
        <v>29142</v>
      </c>
      <c r="O139">
        <v>17.8</v>
      </c>
      <c r="P139">
        <v>423</v>
      </c>
      <c r="Q139">
        <v>1.9830000000000001</v>
      </c>
      <c r="R139">
        <v>0.35099999999999998</v>
      </c>
      <c r="S139">
        <v>50951</v>
      </c>
      <c r="T139">
        <v>98.1</v>
      </c>
      <c r="U139">
        <v>20.9</v>
      </c>
      <c r="V139">
        <v>1753</v>
      </c>
      <c r="W139">
        <v>85.7</v>
      </c>
      <c r="X139">
        <v>14.52</v>
      </c>
      <c r="Y139">
        <v>0</v>
      </c>
    </row>
    <row r="140" spans="1:25" x14ac:dyDescent="0.25">
      <c r="A140" t="s">
        <v>33</v>
      </c>
      <c r="B140">
        <f>_xlfn.XLOOKUP(Table4[[#This Row],[country]],Table2[country],Table2[country_id],FALSE)</f>
        <v>3</v>
      </c>
      <c r="C140" t="s">
        <v>32</v>
      </c>
      <c r="D140">
        <v>2024</v>
      </c>
      <c r="E140">
        <f>_xlfn.XLOOKUP(Table4[[#This Row],[year]],Table1[year],Table1[year_id])</f>
        <v>15</v>
      </c>
      <c r="F140" t="s">
        <v>27</v>
      </c>
      <c r="G140" t="s">
        <v>28</v>
      </c>
      <c r="H140" cm="1">
        <f t="array" ref="H140">_xlfn.XLOOKUP(Table4[[#This Row],[vehicle_segment]]&amp;Table4[[#This Row],[powertrain_type]],Table3[vehicle_segment]&amp;Table3[powertrain_type],Table3[vehicle_id])</f>
        <v>1</v>
      </c>
      <c r="I140">
        <v>5766</v>
      </c>
      <c r="J140">
        <v>37419</v>
      </c>
      <c r="K140">
        <v>24946</v>
      </c>
      <c r="L140">
        <v>68131</v>
      </c>
      <c r="M140">
        <v>8.4600000000000009</v>
      </c>
      <c r="N140">
        <v>36474</v>
      </c>
      <c r="O140">
        <v>20.9</v>
      </c>
      <c r="P140">
        <v>452</v>
      </c>
      <c r="Q140">
        <v>1.93</v>
      </c>
      <c r="R140">
        <v>0.32800000000000001</v>
      </c>
      <c r="S140">
        <v>51956</v>
      </c>
      <c r="T140">
        <v>98.2</v>
      </c>
      <c r="U140">
        <v>20.100000000000001</v>
      </c>
      <c r="V140">
        <v>0</v>
      </c>
      <c r="W140">
        <v>87.4</v>
      </c>
      <c r="X140">
        <v>10.5</v>
      </c>
      <c r="Y140">
        <v>0</v>
      </c>
    </row>
    <row r="141" spans="1:25" x14ac:dyDescent="0.25">
      <c r="A141" t="s">
        <v>33</v>
      </c>
      <c r="B141">
        <f>_xlfn.XLOOKUP(Table4[[#This Row],[country]],Table2[country],Table2[country_id],FALSE)</f>
        <v>3</v>
      </c>
      <c r="C141" t="s">
        <v>32</v>
      </c>
      <c r="D141">
        <v>2024</v>
      </c>
      <c r="E141">
        <f>_xlfn.XLOOKUP(Table4[[#This Row],[year]],Table1[year],Table1[year_id])</f>
        <v>15</v>
      </c>
      <c r="F141" t="s">
        <v>29</v>
      </c>
      <c r="G141" t="s">
        <v>28</v>
      </c>
      <c r="H141" cm="1">
        <f t="array" ref="H141">_xlfn.XLOOKUP(Table4[[#This Row],[vehicle_segment]]&amp;Table4[[#This Row],[powertrain_type]],Table3[vehicle_segment]&amp;Table3[powertrain_type],Table3[vehicle_id])</f>
        <v>2</v>
      </c>
      <c r="I141">
        <v>66415</v>
      </c>
      <c r="J141">
        <v>183264</v>
      </c>
      <c r="K141">
        <v>24991</v>
      </c>
      <c r="L141">
        <v>274670</v>
      </c>
      <c r="M141">
        <v>24.18</v>
      </c>
      <c r="N141">
        <v>36474</v>
      </c>
      <c r="O141">
        <v>20.9</v>
      </c>
      <c r="P141">
        <v>452</v>
      </c>
      <c r="Q141">
        <v>1.93</v>
      </c>
      <c r="R141">
        <v>0.32800000000000001</v>
      </c>
      <c r="S141">
        <v>51956</v>
      </c>
      <c r="T141">
        <v>98.2</v>
      </c>
      <c r="U141">
        <v>20.100000000000001</v>
      </c>
      <c r="V141">
        <v>0</v>
      </c>
      <c r="W141">
        <v>87.4</v>
      </c>
      <c r="X141">
        <v>12.88</v>
      </c>
      <c r="Y141">
        <v>0</v>
      </c>
    </row>
    <row r="142" spans="1:25" x14ac:dyDescent="0.25">
      <c r="A142" t="s">
        <v>33</v>
      </c>
      <c r="B142">
        <f>_xlfn.XLOOKUP(Table4[[#This Row],[country]],Table2[country],Table2[country_id],FALSE)</f>
        <v>3</v>
      </c>
      <c r="C142" t="s">
        <v>32</v>
      </c>
      <c r="D142">
        <v>2024</v>
      </c>
      <c r="E142">
        <f>_xlfn.XLOOKUP(Table4[[#This Row],[year]],Table1[year],Table1[year_id])</f>
        <v>15</v>
      </c>
      <c r="F142" t="s">
        <v>30</v>
      </c>
      <c r="G142" t="s">
        <v>28</v>
      </c>
      <c r="H142" cm="1">
        <f t="array" ref="H142">_xlfn.XLOOKUP(Table4[[#This Row],[vehicle_segment]]&amp;Table4[[#This Row],[powertrain_type]],Table3[vehicle_segment]&amp;Table3[powertrain_type],Table3[vehicle_id])</f>
        <v>3</v>
      </c>
      <c r="I142">
        <v>40030</v>
      </c>
      <c r="J142">
        <v>68211</v>
      </c>
      <c r="K142">
        <v>5931</v>
      </c>
      <c r="L142">
        <v>114172</v>
      </c>
      <c r="M142">
        <v>35.06</v>
      </c>
      <c r="N142">
        <v>36474</v>
      </c>
      <c r="O142">
        <v>20.9</v>
      </c>
      <c r="P142">
        <v>452</v>
      </c>
      <c r="Q142">
        <v>1.93</v>
      </c>
      <c r="R142">
        <v>0.32800000000000001</v>
      </c>
      <c r="S142">
        <v>51956</v>
      </c>
      <c r="T142">
        <v>98.2</v>
      </c>
      <c r="U142">
        <v>20.100000000000001</v>
      </c>
      <c r="V142">
        <v>0</v>
      </c>
      <c r="W142">
        <v>87.4</v>
      </c>
      <c r="X142">
        <v>12.86</v>
      </c>
      <c r="Y142">
        <v>0</v>
      </c>
    </row>
    <row r="143" spans="1:25" x14ac:dyDescent="0.25">
      <c r="A143" t="s">
        <v>33</v>
      </c>
      <c r="B143">
        <f>_xlfn.XLOOKUP(Table4[[#This Row],[country]],Table2[country],Table2[country_id],FALSE)</f>
        <v>3</v>
      </c>
      <c r="C143" t="s">
        <v>32</v>
      </c>
      <c r="D143">
        <v>2025</v>
      </c>
      <c r="E143">
        <f>_xlfn.XLOOKUP(Table4[[#This Row],[year]],Table1[year],Table1[year_id])</f>
        <v>16</v>
      </c>
      <c r="F143" t="s">
        <v>27</v>
      </c>
      <c r="G143" t="s">
        <v>28</v>
      </c>
      <c r="H143" cm="1">
        <f t="array" ref="H143">_xlfn.XLOOKUP(Table4[[#This Row],[vehicle_segment]]&amp;Table4[[#This Row],[powertrain_type]],Table3[vehicle_segment]&amp;Table3[powertrain_type],Table3[vehicle_id])</f>
        <v>1</v>
      </c>
      <c r="I143">
        <v>6878</v>
      </c>
      <c r="J143">
        <v>37346</v>
      </c>
      <c r="K143">
        <v>24897</v>
      </c>
      <c r="L143">
        <v>69121</v>
      </c>
      <c r="M143">
        <v>9.9499999999999993</v>
      </c>
      <c r="N143">
        <v>41981</v>
      </c>
      <c r="O143">
        <v>21.1</v>
      </c>
      <c r="P143">
        <v>477</v>
      </c>
      <c r="Q143">
        <v>1.86</v>
      </c>
      <c r="R143">
        <v>0.30499999999999999</v>
      </c>
      <c r="S143">
        <v>54510</v>
      </c>
      <c r="T143">
        <v>97.9</v>
      </c>
      <c r="U143">
        <v>19.5</v>
      </c>
      <c r="V143">
        <v>0</v>
      </c>
      <c r="W143">
        <v>89.3</v>
      </c>
      <c r="X143">
        <v>19.29</v>
      </c>
      <c r="Y143">
        <v>0</v>
      </c>
    </row>
    <row r="144" spans="1:25" x14ac:dyDescent="0.25">
      <c r="A144" t="s">
        <v>33</v>
      </c>
      <c r="B144">
        <f>_xlfn.XLOOKUP(Table4[[#This Row],[country]],Table2[country],Table2[country_id],FALSE)</f>
        <v>3</v>
      </c>
      <c r="C144" t="s">
        <v>32</v>
      </c>
      <c r="D144">
        <v>2025</v>
      </c>
      <c r="E144">
        <f>_xlfn.XLOOKUP(Table4[[#This Row],[year]],Table1[year],Table1[year_id])</f>
        <v>16</v>
      </c>
      <c r="F144" t="s">
        <v>29</v>
      </c>
      <c r="G144" t="s">
        <v>28</v>
      </c>
      <c r="H144" cm="1">
        <f t="array" ref="H144">_xlfn.XLOOKUP(Table4[[#This Row],[vehicle_segment]]&amp;Table4[[#This Row],[powertrain_type]],Table3[vehicle_segment]&amp;Table3[powertrain_type],Table3[vehicle_id])</f>
        <v>2</v>
      </c>
      <c r="I144">
        <v>76756</v>
      </c>
      <c r="J144">
        <v>170040</v>
      </c>
      <c r="K144">
        <v>23187</v>
      </c>
      <c r="L144">
        <v>269983</v>
      </c>
      <c r="M144">
        <v>28.43</v>
      </c>
      <c r="N144">
        <v>41981</v>
      </c>
      <c r="O144">
        <v>21.1</v>
      </c>
      <c r="P144">
        <v>477</v>
      </c>
      <c r="Q144">
        <v>1.86</v>
      </c>
      <c r="R144">
        <v>0.30499999999999999</v>
      </c>
      <c r="S144">
        <v>54510</v>
      </c>
      <c r="T144">
        <v>97.9</v>
      </c>
      <c r="U144">
        <v>19.5</v>
      </c>
      <c r="V144">
        <v>0</v>
      </c>
      <c r="W144">
        <v>89.3</v>
      </c>
      <c r="X144">
        <v>15.57</v>
      </c>
      <c r="Y144">
        <v>0</v>
      </c>
    </row>
    <row r="145" spans="1:25" x14ac:dyDescent="0.25">
      <c r="A145" t="s">
        <v>33</v>
      </c>
      <c r="B145">
        <f>_xlfn.XLOOKUP(Table4[[#This Row],[country]],Table2[country],Table2[country_id],FALSE)</f>
        <v>3</v>
      </c>
      <c r="C145" t="s">
        <v>32</v>
      </c>
      <c r="D145">
        <v>2025</v>
      </c>
      <c r="E145">
        <f>_xlfn.XLOOKUP(Table4[[#This Row],[year]],Table1[year],Table1[year_id])</f>
        <v>16</v>
      </c>
      <c r="F145" t="s">
        <v>30</v>
      </c>
      <c r="G145" t="s">
        <v>34</v>
      </c>
      <c r="H145" cm="1">
        <f t="array" ref="H145">_xlfn.XLOOKUP(Table4[[#This Row],[vehicle_segment]]&amp;Table4[[#This Row],[powertrain_type]],Table3[vehicle_segment]&amp;Table3[powertrain_type],Table3[vehicle_id])</f>
        <v>4</v>
      </c>
      <c r="I145">
        <v>46876</v>
      </c>
      <c r="J145">
        <v>61490</v>
      </c>
      <c r="K145">
        <v>5347</v>
      </c>
      <c r="L145">
        <v>113713</v>
      </c>
      <c r="M145">
        <v>41.22</v>
      </c>
      <c r="N145">
        <v>41981</v>
      </c>
      <c r="O145">
        <v>21.1</v>
      </c>
      <c r="P145">
        <v>477</v>
      </c>
      <c r="Q145">
        <v>1.86</v>
      </c>
      <c r="R145">
        <v>0.30499999999999999</v>
      </c>
      <c r="S145">
        <v>54510</v>
      </c>
      <c r="T145">
        <v>97.9</v>
      </c>
      <c r="U145">
        <v>19.5</v>
      </c>
      <c r="V145">
        <v>0</v>
      </c>
      <c r="W145">
        <v>89.3</v>
      </c>
      <c r="X145">
        <v>17.100000000000001</v>
      </c>
      <c r="Y145">
        <v>0</v>
      </c>
    </row>
    <row r="146" spans="1:25" x14ac:dyDescent="0.25">
      <c r="A146" t="s">
        <v>35</v>
      </c>
      <c r="B146">
        <f>_xlfn.XLOOKUP(Table4[[#This Row],[country]],Table2[country],Table2[country_id],FALSE)</f>
        <v>4</v>
      </c>
      <c r="C146" t="s">
        <v>36</v>
      </c>
      <c r="D146">
        <v>2010</v>
      </c>
      <c r="E146">
        <f>_xlfn.XLOOKUP(Table4[[#This Row],[year]],Table1[year],Table1[year_id])</f>
        <v>1</v>
      </c>
      <c r="F146" t="s">
        <v>27</v>
      </c>
      <c r="G146" t="s">
        <v>28</v>
      </c>
      <c r="H146" cm="1">
        <f t="array" ref="H146">_xlfn.XLOOKUP(Table4[[#This Row],[vehicle_segment]]&amp;Table4[[#This Row],[powertrain_type]],Table3[vehicle_segment]&amp;Table3[powertrain_type],Table3[vehicle_id])</f>
        <v>1</v>
      </c>
      <c r="I146">
        <v>5</v>
      </c>
      <c r="J146">
        <v>319187</v>
      </c>
      <c r="K146">
        <v>212794</v>
      </c>
      <c r="L146">
        <v>531986</v>
      </c>
      <c r="M146">
        <v>0</v>
      </c>
      <c r="N146">
        <v>0</v>
      </c>
      <c r="O146">
        <v>0</v>
      </c>
      <c r="P146">
        <v>106</v>
      </c>
      <c r="Q146">
        <v>1.28</v>
      </c>
      <c r="R146">
        <v>0.123</v>
      </c>
      <c r="S146">
        <v>11198</v>
      </c>
      <c r="T146">
        <v>84.3</v>
      </c>
      <c r="U146">
        <v>174.5</v>
      </c>
      <c r="V146">
        <v>0</v>
      </c>
      <c r="W146">
        <v>22.2</v>
      </c>
      <c r="X146">
        <v>0</v>
      </c>
      <c r="Y146">
        <v>0</v>
      </c>
    </row>
    <row r="147" spans="1:25" x14ac:dyDescent="0.25">
      <c r="A147" t="s">
        <v>35</v>
      </c>
      <c r="B147">
        <f>_xlfn.XLOOKUP(Table4[[#This Row],[country]],Table2[country],Table2[country_id],FALSE)</f>
        <v>4</v>
      </c>
      <c r="C147" t="s">
        <v>36</v>
      </c>
      <c r="D147">
        <v>2010</v>
      </c>
      <c r="E147">
        <f>_xlfn.XLOOKUP(Table4[[#This Row],[year]],Table1[year],Table1[year_id])</f>
        <v>1</v>
      </c>
      <c r="F147" t="s">
        <v>29</v>
      </c>
      <c r="G147" t="s">
        <v>28</v>
      </c>
      <c r="H147" cm="1">
        <f t="array" ref="H147">_xlfn.XLOOKUP(Table4[[#This Row],[vehicle_segment]]&amp;Table4[[#This Row],[powertrain_type]],Table3[vehicle_segment]&amp;Table3[powertrain_type],Table3[vehicle_id])</f>
        <v>2</v>
      </c>
      <c r="I147">
        <v>15</v>
      </c>
      <c r="J147">
        <v>1842149</v>
      </c>
      <c r="K147">
        <v>251204</v>
      </c>
      <c r="L147">
        <v>2093368</v>
      </c>
      <c r="M147">
        <v>0</v>
      </c>
      <c r="N147">
        <v>0</v>
      </c>
      <c r="O147">
        <v>0</v>
      </c>
      <c r="P147">
        <v>106</v>
      </c>
      <c r="Q147">
        <v>1.28</v>
      </c>
      <c r="R147">
        <v>0.123</v>
      </c>
      <c r="S147">
        <v>11198</v>
      </c>
      <c r="T147">
        <v>84.3</v>
      </c>
      <c r="U147">
        <v>174.5</v>
      </c>
      <c r="V147">
        <v>0</v>
      </c>
      <c r="W147">
        <v>22.2</v>
      </c>
      <c r="X147">
        <v>0</v>
      </c>
      <c r="Y147">
        <v>0</v>
      </c>
    </row>
    <row r="148" spans="1:25" x14ac:dyDescent="0.25">
      <c r="A148" t="s">
        <v>35</v>
      </c>
      <c r="B148">
        <f>_xlfn.XLOOKUP(Table4[[#This Row],[country]],Table2[country],Table2[country_id],FALSE)</f>
        <v>4</v>
      </c>
      <c r="C148" t="s">
        <v>36</v>
      </c>
      <c r="D148">
        <v>2010</v>
      </c>
      <c r="E148">
        <f>_xlfn.XLOOKUP(Table4[[#This Row],[year]],Table1[year],Table1[year_id])</f>
        <v>1</v>
      </c>
      <c r="F148" t="s">
        <v>30</v>
      </c>
      <c r="G148" t="s">
        <v>28</v>
      </c>
      <c r="H148" cm="1">
        <f t="array" ref="H148">_xlfn.XLOOKUP(Table4[[#This Row],[vehicle_segment]]&amp;Table4[[#This Row],[powertrain_type]],Table3[vehicle_segment]&amp;Table3[powertrain_type],Table3[vehicle_id])</f>
        <v>3</v>
      </c>
      <c r="I148">
        <v>10</v>
      </c>
      <c r="J148">
        <v>813977</v>
      </c>
      <c r="K148">
        <v>70782</v>
      </c>
      <c r="L148">
        <v>884769</v>
      </c>
      <c r="M148">
        <v>0</v>
      </c>
      <c r="N148">
        <v>0</v>
      </c>
      <c r="O148">
        <v>0</v>
      </c>
      <c r="P148">
        <v>106</v>
      </c>
      <c r="Q148">
        <v>1.28</v>
      </c>
      <c r="R148">
        <v>0.123</v>
      </c>
      <c r="S148">
        <v>11198</v>
      </c>
      <c r="T148">
        <v>84.3</v>
      </c>
      <c r="U148">
        <v>174.5</v>
      </c>
      <c r="V148">
        <v>0</v>
      </c>
      <c r="W148">
        <v>22.2</v>
      </c>
      <c r="X148">
        <v>0</v>
      </c>
      <c r="Y148">
        <v>0</v>
      </c>
    </row>
    <row r="149" spans="1:25" x14ac:dyDescent="0.25">
      <c r="A149" t="s">
        <v>35</v>
      </c>
      <c r="B149">
        <f>_xlfn.XLOOKUP(Table4[[#This Row],[country]],Table2[country],Table2[country_id],FALSE)</f>
        <v>4</v>
      </c>
      <c r="C149" t="s">
        <v>36</v>
      </c>
      <c r="D149">
        <v>2011</v>
      </c>
      <c r="E149">
        <f>_xlfn.XLOOKUP(Table4[[#This Row],[year]],Table1[year],Table1[year_id])</f>
        <v>2</v>
      </c>
      <c r="F149" t="s">
        <v>27</v>
      </c>
      <c r="G149" t="s">
        <v>28</v>
      </c>
      <c r="H149" cm="1">
        <f t="array" ref="H149">_xlfn.XLOOKUP(Table4[[#This Row],[vehicle_segment]]&amp;Table4[[#This Row],[powertrain_type]],Table3[vehicle_segment]&amp;Table3[powertrain_type],Table3[vehicle_id])</f>
        <v>1</v>
      </c>
      <c r="I149">
        <v>5</v>
      </c>
      <c r="J149">
        <v>322673</v>
      </c>
      <c r="K149">
        <v>215118</v>
      </c>
      <c r="L149">
        <v>537796</v>
      </c>
      <c r="M149">
        <v>0</v>
      </c>
      <c r="N149">
        <v>21</v>
      </c>
      <c r="O149">
        <v>1</v>
      </c>
      <c r="P149">
        <v>122</v>
      </c>
      <c r="Q149">
        <v>1.2130000000000001</v>
      </c>
      <c r="R149">
        <v>0.127</v>
      </c>
      <c r="S149">
        <v>10739</v>
      </c>
      <c r="T149">
        <v>84.4</v>
      </c>
      <c r="U149">
        <v>180.8</v>
      </c>
      <c r="V149">
        <v>0</v>
      </c>
      <c r="W149">
        <v>22.5</v>
      </c>
      <c r="X149">
        <v>0</v>
      </c>
      <c r="Y149">
        <v>0</v>
      </c>
    </row>
    <row r="150" spans="1:25" x14ac:dyDescent="0.25">
      <c r="A150" t="s">
        <v>35</v>
      </c>
      <c r="B150">
        <f>_xlfn.XLOOKUP(Table4[[#This Row],[country]],Table2[country],Table2[country_id],FALSE)</f>
        <v>4</v>
      </c>
      <c r="C150" t="s">
        <v>36</v>
      </c>
      <c r="D150">
        <v>2011</v>
      </c>
      <c r="E150">
        <f>_xlfn.XLOOKUP(Table4[[#This Row],[year]],Table1[year],Table1[year_id])</f>
        <v>2</v>
      </c>
      <c r="F150" t="s">
        <v>29</v>
      </c>
      <c r="G150" t="s">
        <v>28</v>
      </c>
      <c r="H150" cm="1">
        <f t="array" ref="H150">_xlfn.XLOOKUP(Table4[[#This Row],[vehicle_segment]]&amp;Table4[[#This Row],[powertrain_type]],Table3[vehicle_segment]&amp;Table3[powertrain_type],Table3[vehicle_id])</f>
        <v>2</v>
      </c>
      <c r="I150">
        <v>17</v>
      </c>
      <c r="J150">
        <v>1917857</v>
      </c>
      <c r="K150">
        <v>261528</v>
      </c>
      <c r="L150">
        <v>2179402</v>
      </c>
      <c r="M150">
        <v>0</v>
      </c>
      <c r="N150">
        <v>21</v>
      </c>
      <c r="O150">
        <v>1</v>
      </c>
      <c r="P150">
        <v>122</v>
      </c>
      <c r="Q150">
        <v>1.2130000000000001</v>
      </c>
      <c r="R150">
        <v>0.127</v>
      </c>
      <c r="S150">
        <v>10739</v>
      </c>
      <c r="T150">
        <v>84.4</v>
      </c>
      <c r="U150">
        <v>180.8</v>
      </c>
      <c r="V150">
        <v>0</v>
      </c>
      <c r="W150">
        <v>22.5</v>
      </c>
      <c r="X150">
        <v>13.33</v>
      </c>
      <c r="Y150">
        <v>0</v>
      </c>
    </row>
    <row r="151" spans="1:25" x14ac:dyDescent="0.25">
      <c r="A151" t="s">
        <v>35</v>
      </c>
      <c r="B151">
        <f>_xlfn.XLOOKUP(Table4[[#This Row],[country]],Table2[country],Table2[country_id],FALSE)</f>
        <v>4</v>
      </c>
      <c r="C151" t="s">
        <v>36</v>
      </c>
      <c r="D151">
        <v>2011</v>
      </c>
      <c r="E151">
        <f>_xlfn.XLOOKUP(Table4[[#This Row],[year]],Table1[year],Table1[year_id])</f>
        <v>2</v>
      </c>
      <c r="F151" t="s">
        <v>30</v>
      </c>
      <c r="G151" t="s">
        <v>28</v>
      </c>
      <c r="H151" cm="1">
        <f t="array" ref="H151">_xlfn.XLOOKUP(Table4[[#This Row],[vehicle_segment]]&amp;Table4[[#This Row],[powertrain_type]],Table3[vehicle_segment]&amp;Table3[powertrain_type],Table3[vehicle_id])</f>
        <v>3</v>
      </c>
      <c r="I151">
        <v>11</v>
      </c>
      <c r="J151">
        <v>834630</v>
      </c>
      <c r="K151">
        <v>72577</v>
      </c>
      <c r="L151">
        <v>907218</v>
      </c>
      <c r="M151">
        <v>0</v>
      </c>
      <c r="N151">
        <v>21</v>
      </c>
      <c r="O151">
        <v>1</v>
      </c>
      <c r="P151">
        <v>122</v>
      </c>
      <c r="Q151">
        <v>1.2130000000000001</v>
      </c>
      <c r="R151">
        <v>0.127</v>
      </c>
      <c r="S151">
        <v>10739</v>
      </c>
      <c r="T151">
        <v>84.4</v>
      </c>
      <c r="U151">
        <v>180.8</v>
      </c>
      <c r="V151">
        <v>0</v>
      </c>
      <c r="W151">
        <v>22.5</v>
      </c>
      <c r="X151">
        <v>10</v>
      </c>
      <c r="Y151">
        <v>0</v>
      </c>
    </row>
    <row r="152" spans="1:25" x14ac:dyDescent="0.25">
      <c r="A152" t="s">
        <v>35</v>
      </c>
      <c r="B152">
        <f>_xlfn.XLOOKUP(Table4[[#This Row],[country]],Table2[country],Table2[country_id],FALSE)</f>
        <v>4</v>
      </c>
      <c r="C152" t="s">
        <v>36</v>
      </c>
      <c r="D152">
        <v>2012</v>
      </c>
      <c r="E152">
        <f>_xlfn.XLOOKUP(Table4[[#This Row],[year]],Table1[year],Table1[year_id])</f>
        <v>3</v>
      </c>
      <c r="F152" t="s">
        <v>27</v>
      </c>
      <c r="G152" t="s">
        <v>28</v>
      </c>
      <c r="H152" cm="1">
        <f t="array" ref="H152">_xlfn.XLOOKUP(Table4[[#This Row],[vehicle_segment]]&amp;Table4[[#This Row],[powertrain_type]],Table3[vehicle_segment]&amp;Table3[powertrain_type],Table3[vehicle_id])</f>
        <v>1</v>
      </c>
      <c r="I152">
        <v>5</v>
      </c>
      <c r="J152">
        <v>333101</v>
      </c>
      <c r="K152">
        <v>222071</v>
      </c>
      <c r="L152">
        <v>555177</v>
      </c>
      <c r="M152">
        <v>0</v>
      </c>
      <c r="N152">
        <v>39</v>
      </c>
      <c r="O152">
        <v>1.8</v>
      </c>
      <c r="P152">
        <v>136</v>
      </c>
      <c r="Q152">
        <v>1.147</v>
      </c>
      <c r="R152">
        <v>0.129</v>
      </c>
      <c r="S152">
        <v>10127</v>
      </c>
      <c r="T152">
        <v>84.8</v>
      </c>
      <c r="U152">
        <v>186.5</v>
      </c>
      <c r="V152">
        <v>0</v>
      </c>
      <c r="W152">
        <v>24.7</v>
      </c>
      <c r="X152">
        <v>0</v>
      </c>
      <c r="Y152">
        <v>0</v>
      </c>
    </row>
    <row r="153" spans="1:25" x14ac:dyDescent="0.25">
      <c r="A153" t="s">
        <v>35</v>
      </c>
      <c r="B153">
        <f>_xlfn.XLOOKUP(Table4[[#This Row],[country]],Table2[country],Table2[country_id],FALSE)</f>
        <v>4</v>
      </c>
      <c r="C153" t="s">
        <v>36</v>
      </c>
      <c r="D153">
        <v>2012</v>
      </c>
      <c r="E153">
        <f>_xlfn.XLOOKUP(Table4[[#This Row],[year]],Table1[year],Table1[year_id])</f>
        <v>3</v>
      </c>
      <c r="F153" t="s">
        <v>29</v>
      </c>
      <c r="G153" t="s">
        <v>28</v>
      </c>
      <c r="H153" cm="1">
        <f t="array" ref="H153">_xlfn.XLOOKUP(Table4[[#This Row],[vehicle_segment]]&amp;Table4[[#This Row],[powertrain_type]],Table3[vehicle_segment]&amp;Table3[powertrain_type],Table3[vehicle_id])</f>
        <v>2</v>
      </c>
      <c r="I153">
        <v>42</v>
      </c>
      <c r="J153">
        <v>1944648</v>
      </c>
      <c r="K153">
        <v>265185</v>
      </c>
      <c r="L153">
        <v>2209875</v>
      </c>
      <c r="M153">
        <v>0</v>
      </c>
      <c r="N153">
        <v>39</v>
      </c>
      <c r="O153">
        <v>1.8</v>
      </c>
      <c r="P153">
        <v>136</v>
      </c>
      <c r="Q153">
        <v>1.147</v>
      </c>
      <c r="R153">
        <v>0.129</v>
      </c>
      <c r="S153">
        <v>10127</v>
      </c>
      <c r="T153">
        <v>84.8</v>
      </c>
      <c r="U153">
        <v>186.5</v>
      </c>
      <c r="V153">
        <v>0</v>
      </c>
      <c r="W153">
        <v>24.7</v>
      </c>
      <c r="X153">
        <v>67.33</v>
      </c>
      <c r="Y153">
        <v>0</v>
      </c>
    </row>
    <row r="154" spans="1:25" x14ac:dyDescent="0.25">
      <c r="A154" t="s">
        <v>35</v>
      </c>
      <c r="B154">
        <f>_xlfn.XLOOKUP(Table4[[#This Row],[country]],Table2[country],Table2[country_id],FALSE)</f>
        <v>4</v>
      </c>
      <c r="C154" t="s">
        <v>36</v>
      </c>
      <c r="D154">
        <v>2012</v>
      </c>
      <c r="E154">
        <f>_xlfn.XLOOKUP(Table4[[#This Row],[year]],Table1[year],Table1[year_id])</f>
        <v>3</v>
      </c>
      <c r="F154" t="s">
        <v>30</v>
      </c>
      <c r="G154" t="s">
        <v>28</v>
      </c>
      <c r="H154" cm="1">
        <f t="array" ref="H154">_xlfn.XLOOKUP(Table4[[#This Row],[vehicle_segment]]&amp;Table4[[#This Row],[powertrain_type]],Table3[vehicle_segment]&amp;Table3[powertrain_type],Table3[vehicle_id])</f>
        <v>3</v>
      </c>
      <c r="I154">
        <v>21</v>
      </c>
      <c r="J154">
        <v>851497</v>
      </c>
      <c r="K154">
        <v>74045</v>
      </c>
      <c r="L154">
        <v>925563</v>
      </c>
      <c r="M154">
        <v>0</v>
      </c>
      <c r="N154">
        <v>39</v>
      </c>
      <c r="O154">
        <v>1.8</v>
      </c>
      <c r="P154">
        <v>136</v>
      </c>
      <c r="Q154">
        <v>1.147</v>
      </c>
      <c r="R154">
        <v>0.129</v>
      </c>
      <c r="S154">
        <v>10127</v>
      </c>
      <c r="T154">
        <v>84.8</v>
      </c>
      <c r="U154">
        <v>186.5</v>
      </c>
      <c r="V154">
        <v>0</v>
      </c>
      <c r="W154">
        <v>24.7</v>
      </c>
      <c r="X154">
        <v>44.91</v>
      </c>
      <c r="Y154">
        <v>0</v>
      </c>
    </row>
    <row r="155" spans="1:25" x14ac:dyDescent="0.25">
      <c r="A155" t="s">
        <v>35</v>
      </c>
      <c r="B155">
        <f>_xlfn.XLOOKUP(Table4[[#This Row],[country]],Table2[country],Table2[country_id],FALSE)</f>
        <v>4</v>
      </c>
      <c r="C155" t="s">
        <v>36</v>
      </c>
      <c r="D155">
        <v>2013</v>
      </c>
      <c r="E155">
        <f>_xlfn.XLOOKUP(Table4[[#This Row],[year]],Table1[year],Table1[year_id])</f>
        <v>4</v>
      </c>
      <c r="F155" t="s">
        <v>27</v>
      </c>
      <c r="G155" t="s">
        <v>28</v>
      </c>
      <c r="H155" cm="1">
        <f t="array" ref="H155">_xlfn.XLOOKUP(Table4[[#This Row],[vehicle_segment]]&amp;Table4[[#This Row],[powertrain_type]],Table3[vehicle_segment]&amp;Table3[powertrain_type],Table3[vehicle_id])</f>
        <v>1</v>
      </c>
      <c r="I155">
        <v>7</v>
      </c>
      <c r="J155">
        <v>342112</v>
      </c>
      <c r="K155">
        <v>228079</v>
      </c>
      <c r="L155">
        <v>570198</v>
      </c>
      <c r="M155">
        <v>0</v>
      </c>
      <c r="N155">
        <v>58</v>
      </c>
      <c r="O155">
        <v>2.9</v>
      </c>
      <c r="P155">
        <v>135</v>
      </c>
      <c r="Q155">
        <v>1.1100000000000001</v>
      </c>
      <c r="R155">
        <v>0.13300000000000001</v>
      </c>
      <c r="S155">
        <v>9771</v>
      </c>
      <c r="T155">
        <v>84.6</v>
      </c>
      <c r="U155">
        <v>190.3</v>
      </c>
      <c r="V155">
        <v>0</v>
      </c>
      <c r="W155">
        <v>24.5</v>
      </c>
      <c r="X155">
        <v>11.87</v>
      </c>
      <c r="Y155">
        <v>0</v>
      </c>
    </row>
    <row r="156" spans="1:25" x14ac:dyDescent="0.25">
      <c r="A156" t="s">
        <v>35</v>
      </c>
      <c r="B156">
        <f>_xlfn.XLOOKUP(Table4[[#This Row],[country]],Table2[country],Table2[country_id],FALSE)</f>
        <v>4</v>
      </c>
      <c r="C156" t="s">
        <v>36</v>
      </c>
      <c r="D156">
        <v>2013</v>
      </c>
      <c r="E156">
        <f>_xlfn.XLOOKUP(Table4[[#This Row],[year]],Table1[year],Table1[year_id])</f>
        <v>4</v>
      </c>
      <c r="F156" t="s">
        <v>29</v>
      </c>
      <c r="G156" t="s">
        <v>28</v>
      </c>
      <c r="H156" cm="1">
        <f t="array" ref="H156">_xlfn.XLOOKUP(Table4[[#This Row],[vehicle_segment]]&amp;Table4[[#This Row],[powertrain_type]],Table3[vehicle_segment]&amp;Table3[powertrain_type],Table3[vehicle_id])</f>
        <v>2</v>
      </c>
      <c r="I156">
        <v>88</v>
      </c>
      <c r="J156">
        <v>1978022</v>
      </c>
      <c r="K156">
        <v>269742</v>
      </c>
      <c r="L156">
        <v>2247852</v>
      </c>
      <c r="M156">
        <v>0</v>
      </c>
      <c r="N156">
        <v>58</v>
      </c>
      <c r="O156">
        <v>2.9</v>
      </c>
      <c r="P156">
        <v>135</v>
      </c>
      <c r="Q156">
        <v>1.1100000000000001</v>
      </c>
      <c r="R156">
        <v>0.13300000000000001</v>
      </c>
      <c r="S156">
        <v>9771</v>
      </c>
      <c r="T156">
        <v>84.6</v>
      </c>
      <c r="U156">
        <v>190.3</v>
      </c>
      <c r="V156">
        <v>0</v>
      </c>
      <c r="W156">
        <v>24.5</v>
      </c>
      <c r="X156">
        <v>80.36</v>
      </c>
      <c r="Y156">
        <v>0</v>
      </c>
    </row>
    <row r="157" spans="1:25" x14ac:dyDescent="0.25">
      <c r="A157" t="s">
        <v>35</v>
      </c>
      <c r="B157">
        <f>_xlfn.XLOOKUP(Table4[[#This Row],[country]],Table2[country],Table2[country_id],FALSE)</f>
        <v>4</v>
      </c>
      <c r="C157" t="s">
        <v>36</v>
      </c>
      <c r="D157">
        <v>2013</v>
      </c>
      <c r="E157">
        <f>_xlfn.XLOOKUP(Table4[[#This Row],[year]],Table1[year],Table1[year_id])</f>
        <v>4</v>
      </c>
      <c r="F157" t="s">
        <v>30</v>
      </c>
      <c r="G157" t="s">
        <v>28</v>
      </c>
      <c r="H157" cm="1">
        <f t="array" ref="H157">_xlfn.XLOOKUP(Table4[[#This Row],[vehicle_segment]]&amp;Table4[[#This Row],[powertrain_type]],Table3[vehicle_segment]&amp;Table3[powertrain_type],Table3[vehicle_id])</f>
        <v>3</v>
      </c>
      <c r="I157">
        <v>48</v>
      </c>
      <c r="J157">
        <v>874267</v>
      </c>
      <c r="K157">
        <v>76027</v>
      </c>
      <c r="L157">
        <v>950342</v>
      </c>
      <c r="M157">
        <v>0.01</v>
      </c>
      <c r="N157">
        <v>58</v>
      </c>
      <c r="O157">
        <v>2.9</v>
      </c>
      <c r="P157">
        <v>135</v>
      </c>
      <c r="Q157">
        <v>1.1100000000000001</v>
      </c>
      <c r="R157">
        <v>0.13300000000000001</v>
      </c>
      <c r="S157">
        <v>9771</v>
      </c>
      <c r="T157">
        <v>84.6</v>
      </c>
      <c r="U157">
        <v>190.3</v>
      </c>
      <c r="V157">
        <v>0</v>
      </c>
      <c r="W157">
        <v>24.5</v>
      </c>
      <c r="X157">
        <v>68.69</v>
      </c>
      <c r="Y157">
        <v>0</v>
      </c>
    </row>
    <row r="158" spans="1:25" x14ac:dyDescent="0.25">
      <c r="A158" t="s">
        <v>35</v>
      </c>
      <c r="B158">
        <f>_xlfn.XLOOKUP(Table4[[#This Row],[country]],Table2[country],Table2[country_id],FALSE)</f>
        <v>4</v>
      </c>
      <c r="C158" t="s">
        <v>36</v>
      </c>
      <c r="D158">
        <v>2014</v>
      </c>
      <c r="E158">
        <f>_xlfn.XLOOKUP(Table4[[#This Row],[year]],Table1[year],Table1[year_id])</f>
        <v>5</v>
      </c>
      <c r="F158" t="s">
        <v>27</v>
      </c>
      <c r="G158" t="s">
        <v>28</v>
      </c>
      <c r="H158" cm="1">
        <f t="array" ref="H158">_xlfn.XLOOKUP(Table4[[#This Row],[vehicle_segment]]&amp;Table4[[#This Row],[powertrain_type]],Table3[vehicle_segment]&amp;Table3[powertrain_type],Table3[vehicle_id])</f>
        <v>1</v>
      </c>
      <c r="I158">
        <v>17</v>
      </c>
      <c r="J158">
        <v>294781</v>
      </c>
      <c r="K158">
        <v>196520</v>
      </c>
      <c r="L158">
        <v>491318</v>
      </c>
      <c r="M158">
        <v>0</v>
      </c>
      <c r="N158">
        <v>82</v>
      </c>
      <c r="O158">
        <v>4.0999999999999996</v>
      </c>
      <c r="P158">
        <v>147</v>
      </c>
      <c r="Q158">
        <v>1.0669999999999999</v>
      </c>
      <c r="R158">
        <v>0.13600000000000001</v>
      </c>
      <c r="S158">
        <v>9341</v>
      </c>
      <c r="T158">
        <v>84.6</v>
      </c>
      <c r="U158">
        <v>194.4</v>
      </c>
      <c r="V158">
        <v>0</v>
      </c>
      <c r="W158">
        <v>27.2</v>
      </c>
      <c r="X158">
        <v>50.37</v>
      </c>
      <c r="Y158">
        <v>0</v>
      </c>
    </row>
    <row r="159" spans="1:25" x14ac:dyDescent="0.25">
      <c r="A159" t="s">
        <v>35</v>
      </c>
      <c r="B159">
        <f>_xlfn.XLOOKUP(Table4[[#This Row],[country]],Table2[country],Table2[country_id],FALSE)</f>
        <v>4</v>
      </c>
      <c r="C159" t="s">
        <v>36</v>
      </c>
      <c r="D159">
        <v>2014</v>
      </c>
      <c r="E159">
        <f>_xlfn.XLOOKUP(Table4[[#This Row],[year]],Table1[year],Table1[year_id])</f>
        <v>5</v>
      </c>
      <c r="F159" t="s">
        <v>29</v>
      </c>
      <c r="G159" t="s">
        <v>28</v>
      </c>
      <c r="H159" cm="1">
        <f t="array" ref="H159">_xlfn.XLOOKUP(Table4[[#This Row],[vehicle_segment]]&amp;Table4[[#This Row],[powertrain_type]],Table3[vehicle_segment]&amp;Table3[powertrain_type],Table3[vehicle_id])</f>
        <v>2</v>
      </c>
      <c r="I159">
        <v>202</v>
      </c>
      <c r="J159">
        <v>1775725</v>
      </c>
      <c r="K159">
        <v>242144</v>
      </c>
      <c r="L159">
        <v>2018071</v>
      </c>
      <c r="M159">
        <v>0.01</v>
      </c>
      <c r="N159">
        <v>82</v>
      </c>
      <c r="O159">
        <v>4.0999999999999996</v>
      </c>
      <c r="P159">
        <v>147</v>
      </c>
      <c r="Q159">
        <v>1.0669999999999999</v>
      </c>
      <c r="R159">
        <v>0.13600000000000001</v>
      </c>
      <c r="S159">
        <v>9341</v>
      </c>
      <c r="T159">
        <v>84.6</v>
      </c>
      <c r="U159">
        <v>194.4</v>
      </c>
      <c r="V159">
        <v>0</v>
      </c>
      <c r="W159">
        <v>27.2</v>
      </c>
      <c r="X159">
        <v>128.19</v>
      </c>
      <c r="Y159">
        <v>0</v>
      </c>
    </row>
    <row r="160" spans="1:25" x14ac:dyDescent="0.25">
      <c r="A160" t="s">
        <v>35</v>
      </c>
      <c r="B160">
        <f>_xlfn.XLOOKUP(Table4[[#This Row],[country]],Table2[country],Table2[country_id],FALSE)</f>
        <v>4</v>
      </c>
      <c r="C160" t="s">
        <v>36</v>
      </c>
      <c r="D160">
        <v>2014</v>
      </c>
      <c r="E160">
        <f>_xlfn.XLOOKUP(Table4[[#This Row],[year]],Table1[year],Table1[year_id])</f>
        <v>5</v>
      </c>
      <c r="F160" t="s">
        <v>30</v>
      </c>
      <c r="G160" t="s">
        <v>28</v>
      </c>
      <c r="H160" cm="1">
        <f t="array" ref="H160">_xlfn.XLOOKUP(Table4[[#This Row],[vehicle_segment]]&amp;Table4[[#This Row],[powertrain_type]],Table3[vehicle_segment]&amp;Table3[powertrain_type],Table3[vehicle_id])</f>
        <v>3</v>
      </c>
      <c r="I160">
        <v>118</v>
      </c>
      <c r="J160">
        <v>749039</v>
      </c>
      <c r="K160">
        <v>65134</v>
      </c>
      <c r="L160">
        <v>814291</v>
      </c>
      <c r="M160">
        <v>0.01</v>
      </c>
      <c r="N160">
        <v>82</v>
      </c>
      <c r="O160">
        <v>4.0999999999999996</v>
      </c>
      <c r="P160">
        <v>147</v>
      </c>
      <c r="Q160">
        <v>1.0669999999999999</v>
      </c>
      <c r="R160">
        <v>0.13600000000000001</v>
      </c>
      <c r="S160">
        <v>9341</v>
      </c>
      <c r="T160">
        <v>84.6</v>
      </c>
      <c r="U160">
        <v>194.4</v>
      </c>
      <c r="V160">
        <v>0</v>
      </c>
      <c r="W160">
        <v>27.2</v>
      </c>
      <c r="X160">
        <v>120.54</v>
      </c>
      <c r="Y160">
        <v>0</v>
      </c>
    </row>
    <row r="161" spans="1:25" x14ac:dyDescent="0.25">
      <c r="A161" t="s">
        <v>35</v>
      </c>
      <c r="B161">
        <f>_xlfn.XLOOKUP(Table4[[#This Row],[country]],Table2[country],Table2[country_id],FALSE)</f>
        <v>4</v>
      </c>
      <c r="C161" t="s">
        <v>36</v>
      </c>
      <c r="D161">
        <v>2015</v>
      </c>
      <c r="E161">
        <f>_xlfn.XLOOKUP(Table4[[#This Row],[year]],Table1[year],Table1[year_id])</f>
        <v>6</v>
      </c>
      <c r="F161" t="s">
        <v>27</v>
      </c>
      <c r="G161" t="s">
        <v>28</v>
      </c>
      <c r="H161" cm="1">
        <f t="array" ref="H161">_xlfn.XLOOKUP(Table4[[#This Row],[vehicle_segment]]&amp;Table4[[#This Row],[powertrain_type]],Table3[vehicle_segment]&amp;Table3[powertrain_type],Table3[vehicle_id])</f>
        <v>1</v>
      </c>
      <c r="I161">
        <v>28</v>
      </c>
      <c r="J161">
        <v>236048</v>
      </c>
      <c r="K161">
        <v>157366</v>
      </c>
      <c r="L161">
        <v>393442</v>
      </c>
      <c r="M161">
        <v>0.01</v>
      </c>
      <c r="N161">
        <v>103</v>
      </c>
      <c r="O161">
        <v>4.9000000000000004</v>
      </c>
      <c r="P161">
        <v>160</v>
      </c>
      <c r="Q161">
        <v>1.06</v>
      </c>
      <c r="R161">
        <v>0.13700000000000001</v>
      </c>
      <c r="S161">
        <v>8745</v>
      </c>
      <c r="T161">
        <v>84.7</v>
      </c>
      <c r="U161">
        <v>196</v>
      </c>
      <c r="V161">
        <v>0</v>
      </c>
      <c r="W161">
        <v>28.8</v>
      </c>
      <c r="X161">
        <v>77.58</v>
      </c>
      <c r="Y161">
        <v>0</v>
      </c>
    </row>
    <row r="162" spans="1:25" x14ac:dyDescent="0.25">
      <c r="A162" t="s">
        <v>35</v>
      </c>
      <c r="B162">
        <f>_xlfn.XLOOKUP(Table4[[#This Row],[country]],Table2[country],Table2[country_id],FALSE)</f>
        <v>4</v>
      </c>
      <c r="C162" t="s">
        <v>36</v>
      </c>
      <c r="D162">
        <v>2015</v>
      </c>
      <c r="E162">
        <f>_xlfn.XLOOKUP(Table4[[#This Row],[year]],Table1[year],Table1[year_id])</f>
        <v>6</v>
      </c>
      <c r="F162" t="s">
        <v>29</v>
      </c>
      <c r="G162" t="s">
        <v>28</v>
      </c>
      <c r="H162" cm="1">
        <f t="array" ref="H162">_xlfn.XLOOKUP(Table4[[#This Row],[vehicle_segment]]&amp;Table4[[#This Row],[powertrain_type]],Table3[vehicle_segment]&amp;Table3[powertrain_type],Table3[vehicle_id])</f>
        <v>2</v>
      </c>
      <c r="I162">
        <v>314</v>
      </c>
      <c r="J162">
        <v>1383162</v>
      </c>
      <c r="K162">
        <v>188613</v>
      </c>
      <c r="L162">
        <v>1572089</v>
      </c>
      <c r="M162">
        <v>0.02</v>
      </c>
      <c r="N162">
        <v>103</v>
      </c>
      <c r="O162">
        <v>4.9000000000000004</v>
      </c>
      <c r="P162">
        <v>160</v>
      </c>
      <c r="Q162">
        <v>1.06</v>
      </c>
      <c r="R162">
        <v>0.13700000000000001</v>
      </c>
      <c r="S162">
        <v>8745</v>
      </c>
      <c r="T162">
        <v>84.7</v>
      </c>
      <c r="U162">
        <v>196</v>
      </c>
      <c r="V162">
        <v>0</v>
      </c>
      <c r="W162">
        <v>28.8</v>
      </c>
      <c r="X162">
        <v>55.45</v>
      </c>
      <c r="Y162">
        <v>0</v>
      </c>
    </row>
    <row r="163" spans="1:25" x14ac:dyDescent="0.25">
      <c r="A163" t="s">
        <v>35</v>
      </c>
      <c r="B163">
        <f>_xlfn.XLOOKUP(Table4[[#This Row],[country]],Table2[country],Table2[country_id],FALSE)</f>
        <v>4</v>
      </c>
      <c r="C163" t="s">
        <v>36</v>
      </c>
      <c r="D163">
        <v>2015</v>
      </c>
      <c r="E163">
        <f>_xlfn.XLOOKUP(Table4[[#This Row],[year]],Table1[year],Table1[year_id])</f>
        <v>6</v>
      </c>
      <c r="F163" t="s">
        <v>30</v>
      </c>
      <c r="G163" t="s">
        <v>28</v>
      </c>
      <c r="H163" cm="1">
        <f t="array" ref="H163">_xlfn.XLOOKUP(Table4[[#This Row],[vehicle_segment]]&amp;Table4[[#This Row],[powertrain_type]],Table3[vehicle_segment]&amp;Table3[powertrain_type],Table3[vehicle_id])</f>
        <v>3</v>
      </c>
      <c r="I163">
        <v>188</v>
      </c>
      <c r="J163">
        <v>596673</v>
      </c>
      <c r="K163">
        <v>51885</v>
      </c>
      <c r="L163">
        <v>648746</v>
      </c>
      <c r="M163">
        <v>0.03</v>
      </c>
      <c r="N163">
        <v>103</v>
      </c>
      <c r="O163">
        <v>4.9000000000000004</v>
      </c>
      <c r="P163">
        <v>160</v>
      </c>
      <c r="Q163">
        <v>1.06</v>
      </c>
      <c r="R163">
        <v>0.13700000000000001</v>
      </c>
      <c r="S163">
        <v>8745</v>
      </c>
      <c r="T163">
        <v>84.7</v>
      </c>
      <c r="U163">
        <v>196</v>
      </c>
      <c r="V163">
        <v>0</v>
      </c>
      <c r="W163">
        <v>28.8</v>
      </c>
      <c r="X163">
        <v>59.32</v>
      </c>
      <c r="Y163">
        <v>0</v>
      </c>
    </row>
    <row r="164" spans="1:25" x14ac:dyDescent="0.25">
      <c r="A164" t="s">
        <v>35</v>
      </c>
      <c r="B164">
        <f>_xlfn.XLOOKUP(Table4[[#This Row],[country]],Table2[country],Table2[country_id],FALSE)</f>
        <v>4</v>
      </c>
      <c r="C164" t="s">
        <v>36</v>
      </c>
      <c r="D164">
        <v>2016</v>
      </c>
      <c r="E164">
        <f>_xlfn.XLOOKUP(Table4[[#This Row],[year]],Table1[year],Table1[year_id])</f>
        <v>7</v>
      </c>
      <c r="F164" t="s">
        <v>27</v>
      </c>
      <c r="G164" t="s">
        <v>28</v>
      </c>
      <c r="H164" cm="1">
        <f t="array" ref="H164">_xlfn.XLOOKUP(Table4[[#This Row],[vehicle_segment]]&amp;Table4[[#This Row],[powertrain_type]],Table3[vehicle_segment]&amp;Table3[powertrain_type],Table3[vehicle_id])</f>
        <v>1</v>
      </c>
      <c r="I164">
        <v>38</v>
      </c>
      <c r="J164">
        <v>218858</v>
      </c>
      <c r="K164">
        <v>145905</v>
      </c>
      <c r="L164">
        <v>364801</v>
      </c>
      <c r="M164">
        <v>0.01</v>
      </c>
      <c r="N164">
        <v>158</v>
      </c>
      <c r="O164">
        <v>6.5</v>
      </c>
      <c r="P164">
        <v>186</v>
      </c>
      <c r="Q164">
        <v>1.05</v>
      </c>
      <c r="R164">
        <v>0.13400000000000001</v>
      </c>
      <c r="S164">
        <v>8965</v>
      </c>
      <c r="T164">
        <v>85.3</v>
      </c>
      <c r="U164">
        <v>196.7</v>
      </c>
      <c r="V164">
        <v>0</v>
      </c>
      <c r="W164">
        <v>29.4</v>
      </c>
      <c r="X164">
        <v>75.75</v>
      </c>
      <c r="Y164">
        <v>0</v>
      </c>
    </row>
    <row r="165" spans="1:25" x14ac:dyDescent="0.25">
      <c r="A165" t="s">
        <v>35</v>
      </c>
      <c r="B165">
        <f>_xlfn.XLOOKUP(Table4[[#This Row],[country]],Table2[country],Table2[country_id],FALSE)</f>
        <v>4</v>
      </c>
      <c r="C165" t="s">
        <v>36</v>
      </c>
      <c r="D165">
        <v>2016</v>
      </c>
      <c r="E165">
        <f>_xlfn.XLOOKUP(Table4[[#This Row],[year]],Table1[year],Table1[year_id])</f>
        <v>7</v>
      </c>
      <c r="F165" t="s">
        <v>29</v>
      </c>
      <c r="G165" t="s">
        <v>28</v>
      </c>
      <c r="H165" cm="1">
        <f t="array" ref="H165">_xlfn.XLOOKUP(Table4[[#This Row],[vehicle_segment]]&amp;Table4[[#This Row],[powertrain_type]],Table3[vehicle_segment]&amp;Table3[powertrain_type],Table3[vehicle_id])</f>
        <v>2</v>
      </c>
      <c r="I165">
        <v>436</v>
      </c>
      <c r="J165">
        <v>1279628</v>
      </c>
      <c r="K165">
        <v>174495</v>
      </c>
      <c r="L165">
        <v>1454559</v>
      </c>
      <c r="M165">
        <v>0.03</v>
      </c>
      <c r="N165">
        <v>158</v>
      </c>
      <c r="O165">
        <v>6.5</v>
      </c>
      <c r="P165">
        <v>186</v>
      </c>
      <c r="Q165">
        <v>1.05</v>
      </c>
      <c r="R165">
        <v>0.13400000000000001</v>
      </c>
      <c r="S165">
        <v>8965</v>
      </c>
      <c r="T165">
        <v>85.3</v>
      </c>
      <c r="U165">
        <v>196.7</v>
      </c>
      <c r="V165">
        <v>0</v>
      </c>
      <c r="W165">
        <v>29.4</v>
      </c>
      <c r="X165">
        <v>38.85</v>
      </c>
      <c r="Y165">
        <v>0</v>
      </c>
    </row>
    <row r="166" spans="1:25" x14ac:dyDescent="0.25">
      <c r="A166" t="s">
        <v>35</v>
      </c>
      <c r="B166">
        <f>_xlfn.XLOOKUP(Table4[[#This Row],[country]],Table2[country],Table2[country_id],FALSE)</f>
        <v>4</v>
      </c>
      <c r="C166" t="s">
        <v>36</v>
      </c>
      <c r="D166">
        <v>2016</v>
      </c>
      <c r="E166">
        <f>_xlfn.XLOOKUP(Table4[[#This Row],[year]],Table1[year],Table1[year_id])</f>
        <v>7</v>
      </c>
      <c r="F166" t="s">
        <v>30</v>
      </c>
      <c r="G166" t="s">
        <v>28</v>
      </c>
      <c r="H166" cm="1">
        <f t="array" ref="H166">_xlfn.XLOOKUP(Table4[[#This Row],[vehicle_segment]]&amp;Table4[[#This Row],[powertrain_type]],Table3[vehicle_segment]&amp;Table3[powertrain_type],Table3[vehicle_id])</f>
        <v>3</v>
      </c>
      <c r="I166">
        <v>263</v>
      </c>
      <c r="J166">
        <v>555950</v>
      </c>
      <c r="K166">
        <v>48343</v>
      </c>
      <c r="L166">
        <v>604556</v>
      </c>
      <c r="M166">
        <v>0.04</v>
      </c>
      <c r="N166">
        <v>158</v>
      </c>
      <c r="O166">
        <v>6.5</v>
      </c>
      <c r="P166">
        <v>186</v>
      </c>
      <c r="Q166">
        <v>1.05</v>
      </c>
      <c r="R166">
        <v>0.13400000000000001</v>
      </c>
      <c r="S166">
        <v>8965</v>
      </c>
      <c r="T166">
        <v>85.3</v>
      </c>
      <c r="U166">
        <v>196.7</v>
      </c>
      <c r="V166">
        <v>0</v>
      </c>
      <c r="W166">
        <v>29.4</v>
      </c>
      <c r="X166">
        <v>39.89</v>
      </c>
      <c r="Y166">
        <v>0</v>
      </c>
    </row>
    <row r="167" spans="1:25" x14ac:dyDescent="0.25">
      <c r="A167" t="s">
        <v>35</v>
      </c>
      <c r="B167">
        <f>_xlfn.XLOOKUP(Table4[[#This Row],[country]],Table2[country],Table2[country_id],FALSE)</f>
        <v>4</v>
      </c>
      <c r="C167" t="s">
        <v>36</v>
      </c>
      <c r="D167">
        <v>2017</v>
      </c>
      <c r="E167">
        <f>_xlfn.XLOOKUP(Table4[[#This Row],[year]],Table1[year],Table1[year_id])</f>
        <v>8</v>
      </c>
      <c r="F167" t="s">
        <v>27</v>
      </c>
      <c r="G167" t="s">
        <v>28</v>
      </c>
      <c r="H167" cm="1">
        <f t="array" ref="H167">_xlfn.XLOOKUP(Table4[[#This Row],[vehicle_segment]]&amp;Table4[[#This Row],[powertrain_type]],Table3[vehicle_segment]&amp;Table3[powertrain_type],Table3[vehicle_id])</f>
        <v>1</v>
      </c>
      <c r="I167">
        <v>47</v>
      </c>
      <c r="J167">
        <v>200788</v>
      </c>
      <c r="K167">
        <v>133859</v>
      </c>
      <c r="L167">
        <v>334694</v>
      </c>
      <c r="M167">
        <v>0.01</v>
      </c>
      <c r="N167">
        <v>234</v>
      </c>
      <c r="O167">
        <v>6.8</v>
      </c>
      <c r="P167">
        <v>207</v>
      </c>
      <c r="Q167">
        <v>1.0669999999999999</v>
      </c>
      <c r="R167">
        <v>0.128</v>
      </c>
      <c r="S167">
        <v>8722</v>
      </c>
      <c r="T167">
        <v>86.3</v>
      </c>
      <c r="U167">
        <v>198.6</v>
      </c>
      <c r="V167">
        <v>0</v>
      </c>
      <c r="W167">
        <v>33.9</v>
      </c>
      <c r="X167">
        <v>40.35</v>
      </c>
      <c r="Y167">
        <v>0</v>
      </c>
    </row>
    <row r="168" spans="1:25" x14ac:dyDescent="0.25">
      <c r="A168" t="s">
        <v>35</v>
      </c>
      <c r="B168">
        <f>_xlfn.XLOOKUP(Table4[[#This Row],[country]],Table2[country],Table2[country_id],FALSE)</f>
        <v>4</v>
      </c>
      <c r="C168" t="s">
        <v>36</v>
      </c>
      <c r="D168">
        <v>2017</v>
      </c>
      <c r="E168">
        <f>_xlfn.XLOOKUP(Table4[[#This Row],[year]],Table1[year],Table1[year_id])</f>
        <v>8</v>
      </c>
      <c r="F168" t="s">
        <v>29</v>
      </c>
      <c r="G168" t="s">
        <v>28</v>
      </c>
      <c r="H168" cm="1">
        <f t="array" ref="H168">_xlfn.XLOOKUP(Table4[[#This Row],[vehicle_segment]]&amp;Table4[[#This Row],[powertrain_type]],Table3[vehicle_segment]&amp;Table3[powertrain_type],Table3[vehicle_id])</f>
        <v>2</v>
      </c>
      <c r="I168">
        <v>534</v>
      </c>
      <c r="J168">
        <v>1174606</v>
      </c>
      <c r="K168">
        <v>160173</v>
      </c>
      <c r="L168">
        <v>1335313</v>
      </c>
      <c r="M168">
        <v>0.04</v>
      </c>
      <c r="N168">
        <v>234</v>
      </c>
      <c r="O168">
        <v>6.8</v>
      </c>
      <c r="P168">
        <v>207</v>
      </c>
      <c r="Q168">
        <v>1.0669999999999999</v>
      </c>
      <c r="R168">
        <v>0.128</v>
      </c>
      <c r="S168">
        <v>8722</v>
      </c>
      <c r="T168">
        <v>86.3</v>
      </c>
      <c r="U168">
        <v>198.6</v>
      </c>
      <c r="V168">
        <v>0</v>
      </c>
      <c r="W168">
        <v>33.9</v>
      </c>
      <c r="X168">
        <v>22.48</v>
      </c>
      <c r="Y168">
        <v>0</v>
      </c>
    </row>
    <row r="169" spans="1:25" x14ac:dyDescent="0.25">
      <c r="A169" t="s">
        <v>35</v>
      </c>
      <c r="B169">
        <f>_xlfn.XLOOKUP(Table4[[#This Row],[country]],Table2[country],Table2[country_id],FALSE)</f>
        <v>4</v>
      </c>
      <c r="C169" t="s">
        <v>36</v>
      </c>
      <c r="D169">
        <v>2017</v>
      </c>
      <c r="E169">
        <f>_xlfn.XLOOKUP(Table4[[#This Row],[year]],Table1[year],Table1[year_id])</f>
        <v>8</v>
      </c>
      <c r="F169" t="s">
        <v>30</v>
      </c>
      <c r="G169" t="s">
        <v>28</v>
      </c>
      <c r="H169" cm="1">
        <f t="array" ref="H169">_xlfn.XLOOKUP(Table4[[#This Row],[vehicle_segment]]&amp;Table4[[#This Row],[powertrain_type]],Table3[vehicle_segment]&amp;Table3[powertrain_type],Table3[vehicle_id])</f>
        <v>3</v>
      </c>
      <c r="I169">
        <v>331</v>
      </c>
      <c r="J169">
        <v>524885</v>
      </c>
      <c r="K169">
        <v>45642</v>
      </c>
      <c r="L169">
        <v>570858</v>
      </c>
      <c r="M169">
        <v>0.06</v>
      </c>
      <c r="N169">
        <v>234</v>
      </c>
      <c r="O169">
        <v>6.8</v>
      </c>
      <c r="P169">
        <v>207</v>
      </c>
      <c r="Q169">
        <v>1.0669999999999999</v>
      </c>
      <c r="R169">
        <v>0.128</v>
      </c>
      <c r="S169">
        <v>8722</v>
      </c>
      <c r="T169">
        <v>86.3</v>
      </c>
      <c r="U169">
        <v>198.6</v>
      </c>
      <c r="V169">
        <v>0</v>
      </c>
      <c r="W169">
        <v>33.9</v>
      </c>
      <c r="X169">
        <v>25.86</v>
      </c>
      <c r="Y169">
        <v>0</v>
      </c>
    </row>
    <row r="170" spans="1:25" x14ac:dyDescent="0.25">
      <c r="A170" t="s">
        <v>35</v>
      </c>
      <c r="B170">
        <f>_xlfn.XLOOKUP(Table4[[#This Row],[country]],Table2[country],Table2[country_id],FALSE)</f>
        <v>4</v>
      </c>
      <c r="C170" t="s">
        <v>36</v>
      </c>
      <c r="D170">
        <v>2018</v>
      </c>
      <c r="E170">
        <f>_xlfn.XLOOKUP(Table4[[#This Row],[year]],Table1[year],Table1[year_id])</f>
        <v>9</v>
      </c>
      <c r="F170" t="s">
        <v>27</v>
      </c>
      <c r="G170" t="s">
        <v>28</v>
      </c>
      <c r="H170" cm="1">
        <f t="array" ref="H170">_xlfn.XLOOKUP(Table4[[#This Row],[vehicle_segment]]&amp;Table4[[#This Row],[powertrain_type]],Table3[vehicle_segment]&amp;Table3[powertrain_type],Table3[vehicle_id])</f>
        <v>1</v>
      </c>
      <c r="I170">
        <v>79</v>
      </c>
      <c r="J170">
        <v>226414</v>
      </c>
      <c r="K170">
        <v>150943</v>
      </c>
      <c r="L170">
        <v>377436</v>
      </c>
      <c r="M170">
        <v>0.02</v>
      </c>
      <c r="N170">
        <v>309</v>
      </c>
      <c r="O170">
        <v>8.9</v>
      </c>
      <c r="P170">
        <v>243</v>
      </c>
      <c r="Q170">
        <v>1.083</v>
      </c>
      <c r="R170">
        <v>0.123</v>
      </c>
      <c r="S170">
        <v>8712</v>
      </c>
      <c r="T170">
        <v>86.1</v>
      </c>
      <c r="U170">
        <v>202.9</v>
      </c>
      <c r="V170">
        <v>0</v>
      </c>
      <c r="W170">
        <v>33.6</v>
      </c>
      <c r="X170">
        <v>41.3</v>
      </c>
      <c r="Y170">
        <v>0</v>
      </c>
    </row>
    <row r="171" spans="1:25" x14ac:dyDescent="0.25">
      <c r="A171" t="s">
        <v>35</v>
      </c>
      <c r="B171">
        <f>_xlfn.XLOOKUP(Table4[[#This Row],[country]],Table2[country],Table2[country_id],FALSE)</f>
        <v>4</v>
      </c>
      <c r="C171" t="s">
        <v>36</v>
      </c>
      <c r="D171">
        <v>2018</v>
      </c>
      <c r="E171">
        <f>_xlfn.XLOOKUP(Table4[[#This Row],[year]],Table1[year],Table1[year_id])</f>
        <v>9</v>
      </c>
      <c r="F171" t="s">
        <v>29</v>
      </c>
      <c r="G171" t="s">
        <v>28</v>
      </c>
      <c r="H171" cm="1">
        <f t="array" ref="H171">_xlfn.XLOOKUP(Table4[[#This Row],[vehicle_segment]]&amp;Table4[[#This Row],[powertrain_type]],Table3[vehicle_segment]&amp;Table3[powertrain_type],Table3[vehicle_id])</f>
        <v>2</v>
      </c>
      <c r="I171">
        <v>926</v>
      </c>
      <c r="J171">
        <v>1356860</v>
      </c>
      <c r="K171">
        <v>185026</v>
      </c>
      <c r="L171">
        <v>1542812</v>
      </c>
      <c r="M171">
        <v>0.06</v>
      </c>
      <c r="N171">
        <v>309</v>
      </c>
      <c r="O171">
        <v>8.9</v>
      </c>
      <c r="P171">
        <v>243</v>
      </c>
      <c r="Q171">
        <v>1.083</v>
      </c>
      <c r="R171">
        <v>0.123</v>
      </c>
      <c r="S171">
        <v>8712</v>
      </c>
      <c r="T171">
        <v>86.1</v>
      </c>
      <c r="U171">
        <v>202.9</v>
      </c>
      <c r="V171">
        <v>0</v>
      </c>
      <c r="W171">
        <v>33.6</v>
      </c>
      <c r="X171">
        <v>73.41</v>
      </c>
      <c r="Y171">
        <v>0</v>
      </c>
    </row>
    <row r="172" spans="1:25" x14ac:dyDescent="0.25">
      <c r="A172" t="s">
        <v>35</v>
      </c>
      <c r="B172">
        <f>_xlfn.XLOOKUP(Table4[[#This Row],[country]],Table2[country],Table2[country_id],FALSE)</f>
        <v>4</v>
      </c>
      <c r="C172" t="s">
        <v>36</v>
      </c>
      <c r="D172">
        <v>2018</v>
      </c>
      <c r="E172">
        <f>_xlfn.XLOOKUP(Table4[[#This Row],[year]],Table1[year],Table1[year_id])</f>
        <v>9</v>
      </c>
      <c r="F172" t="s">
        <v>30</v>
      </c>
      <c r="G172" t="s">
        <v>28</v>
      </c>
      <c r="H172" cm="1">
        <f t="array" ref="H172">_xlfn.XLOOKUP(Table4[[#This Row],[vehicle_segment]]&amp;Table4[[#This Row],[powertrain_type]],Table3[vehicle_segment]&amp;Table3[powertrain_type],Table3[vehicle_id])</f>
        <v>3</v>
      </c>
      <c r="I172">
        <v>554</v>
      </c>
      <c r="J172">
        <v>584907</v>
      </c>
      <c r="K172">
        <v>50861</v>
      </c>
      <c r="L172">
        <v>636322</v>
      </c>
      <c r="M172">
        <v>0.09</v>
      </c>
      <c r="N172">
        <v>309</v>
      </c>
      <c r="O172">
        <v>8.9</v>
      </c>
      <c r="P172">
        <v>243</v>
      </c>
      <c r="Q172">
        <v>1.083</v>
      </c>
      <c r="R172">
        <v>0.123</v>
      </c>
      <c r="S172">
        <v>8712</v>
      </c>
      <c r="T172">
        <v>86.1</v>
      </c>
      <c r="U172">
        <v>202.9</v>
      </c>
      <c r="V172">
        <v>0</v>
      </c>
      <c r="W172">
        <v>33.6</v>
      </c>
      <c r="X172">
        <v>67.37</v>
      </c>
      <c r="Y172">
        <v>0</v>
      </c>
    </row>
    <row r="173" spans="1:25" x14ac:dyDescent="0.25">
      <c r="A173" t="s">
        <v>35</v>
      </c>
      <c r="B173">
        <f>_xlfn.XLOOKUP(Table4[[#This Row],[country]],Table2[country],Table2[country_id],FALSE)</f>
        <v>4</v>
      </c>
      <c r="C173" t="s">
        <v>36</v>
      </c>
      <c r="D173">
        <v>2019</v>
      </c>
      <c r="E173">
        <f>_xlfn.XLOOKUP(Table4[[#This Row],[year]],Table1[year],Table1[year_id])</f>
        <v>10</v>
      </c>
      <c r="F173" t="s">
        <v>27</v>
      </c>
      <c r="G173" t="s">
        <v>28</v>
      </c>
      <c r="H173" cm="1">
        <f t="array" ref="H173">_xlfn.XLOOKUP(Table4[[#This Row],[vehicle_segment]]&amp;Table4[[#This Row],[powertrain_type]],Table3[vehicle_segment]&amp;Table3[powertrain_type],Table3[vehicle_id])</f>
        <v>1</v>
      </c>
      <c r="I173">
        <v>116</v>
      </c>
      <c r="J173">
        <v>248191</v>
      </c>
      <c r="K173">
        <v>165461</v>
      </c>
      <c r="L173">
        <v>413768</v>
      </c>
      <c r="M173">
        <v>0.03</v>
      </c>
      <c r="N173">
        <v>615</v>
      </c>
      <c r="O173">
        <v>9.3000000000000007</v>
      </c>
      <c r="P173">
        <v>288</v>
      </c>
      <c r="Q173">
        <v>1.1599999999999999</v>
      </c>
      <c r="R173">
        <v>0.11700000000000001</v>
      </c>
      <c r="S173">
        <v>8765</v>
      </c>
      <c r="T173">
        <v>86.6</v>
      </c>
      <c r="U173">
        <v>197.5</v>
      </c>
      <c r="V173">
        <v>0</v>
      </c>
      <c r="W173">
        <v>35.4</v>
      </c>
      <c r="X173">
        <v>45.06</v>
      </c>
      <c r="Y173">
        <v>0</v>
      </c>
    </row>
    <row r="174" spans="1:25" x14ac:dyDescent="0.25">
      <c r="A174" t="s">
        <v>35</v>
      </c>
      <c r="B174">
        <f>_xlfn.XLOOKUP(Table4[[#This Row],[country]],Table2[country],Table2[country_id],FALSE)</f>
        <v>4</v>
      </c>
      <c r="C174" t="s">
        <v>36</v>
      </c>
      <c r="D174">
        <v>2019</v>
      </c>
      <c r="E174">
        <f>_xlfn.XLOOKUP(Table4[[#This Row],[year]],Table1[year],Table1[year_id])</f>
        <v>10</v>
      </c>
      <c r="F174" t="s">
        <v>29</v>
      </c>
      <c r="G174" t="s">
        <v>28</v>
      </c>
      <c r="H174" cm="1">
        <f t="array" ref="H174">_xlfn.XLOOKUP(Table4[[#This Row],[vehicle_segment]]&amp;Table4[[#This Row],[powertrain_type]],Table3[vehicle_segment]&amp;Table3[powertrain_type],Table3[vehicle_id])</f>
        <v>2</v>
      </c>
      <c r="I174">
        <v>1330</v>
      </c>
      <c r="J174">
        <v>1462023</v>
      </c>
      <c r="K174">
        <v>199367</v>
      </c>
      <c r="L174">
        <v>1662720</v>
      </c>
      <c r="M174">
        <v>0.08</v>
      </c>
      <c r="N174">
        <v>615</v>
      </c>
      <c r="O174">
        <v>9.3000000000000007</v>
      </c>
      <c r="P174">
        <v>288</v>
      </c>
      <c r="Q174">
        <v>1.1599999999999999</v>
      </c>
      <c r="R174">
        <v>0.11700000000000001</v>
      </c>
      <c r="S174">
        <v>8765</v>
      </c>
      <c r="T174">
        <v>86.6</v>
      </c>
      <c r="U174">
        <v>197.5</v>
      </c>
      <c r="V174">
        <v>0</v>
      </c>
      <c r="W174">
        <v>35.4</v>
      </c>
      <c r="X174">
        <v>43.63</v>
      </c>
      <c r="Y174">
        <v>0</v>
      </c>
    </row>
    <row r="175" spans="1:25" x14ac:dyDescent="0.25">
      <c r="A175" t="s">
        <v>35</v>
      </c>
      <c r="B175">
        <f>_xlfn.XLOOKUP(Table4[[#This Row],[country]],Table2[country],Table2[country_id],FALSE)</f>
        <v>4</v>
      </c>
      <c r="C175" t="s">
        <v>36</v>
      </c>
      <c r="D175">
        <v>2019</v>
      </c>
      <c r="E175">
        <f>_xlfn.XLOOKUP(Table4[[#This Row],[year]],Table1[year],Table1[year_id])</f>
        <v>10</v>
      </c>
      <c r="F175" t="s">
        <v>30</v>
      </c>
      <c r="G175" t="s">
        <v>28</v>
      </c>
      <c r="H175" cm="1">
        <f t="array" ref="H175">_xlfn.XLOOKUP(Table4[[#This Row],[vehicle_segment]]&amp;Table4[[#This Row],[powertrain_type]],Table3[vehicle_segment]&amp;Table3[powertrain_type],Table3[vehicle_id])</f>
        <v>3</v>
      </c>
      <c r="I175">
        <v>792</v>
      </c>
      <c r="J175">
        <v>627722</v>
      </c>
      <c r="K175">
        <v>54584</v>
      </c>
      <c r="L175">
        <v>683098</v>
      </c>
      <c r="M175">
        <v>0.12</v>
      </c>
      <c r="N175">
        <v>615</v>
      </c>
      <c r="O175">
        <v>9.3000000000000007</v>
      </c>
      <c r="P175">
        <v>288</v>
      </c>
      <c r="Q175">
        <v>1.1599999999999999</v>
      </c>
      <c r="R175">
        <v>0.11700000000000001</v>
      </c>
      <c r="S175">
        <v>8765</v>
      </c>
      <c r="T175">
        <v>86.6</v>
      </c>
      <c r="U175">
        <v>197.5</v>
      </c>
      <c r="V175">
        <v>0</v>
      </c>
      <c r="W175">
        <v>35.4</v>
      </c>
      <c r="X175">
        <v>42.96</v>
      </c>
      <c r="Y175">
        <v>0</v>
      </c>
    </row>
    <row r="176" spans="1:25" x14ac:dyDescent="0.25">
      <c r="A176" t="s">
        <v>35</v>
      </c>
      <c r="B176">
        <f>_xlfn.XLOOKUP(Table4[[#This Row],[country]],Table2[country],Table2[country_id],FALSE)</f>
        <v>4</v>
      </c>
      <c r="C176" t="s">
        <v>36</v>
      </c>
      <c r="D176">
        <v>2020</v>
      </c>
      <c r="E176">
        <f>_xlfn.XLOOKUP(Table4[[#This Row],[year]],Table1[year],Table1[year_id])</f>
        <v>11</v>
      </c>
      <c r="F176" t="s">
        <v>27</v>
      </c>
      <c r="G176" t="s">
        <v>28</v>
      </c>
      <c r="H176" cm="1">
        <f t="array" ref="H176">_xlfn.XLOOKUP(Table4[[#This Row],[vehicle_segment]]&amp;Table4[[#This Row],[powertrain_type]],Table3[vehicle_segment]&amp;Table3[powertrain_type],Table3[vehicle_id])</f>
        <v>1</v>
      </c>
      <c r="I176">
        <v>109</v>
      </c>
      <c r="J176">
        <v>187246</v>
      </c>
      <c r="K176">
        <v>124830</v>
      </c>
      <c r="L176">
        <v>312185</v>
      </c>
      <c r="M176">
        <v>0.03</v>
      </c>
      <c r="N176">
        <v>991</v>
      </c>
      <c r="O176">
        <v>11.2</v>
      </c>
      <c r="P176">
        <v>309</v>
      </c>
      <c r="Q176">
        <v>1.22</v>
      </c>
      <c r="R176">
        <v>0.114</v>
      </c>
      <c r="S176">
        <v>8816</v>
      </c>
      <c r="T176">
        <v>87</v>
      </c>
      <c r="U176">
        <v>193.1</v>
      </c>
      <c r="V176">
        <v>0</v>
      </c>
      <c r="W176">
        <v>38</v>
      </c>
      <c r="X176">
        <v>-6.03</v>
      </c>
      <c r="Y176">
        <v>0</v>
      </c>
    </row>
    <row r="177" spans="1:25" x14ac:dyDescent="0.25">
      <c r="A177" t="s">
        <v>35</v>
      </c>
      <c r="B177">
        <f>_xlfn.XLOOKUP(Table4[[#This Row],[country]],Table2[country],Table2[country_id],FALSE)</f>
        <v>4</v>
      </c>
      <c r="C177" t="s">
        <v>36</v>
      </c>
      <c r="D177">
        <v>2020</v>
      </c>
      <c r="E177">
        <f>_xlfn.XLOOKUP(Table4[[#This Row],[year]],Table1[year],Table1[year_id])</f>
        <v>11</v>
      </c>
      <c r="F177" t="s">
        <v>29</v>
      </c>
      <c r="G177" t="s">
        <v>28</v>
      </c>
      <c r="H177" cm="1">
        <f t="array" ref="H177">_xlfn.XLOOKUP(Table4[[#This Row],[vehicle_segment]]&amp;Table4[[#This Row],[powertrain_type]],Table3[vehicle_segment]&amp;Table3[powertrain_type],Table3[vehicle_id])</f>
        <v>2</v>
      </c>
      <c r="I177">
        <v>1233</v>
      </c>
      <c r="J177">
        <v>1083768</v>
      </c>
      <c r="K177">
        <v>147787</v>
      </c>
      <c r="L177">
        <v>1232788</v>
      </c>
      <c r="M177">
        <v>0.1</v>
      </c>
      <c r="N177">
        <v>991</v>
      </c>
      <c r="O177">
        <v>11.2</v>
      </c>
      <c r="P177">
        <v>309</v>
      </c>
      <c r="Q177">
        <v>1.22</v>
      </c>
      <c r="R177">
        <v>0.114</v>
      </c>
      <c r="S177">
        <v>8816</v>
      </c>
      <c r="T177">
        <v>87</v>
      </c>
      <c r="U177">
        <v>193.1</v>
      </c>
      <c r="V177">
        <v>0</v>
      </c>
      <c r="W177">
        <v>38</v>
      </c>
      <c r="X177">
        <v>-7.29</v>
      </c>
      <c r="Y177">
        <v>0</v>
      </c>
    </row>
    <row r="178" spans="1:25" x14ac:dyDescent="0.25">
      <c r="A178" t="s">
        <v>35</v>
      </c>
      <c r="B178">
        <f>_xlfn.XLOOKUP(Table4[[#This Row],[country]],Table2[country],Table2[country_id],FALSE)</f>
        <v>4</v>
      </c>
      <c r="C178" t="s">
        <v>36</v>
      </c>
      <c r="D178">
        <v>2020</v>
      </c>
      <c r="E178">
        <f>_xlfn.XLOOKUP(Table4[[#This Row],[year]],Table1[year],Table1[year_id])</f>
        <v>11</v>
      </c>
      <c r="F178" t="s">
        <v>30</v>
      </c>
      <c r="G178" t="s">
        <v>28</v>
      </c>
      <c r="H178" cm="1">
        <f t="array" ref="H178">_xlfn.XLOOKUP(Table4[[#This Row],[vehicle_segment]]&amp;Table4[[#This Row],[powertrain_type]],Table3[vehicle_segment]&amp;Table3[powertrain_type],Table3[vehicle_id])</f>
        <v>3</v>
      </c>
      <c r="I178">
        <v>766</v>
      </c>
      <c r="J178">
        <v>485161</v>
      </c>
      <c r="K178">
        <v>42188</v>
      </c>
      <c r="L178">
        <v>528115</v>
      </c>
      <c r="M178">
        <v>0.15</v>
      </c>
      <c r="N178">
        <v>991</v>
      </c>
      <c r="O178">
        <v>11.2</v>
      </c>
      <c r="P178">
        <v>309</v>
      </c>
      <c r="Q178">
        <v>1.22</v>
      </c>
      <c r="R178">
        <v>0.114</v>
      </c>
      <c r="S178">
        <v>8816</v>
      </c>
      <c r="T178">
        <v>87</v>
      </c>
      <c r="U178">
        <v>193.1</v>
      </c>
      <c r="V178">
        <v>0</v>
      </c>
      <c r="W178">
        <v>38</v>
      </c>
      <c r="X178">
        <v>-3.28</v>
      </c>
      <c r="Y178">
        <v>0</v>
      </c>
    </row>
    <row r="179" spans="1:25" x14ac:dyDescent="0.25">
      <c r="A179" t="s">
        <v>35</v>
      </c>
      <c r="B179">
        <f>_xlfn.XLOOKUP(Table4[[#This Row],[country]],Table2[country],Table2[country_id],FALSE)</f>
        <v>4</v>
      </c>
      <c r="C179" t="s">
        <v>36</v>
      </c>
      <c r="D179">
        <v>2021</v>
      </c>
      <c r="E179">
        <f>_xlfn.XLOOKUP(Table4[[#This Row],[year]],Table1[year],Table1[year_id])</f>
        <v>12</v>
      </c>
      <c r="F179" t="s">
        <v>27</v>
      </c>
      <c r="G179" t="s">
        <v>28</v>
      </c>
      <c r="H179" cm="1">
        <f t="array" ref="H179">_xlfn.XLOOKUP(Table4[[#This Row],[vehicle_segment]]&amp;Table4[[#This Row],[powertrain_type]],Table3[vehicle_segment]&amp;Table3[powertrain_type],Table3[vehicle_id])</f>
        <v>1</v>
      </c>
      <c r="I179">
        <v>271</v>
      </c>
      <c r="J179">
        <v>193657</v>
      </c>
      <c r="K179">
        <v>129105</v>
      </c>
      <c r="L179">
        <v>323033</v>
      </c>
      <c r="M179">
        <v>0.08</v>
      </c>
      <c r="N179">
        <v>2165</v>
      </c>
      <c r="O179">
        <v>12.6</v>
      </c>
      <c r="P179">
        <v>351</v>
      </c>
      <c r="Q179">
        <v>1.3029999999999999</v>
      </c>
      <c r="R179">
        <v>0.114</v>
      </c>
      <c r="S179">
        <v>8900</v>
      </c>
      <c r="T179">
        <v>87</v>
      </c>
      <c r="U179">
        <v>193.8</v>
      </c>
      <c r="V179">
        <v>0</v>
      </c>
      <c r="W179">
        <v>39.200000000000003</v>
      </c>
      <c r="X179">
        <v>148.62</v>
      </c>
      <c r="Y179">
        <v>0</v>
      </c>
    </row>
    <row r="180" spans="1:25" x14ac:dyDescent="0.25">
      <c r="A180" t="s">
        <v>35</v>
      </c>
      <c r="B180">
        <f>_xlfn.XLOOKUP(Table4[[#This Row],[country]],Table2[country],Table2[country_id],FALSE)</f>
        <v>4</v>
      </c>
      <c r="C180" t="s">
        <v>36</v>
      </c>
      <c r="D180">
        <v>2021</v>
      </c>
      <c r="E180">
        <f>_xlfn.XLOOKUP(Table4[[#This Row],[year]],Table1[year],Table1[year_id])</f>
        <v>12</v>
      </c>
      <c r="F180" t="s">
        <v>29</v>
      </c>
      <c r="G180" t="s">
        <v>28</v>
      </c>
      <c r="H180" cm="1">
        <f t="array" ref="H180">_xlfn.XLOOKUP(Table4[[#This Row],[vehicle_segment]]&amp;Table4[[#This Row],[powertrain_type]],Table3[vehicle_segment]&amp;Table3[powertrain_type],Table3[vehicle_id])</f>
        <v>2</v>
      </c>
      <c r="I180">
        <v>3081</v>
      </c>
      <c r="J180">
        <v>1126855</v>
      </c>
      <c r="K180">
        <v>153662</v>
      </c>
      <c r="L180">
        <v>1283598</v>
      </c>
      <c r="M180">
        <v>0.24</v>
      </c>
      <c r="N180">
        <v>2165</v>
      </c>
      <c r="O180">
        <v>12.6</v>
      </c>
      <c r="P180">
        <v>351</v>
      </c>
      <c r="Q180">
        <v>1.3029999999999999</v>
      </c>
      <c r="R180">
        <v>0.114</v>
      </c>
      <c r="S180">
        <v>8900</v>
      </c>
      <c r="T180">
        <v>87</v>
      </c>
      <c r="U180">
        <v>193.8</v>
      </c>
      <c r="V180">
        <v>0</v>
      </c>
      <c r="W180">
        <v>39.200000000000003</v>
      </c>
      <c r="X180">
        <v>149.88</v>
      </c>
      <c r="Y180">
        <v>0</v>
      </c>
    </row>
    <row r="181" spans="1:25" x14ac:dyDescent="0.25">
      <c r="A181" t="s">
        <v>35</v>
      </c>
      <c r="B181">
        <f>_xlfn.XLOOKUP(Table4[[#This Row],[country]],Table2[country],Table2[country_id],FALSE)</f>
        <v>4</v>
      </c>
      <c r="C181" t="s">
        <v>36</v>
      </c>
      <c r="D181">
        <v>2021</v>
      </c>
      <c r="E181">
        <f>_xlfn.XLOOKUP(Table4[[#This Row],[year]],Table1[year],Table1[year_id])</f>
        <v>12</v>
      </c>
      <c r="F181" t="s">
        <v>30</v>
      </c>
      <c r="G181" t="s">
        <v>28</v>
      </c>
      <c r="H181" cm="1">
        <f t="array" ref="H181">_xlfn.XLOOKUP(Table4[[#This Row],[vehicle_segment]]&amp;Table4[[#This Row],[powertrain_type]],Table3[vehicle_segment]&amp;Table3[powertrain_type],Table3[vehicle_id])</f>
        <v>3</v>
      </c>
      <c r="I181">
        <v>1845</v>
      </c>
      <c r="J181">
        <v>486182</v>
      </c>
      <c r="K181">
        <v>42277</v>
      </c>
      <c r="L181">
        <v>530304</v>
      </c>
      <c r="M181">
        <v>0.35</v>
      </c>
      <c r="N181">
        <v>2165</v>
      </c>
      <c r="O181">
        <v>12.6</v>
      </c>
      <c r="P181">
        <v>351</v>
      </c>
      <c r="Q181">
        <v>1.3029999999999999</v>
      </c>
      <c r="R181">
        <v>0.114</v>
      </c>
      <c r="S181">
        <v>8900</v>
      </c>
      <c r="T181">
        <v>87</v>
      </c>
      <c r="U181">
        <v>193.8</v>
      </c>
      <c r="V181">
        <v>0</v>
      </c>
      <c r="W181">
        <v>39.200000000000003</v>
      </c>
      <c r="X181">
        <v>140.86000000000001</v>
      </c>
      <c r="Y181">
        <v>0</v>
      </c>
    </row>
    <row r="182" spans="1:25" x14ac:dyDescent="0.25">
      <c r="A182" t="s">
        <v>35</v>
      </c>
      <c r="B182">
        <f>_xlfn.XLOOKUP(Table4[[#This Row],[country]],Table2[country],Table2[country_id],FALSE)</f>
        <v>4</v>
      </c>
      <c r="C182" t="s">
        <v>36</v>
      </c>
      <c r="D182">
        <v>2022</v>
      </c>
      <c r="E182">
        <f>_xlfn.XLOOKUP(Table4[[#This Row],[year]],Table1[year],Table1[year_id])</f>
        <v>13</v>
      </c>
      <c r="F182" t="s">
        <v>27</v>
      </c>
      <c r="G182" t="s">
        <v>28</v>
      </c>
      <c r="H182" cm="1">
        <f t="array" ref="H182">_xlfn.XLOOKUP(Table4[[#This Row],[vehicle_segment]]&amp;Table4[[#This Row],[powertrain_type]],Table3[vehicle_segment]&amp;Table3[powertrain_type],Table3[vehicle_id])</f>
        <v>1</v>
      </c>
      <c r="I182">
        <v>1032</v>
      </c>
      <c r="J182">
        <v>189535</v>
      </c>
      <c r="K182">
        <v>126356</v>
      </c>
      <c r="L182">
        <v>316923</v>
      </c>
      <c r="M182">
        <v>0.33</v>
      </c>
      <c r="N182">
        <v>2851</v>
      </c>
      <c r="O182">
        <v>15</v>
      </c>
      <c r="P182">
        <v>381</v>
      </c>
      <c r="Q182">
        <v>1.3069999999999999</v>
      </c>
      <c r="R182">
        <v>0.11600000000000001</v>
      </c>
      <c r="S182">
        <v>8899</v>
      </c>
      <c r="T182">
        <v>87.4</v>
      </c>
      <c r="U182">
        <v>198.9</v>
      </c>
      <c r="V182">
        <v>0</v>
      </c>
      <c r="W182">
        <v>43</v>
      </c>
      <c r="X182">
        <v>280.81</v>
      </c>
      <c r="Y182">
        <v>0</v>
      </c>
    </row>
    <row r="183" spans="1:25" x14ac:dyDescent="0.25">
      <c r="A183" t="s">
        <v>35</v>
      </c>
      <c r="B183">
        <f>_xlfn.XLOOKUP(Table4[[#This Row],[country]],Table2[country],Table2[country_id],FALSE)</f>
        <v>4</v>
      </c>
      <c r="C183" t="s">
        <v>36</v>
      </c>
      <c r="D183">
        <v>2022</v>
      </c>
      <c r="E183">
        <f>_xlfn.XLOOKUP(Table4[[#This Row],[year]],Table1[year],Table1[year_id])</f>
        <v>13</v>
      </c>
      <c r="F183" t="s">
        <v>29</v>
      </c>
      <c r="G183" t="s">
        <v>28</v>
      </c>
      <c r="H183" cm="1">
        <f t="array" ref="H183">_xlfn.XLOOKUP(Table4[[#This Row],[vehicle_segment]]&amp;Table4[[#This Row],[powertrain_type]],Table3[vehicle_segment]&amp;Table3[powertrain_type],Table3[vehicle_id])</f>
        <v>2</v>
      </c>
      <c r="I183">
        <v>11675</v>
      </c>
      <c r="J183">
        <v>1094452</v>
      </c>
      <c r="K183">
        <v>149243</v>
      </c>
      <c r="L183">
        <v>1255370</v>
      </c>
      <c r="M183">
        <v>0.93</v>
      </c>
      <c r="N183">
        <v>2851</v>
      </c>
      <c r="O183">
        <v>15</v>
      </c>
      <c r="P183">
        <v>381</v>
      </c>
      <c r="Q183">
        <v>1.3069999999999999</v>
      </c>
      <c r="R183">
        <v>0.11600000000000001</v>
      </c>
      <c r="S183">
        <v>8899</v>
      </c>
      <c r="T183">
        <v>87.4</v>
      </c>
      <c r="U183">
        <v>198.9</v>
      </c>
      <c r="V183">
        <v>0</v>
      </c>
      <c r="W183">
        <v>43</v>
      </c>
      <c r="X183">
        <v>278.94</v>
      </c>
      <c r="Y183">
        <v>0</v>
      </c>
    </row>
    <row r="184" spans="1:25" x14ac:dyDescent="0.25">
      <c r="A184" t="s">
        <v>35</v>
      </c>
      <c r="B184">
        <f>_xlfn.XLOOKUP(Table4[[#This Row],[country]],Table2[country],Table2[country_id],FALSE)</f>
        <v>4</v>
      </c>
      <c r="C184" t="s">
        <v>36</v>
      </c>
      <c r="D184">
        <v>2022</v>
      </c>
      <c r="E184">
        <f>_xlfn.XLOOKUP(Table4[[#This Row],[year]],Table1[year],Table1[year_id])</f>
        <v>13</v>
      </c>
      <c r="F184" t="s">
        <v>30</v>
      </c>
      <c r="G184" t="s">
        <v>28</v>
      </c>
      <c r="H184" cm="1">
        <f t="array" ref="H184">_xlfn.XLOOKUP(Table4[[#This Row],[vehicle_segment]]&amp;Table4[[#This Row],[powertrain_type]],Table3[vehicle_segment]&amp;Table3[powertrain_type],Table3[vehicle_id])</f>
        <v>3</v>
      </c>
      <c r="I184">
        <v>7097</v>
      </c>
      <c r="J184">
        <v>477681</v>
      </c>
      <c r="K184">
        <v>41538</v>
      </c>
      <c r="L184">
        <v>526316</v>
      </c>
      <c r="M184">
        <v>1.35</v>
      </c>
      <c r="N184">
        <v>2851</v>
      </c>
      <c r="O184">
        <v>15</v>
      </c>
      <c r="P184">
        <v>381</v>
      </c>
      <c r="Q184">
        <v>1.3069999999999999</v>
      </c>
      <c r="R184">
        <v>0.11600000000000001</v>
      </c>
      <c r="S184">
        <v>8899</v>
      </c>
      <c r="T184">
        <v>87.4</v>
      </c>
      <c r="U184">
        <v>198.9</v>
      </c>
      <c r="V184">
        <v>0</v>
      </c>
      <c r="W184">
        <v>43</v>
      </c>
      <c r="X184">
        <v>284.66000000000003</v>
      </c>
      <c r="Y184">
        <v>0</v>
      </c>
    </row>
    <row r="185" spans="1:25" x14ac:dyDescent="0.25">
      <c r="A185" t="s">
        <v>35</v>
      </c>
      <c r="B185">
        <f>_xlfn.XLOOKUP(Table4[[#This Row],[country]],Table2[country],Table2[country_id],FALSE)</f>
        <v>4</v>
      </c>
      <c r="C185" t="s">
        <v>36</v>
      </c>
      <c r="D185">
        <v>2023</v>
      </c>
      <c r="E185">
        <f>_xlfn.XLOOKUP(Table4[[#This Row],[year]],Table1[year],Table1[year_id])</f>
        <v>14</v>
      </c>
      <c r="F185" t="s">
        <v>27</v>
      </c>
      <c r="G185" t="s">
        <v>28</v>
      </c>
      <c r="H185" cm="1">
        <f t="array" ref="H185">_xlfn.XLOOKUP(Table4[[#This Row],[vehicle_segment]]&amp;Table4[[#This Row],[powertrain_type]],Table3[vehicle_segment]&amp;Table3[powertrain_type],Table3[vehicle_id])</f>
        <v>1</v>
      </c>
      <c r="I185">
        <v>2450</v>
      </c>
      <c r="J185">
        <v>206413</v>
      </c>
      <c r="K185">
        <v>137609</v>
      </c>
      <c r="L185">
        <v>346472</v>
      </c>
      <c r="M185">
        <v>0.71</v>
      </c>
      <c r="N185">
        <v>6245</v>
      </c>
      <c r="O185">
        <v>19.100000000000001</v>
      </c>
      <c r="P185">
        <v>401</v>
      </c>
      <c r="Q185">
        <v>1.3029999999999999</v>
      </c>
      <c r="R185">
        <v>0.11899999999999999</v>
      </c>
      <c r="S185">
        <v>9330</v>
      </c>
      <c r="T185">
        <v>87.7</v>
      </c>
      <c r="U185">
        <v>200.9</v>
      </c>
      <c r="V185">
        <v>0</v>
      </c>
      <c r="W185">
        <v>45.4</v>
      </c>
      <c r="X185">
        <v>137.4</v>
      </c>
      <c r="Y185">
        <v>0</v>
      </c>
    </row>
    <row r="186" spans="1:25" x14ac:dyDescent="0.25">
      <c r="A186" t="s">
        <v>35</v>
      </c>
      <c r="B186">
        <f>_xlfn.XLOOKUP(Table4[[#This Row],[country]],Table2[country],Table2[country_id],FALSE)</f>
        <v>4</v>
      </c>
      <c r="C186" t="s">
        <v>36</v>
      </c>
      <c r="D186">
        <v>2023</v>
      </c>
      <c r="E186">
        <f>_xlfn.XLOOKUP(Table4[[#This Row],[year]],Table1[year],Table1[year_id])</f>
        <v>14</v>
      </c>
      <c r="F186" t="s">
        <v>29</v>
      </c>
      <c r="G186" t="s">
        <v>28</v>
      </c>
      <c r="H186" cm="1">
        <f t="array" ref="H186">_xlfn.XLOOKUP(Table4[[#This Row],[vehicle_segment]]&amp;Table4[[#This Row],[powertrain_type]],Table3[vehicle_segment]&amp;Table3[powertrain_type],Table3[vehicle_id])</f>
        <v>2</v>
      </c>
      <c r="I186">
        <v>28085</v>
      </c>
      <c r="J186">
        <v>1198780</v>
      </c>
      <c r="K186">
        <v>163470</v>
      </c>
      <c r="L186">
        <v>1390335</v>
      </c>
      <c r="M186">
        <v>2.02</v>
      </c>
      <c r="N186">
        <v>6245</v>
      </c>
      <c r="O186">
        <v>19.100000000000001</v>
      </c>
      <c r="P186">
        <v>401</v>
      </c>
      <c r="Q186">
        <v>1.3029999999999999</v>
      </c>
      <c r="R186">
        <v>0.11899999999999999</v>
      </c>
      <c r="S186">
        <v>9330</v>
      </c>
      <c r="T186">
        <v>87.7</v>
      </c>
      <c r="U186">
        <v>200.9</v>
      </c>
      <c r="V186">
        <v>0</v>
      </c>
      <c r="W186">
        <v>45.4</v>
      </c>
      <c r="X186">
        <v>140.56</v>
      </c>
      <c r="Y186">
        <v>0</v>
      </c>
    </row>
    <row r="187" spans="1:25" x14ac:dyDescent="0.25">
      <c r="A187" t="s">
        <v>35</v>
      </c>
      <c r="B187">
        <f>_xlfn.XLOOKUP(Table4[[#This Row],[country]],Table2[country],Table2[country_id],FALSE)</f>
        <v>4</v>
      </c>
      <c r="C187" t="s">
        <v>36</v>
      </c>
      <c r="D187">
        <v>2023</v>
      </c>
      <c r="E187">
        <f>_xlfn.XLOOKUP(Table4[[#This Row],[year]],Table1[year],Table1[year_id])</f>
        <v>14</v>
      </c>
      <c r="F187" t="s">
        <v>30</v>
      </c>
      <c r="G187" t="s">
        <v>28</v>
      </c>
      <c r="H187" cm="1">
        <f t="array" ref="H187">_xlfn.XLOOKUP(Table4[[#This Row],[vehicle_segment]]&amp;Table4[[#This Row],[powertrain_type]],Table3[vehicle_segment]&amp;Table3[powertrain_type],Table3[vehicle_id])</f>
        <v>3</v>
      </c>
      <c r="I187">
        <v>16944</v>
      </c>
      <c r="J187">
        <v>516622</v>
      </c>
      <c r="K187">
        <v>44924</v>
      </c>
      <c r="L187">
        <v>578490</v>
      </c>
      <c r="M187">
        <v>2.93</v>
      </c>
      <c r="N187">
        <v>6245</v>
      </c>
      <c r="O187">
        <v>19.100000000000001</v>
      </c>
      <c r="P187">
        <v>401</v>
      </c>
      <c r="Q187">
        <v>1.3029999999999999</v>
      </c>
      <c r="R187">
        <v>0.11899999999999999</v>
      </c>
      <c r="S187">
        <v>9330</v>
      </c>
      <c r="T187">
        <v>87.7</v>
      </c>
      <c r="U187">
        <v>200.9</v>
      </c>
      <c r="V187">
        <v>0</v>
      </c>
      <c r="W187">
        <v>45.4</v>
      </c>
      <c r="X187">
        <v>138.75</v>
      </c>
      <c r="Y187">
        <v>0</v>
      </c>
    </row>
    <row r="188" spans="1:25" x14ac:dyDescent="0.25">
      <c r="A188" t="s">
        <v>35</v>
      </c>
      <c r="B188">
        <f>_xlfn.XLOOKUP(Table4[[#This Row],[country]],Table2[country],Table2[country_id],FALSE)</f>
        <v>4</v>
      </c>
      <c r="C188" t="s">
        <v>36</v>
      </c>
      <c r="D188">
        <v>2024</v>
      </c>
      <c r="E188">
        <f>_xlfn.XLOOKUP(Table4[[#This Row],[year]],Table1[year],Table1[year_id])</f>
        <v>15</v>
      </c>
      <c r="F188" t="s">
        <v>27</v>
      </c>
      <c r="G188" t="s">
        <v>28</v>
      </c>
      <c r="H188" cm="1">
        <f t="array" ref="H188">_xlfn.XLOOKUP(Table4[[#This Row],[vehicle_segment]]&amp;Table4[[#This Row],[powertrain_type]],Table3[vehicle_segment]&amp;Table3[powertrain_type],Table3[vehicle_id])</f>
        <v>1</v>
      </c>
      <c r="I188">
        <v>3664</v>
      </c>
      <c r="J188">
        <v>222110</v>
      </c>
      <c r="K188">
        <v>148073</v>
      </c>
      <c r="L188">
        <v>373847</v>
      </c>
      <c r="M188">
        <v>0.98</v>
      </c>
      <c r="N188">
        <v>10131</v>
      </c>
      <c r="O188">
        <v>20.6</v>
      </c>
      <c r="P188">
        <v>428</v>
      </c>
      <c r="Q188">
        <v>1.24</v>
      </c>
      <c r="R188">
        <v>0.124</v>
      </c>
      <c r="S188">
        <v>9313</v>
      </c>
      <c r="T188">
        <v>87.9</v>
      </c>
      <c r="U188">
        <v>197.7</v>
      </c>
      <c r="V188">
        <v>0</v>
      </c>
      <c r="W188">
        <v>50.6</v>
      </c>
      <c r="X188">
        <v>49.55</v>
      </c>
      <c r="Y188">
        <v>0</v>
      </c>
    </row>
    <row r="189" spans="1:25" x14ac:dyDescent="0.25">
      <c r="A189" t="s">
        <v>35</v>
      </c>
      <c r="B189">
        <f>_xlfn.XLOOKUP(Table4[[#This Row],[country]],Table2[country],Table2[country_id],FALSE)</f>
        <v>4</v>
      </c>
      <c r="C189" t="s">
        <v>36</v>
      </c>
      <c r="D189">
        <v>2024</v>
      </c>
      <c r="E189">
        <f>_xlfn.XLOOKUP(Table4[[#This Row],[year]],Table1[year],Table1[year_id])</f>
        <v>15</v>
      </c>
      <c r="F189" t="s">
        <v>29</v>
      </c>
      <c r="G189" t="s">
        <v>28</v>
      </c>
      <c r="H189" cm="1">
        <f t="array" ref="H189">_xlfn.XLOOKUP(Table4[[#This Row],[vehicle_segment]]&amp;Table4[[#This Row],[powertrain_type]],Table3[vehicle_segment]&amp;Table3[powertrain_type],Table3[vehicle_id])</f>
        <v>2</v>
      </c>
      <c r="I189">
        <v>41658</v>
      </c>
      <c r="J189">
        <v>1272596</v>
      </c>
      <c r="K189">
        <v>173536</v>
      </c>
      <c r="L189">
        <v>1487790</v>
      </c>
      <c r="M189">
        <v>2.8</v>
      </c>
      <c r="N189">
        <v>10131</v>
      </c>
      <c r="O189">
        <v>20.6</v>
      </c>
      <c r="P189">
        <v>428</v>
      </c>
      <c r="Q189">
        <v>1.24</v>
      </c>
      <c r="R189">
        <v>0.124</v>
      </c>
      <c r="S189">
        <v>9313</v>
      </c>
      <c r="T189">
        <v>87.9</v>
      </c>
      <c r="U189">
        <v>197.7</v>
      </c>
      <c r="V189">
        <v>0</v>
      </c>
      <c r="W189">
        <v>50.6</v>
      </c>
      <c r="X189">
        <v>48.33</v>
      </c>
      <c r="Y189">
        <v>0</v>
      </c>
    </row>
    <row r="190" spans="1:25" x14ac:dyDescent="0.25">
      <c r="A190" t="s">
        <v>35</v>
      </c>
      <c r="B190">
        <f>_xlfn.XLOOKUP(Table4[[#This Row],[country]],Table2[country],Table2[country_id],FALSE)</f>
        <v>4</v>
      </c>
      <c r="C190" t="s">
        <v>36</v>
      </c>
      <c r="D190">
        <v>2024</v>
      </c>
      <c r="E190">
        <f>_xlfn.XLOOKUP(Table4[[#This Row],[year]],Table1[year],Table1[year_id])</f>
        <v>15</v>
      </c>
      <c r="F190" t="s">
        <v>30</v>
      </c>
      <c r="G190" t="s">
        <v>28</v>
      </c>
      <c r="H190" cm="1">
        <f t="array" ref="H190">_xlfn.XLOOKUP(Table4[[#This Row],[vehicle_segment]]&amp;Table4[[#This Row],[powertrain_type]],Table3[vehicle_segment]&amp;Table3[powertrain_type],Table3[vehicle_id])</f>
        <v>3</v>
      </c>
      <c r="I190">
        <v>24751</v>
      </c>
      <c r="J190">
        <v>538086</v>
      </c>
      <c r="K190">
        <v>46790</v>
      </c>
      <c r="L190">
        <v>609627</v>
      </c>
      <c r="M190">
        <v>4.0599999999999996</v>
      </c>
      <c r="N190">
        <v>10131</v>
      </c>
      <c r="O190">
        <v>20.6</v>
      </c>
      <c r="P190">
        <v>428</v>
      </c>
      <c r="Q190">
        <v>1.24</v>
      </c>
      <c r="R190">
        <v>0.124</v>
      </c>
      <c r="S190">
        <v>9313</v>
      </c>
      <c r="T190">
        <v>87.9</v>
      </c>
      <c r="U190">
        <v>197.7</v>
      </c>
      <c r="V190">
        <v>0</v>
      </c>
      <c r="W190">
        <v>50.6</v>
      </c>
      <c r="X190">
        <v>46.08</v>
      </c>
      <c r="Y190">
        <v>0</v>
      </c>
    </row>
    <row r="191" spans="1:25" x14ac:dyDescent="0.25">
      <c r="A191" t="s">
        <v>35</v>
      </c>
      <c r="B191">
        <f>_xlfn.XLOOKUP(Table4[[#This Row],[country]],Table2[country],Table2[country_id],FALSE)</f>
        <v>4</v>
      </c>
      <c r="C191" t="s">
        <v>36</v>
      </c>
      <c r="D191">
        <v>2025</v>
      </c>
      <c r="E191">
        <f>_xlfn.XLOOKUP(Table4[[#This Row],[year]],Table1[year],Table1[year_id])</f>
        <v>16</v>
      </c>
      <c r="F191" t="s">
        <v>27</v>
      </c>
      <c r="G191" t="s">
        <v>28</v>
      </c>
      <c r="H191" cm="1">
        <f t="array" ref="H191">_xlfn.XLOOKUP(Table4[[#This Row],[vehicle_segment]]&amp;Table4[[#This Row],[powertrain_type]],Table3[vehicle_segment]&amp;Table3[powertrain_type],Table3[vehicle_id])</f>
        <v>1</v>
      </c>
      <c r="I191">
        <v>5323</v>
      </c>
      <c r="J191">
        <v>223797</v>
      </c>
      <c r="K191">
        <v>149198</v>
      </c>
      <c r="L191">
        <v>378318</v>
      </c>
      <c r="M191">
        <v>1.41</v>
      </c>
      <c r="N191">
        <v>16549</v>
      </c>
      <c r="O191">
        <v>21.7</v>
      </c>
      <c r="P191">
        <v>450</v>
      </c>
      <c r="Q191">
        <v>1.17</v>
      </c>
      <c r="R191">
        <v>0.13</v>
      </c>
      <c r="S191">
        <v>9771</v>
      </c>
      <c r="T191">
        <v>88</v>
      </c>
      <c r="U191">
        <v>202.1</v>
      </c>
      <c r="V191">
        <v>0</v>
      </c>
      <c r="W191">
        <v>53.7</v>
      </c>
      <c r="X191">
        <v>45.28</v>
      </c>
      <c r="Y191">
        <v>0</v>
      </c>
    </row>
    <row r="192" spans="1:25" x14ac:dyDescent="0.25">
      <c r="A192" t="s">
        <v>35</v>
      </c>
      <c r="B192">
        <f>_xlfn.XLOOKUP(Table4[[#This Row],[country]],Table2[country],Table2[country_id],FALSE)</f>
        <v>4</v>
      </c>
      <c r="C192" t="s">
        <v>36</v>
      </c>
      <c r="D192">
        <v>2025</v>
      </c>
      <c r="E192">
        <f>_xlfn.XLOOKUP(Table4[[#This Row],[year]],Table1[year],Table1[year_id])</f>
        <v>16</v>
      </c>
      <c r="F192" t="s">
        <v>29</v>
      </c>
      <c r="G192" t="s">
        <v>28</v>
      </c>
      <c r="H192" cm="1">
        <f t="array" ref="H192">_xlfn.XLOOKUP(Table4[[#This Row],[vehicle_segment]]&amp;Table4[[#This Row],[powertrain_type]],Table3[vehicle_segment]&amp;Table3[powertrain_type],Table3[vehicle_id])</f>
        <v>2</v>
      </c>
      <c r="I192">
        <v>61761</v>
      </c>
      <c r="J192">
        <v>1297624</v>
      </c>
      <c r="K192">
        <v>176949</v>
      </c>
      <c r="L192">
        <v>1536334</v>
      </c>
      <c r="M192">
        <v>4.0199999999999996</v>
      </c>
      <c r="N192">
        <v>16549</v>
      </c>
      <c r="O192">
        <v>21.7</v>
      </c>
      <c r="P192">
        <v>450</v>
      </c>
      <c r="Q192">
        <v>1.17</v>
      </c>
      <c r="R192">
        <v>0.13</v>
      </c>
      <c r="S192">
        <v>9771</v>
      </c>
      <c r="T192">
        <v>88</v>
      </c>
      <c r="U192">
        <v>202.1</v>
      </c>
      <c r="V192">
        <v>0</v>
      </c>
      <c r="W192">
        <v>53.7</v>
      </c>
      <c r="X192">
        <v>48.26</v>
      </c>
      <c r="Y192">
        <v>0</v>
      </c>
    </row>
    <row r="193" spans="1:25" x14ac:dyDescent="0.25">
      <c r="A193" t="s">
        <v>35</v>
      </c>
      <c r="B193">
        <f>_xlfn.XLOOKUP(Table4[[#This Row],[country]],Table2[country],Table2[country_id],FALSE)</f>
        <v>4</v>
      </c>
      <c r="C193" t="s">
        <v>36</v>
      </c>
      <c r="D193">
        <v>2025</v>
      </c>
      <c r="E193">
        <f>_xlfn.XLOOKUP(Table4[[#This Row],[year]],Table1[year],Table1[year_id])</f>
        <v>16</v>
      </c>
      <c r="F193" t="s">
        <v>30</v>
      </c>
      <c r="G193" t="s">
        <v>28</v>
      </c>
      <c r="H193" cm="1">
        <f t="array" ref="H193">_xlfn.XLOOKUP(Table4[[#This Row],[vehicle_segment]]&amp;Table4[[#This Row],[powertrain_type]],Table3[vehicle_segment]&amp;Table3[powertrain_type],Table3[vehicle_id])</f>
        <v>3</v>
      </c>
      <c r="I193">
        <v>36371</v>
      </c>
      <c r="J193">
        <v>540592</v>
      </c>
      <c r="K193">
        <v>47008</v>
      </c>
      <c r="L193">
        <v>623971</v>
      </c>
      <c r="M193">
        <v>5.83</v>
      </c>
      <c r="N193">
        <v>16549</v>
      </c>
      <c r="O193">
        <v>21.7</v>
      </c>
      <c r="P193">
        <v>450</v>
      </c>
      <c r="Q193">
        <v>1.17</v>
      </c>
      <c r="R193">
        <v>0.13</v>
      </c>
      <c r="S193">
        <v>9771</v>
      </c>
      <c r="T193">
        <v>88</v>
      </c>
      <c r="U193">
        <v>202.1</v>
      </c>
      <c r="V193">
        <v>0</v>
      </c>
      <c r="W193">
        <v>53.7</v>
      </c>
      <c r="X193">
        <v>46.95</v>
      </c>
      <c r="Y193">
        <v>0</v>
      </c>
    </row>
    <row r="194" spans="1:25" x14ac:dyDescent="0.25">
      <c r="A194" t="s">
        <v>37</v>
      </c>
      <c r="B194">
        <f>_xlfn.XLOOKUP(Table4[[#This Row],[country]],Table2[country],Table2[country_id],FALSE)</f>
        <v>5</v>
      </c>
      <c r="C194" t="s">
        <v>38</v>
      </c>
      <c r="D194">
        <v>2010</v>
      </c>
      <c r="E194">
        <f>_xlfn.XLOOKUP(Table4[[#This Row],[year]],Table1[year],Table1[year_id])</f>
        <v>1</v>
      </c>
      <c r="F194" t="s">
        <v>27</v>
      </c>
      <c r="G194" t="s">
        <v>28</v>
      </c>
      <c r="H194" cm="1">
        <f t="array" ref="H194">_xlfn.XLOOKUP(Table4[[#This Row],[vehicle_segment]]&amp;Table4[[#This Row],[powertrain_type]],Table3[vehicle_segment]&amp;Table3[powertrain_type],Table3[vehicle_id])</f>
        <v>1</v>
      </c>
      <c r="I194">
        <v>8</v>
      </c>
      <c r="J194">
        <v>141006</v>
      </c>
      <c r="K194">
        <v>94004</v>
      </c>
      <c r="L194">
        <v>235018</v>
      </c>
      <c r="M194">
        <v>0</v>
      </c>
      <c r="N194">
        <v>102</v>
      </c>
      <c r="O194">
        <v>4.5999999999999996</v>
      </c>
      <c r="P194">
        <v>120</v>
      </c>
      <c r="Q194">
        <v>0.94</v>
      </c>
      <c r="R194">
        <v>7.5999999999999998E-2</v>
      </c>
      <c r="S194">
        <v>46871</v>
      </c>
      <c r="T194">
        <v>80.900000000000006</v>
      </c>
      <c r="U194">
        <v>147.6</v>
      </c>
      <c r="V194">
        <v>2986</v>
      </c>
      <c r="W194">
        <v>43</v>
      </c>
      <c r="X194">
        <v>0</v>
      </c>
      <c r="Y194">
        <v>0</v>
      </c>
    </row>
    <row r="195" spans="1:25" x14ac:dyDescent="0.25">
      <c r="A195" t="s">
        <v>37</v>
      </c>
      <c r="B195">
        <f>_xlfn.XLOOKUP(Table4[[#This Row],[country]],Table2[country],Table2[country_id],FALSE)</f>
        <v>5</v>
      </c>
      <c r="C195" t="s">
        <v>38</v>
      </c>
      <c r="D195">
        <v>2010</v>
      </c>
      <c r="E195">
        <f>_xlfn.XLOOKUP(Table4[[#This Row],[year]],Table1[year],Table1[year_id])</f>
        <v>1</v>
      </c>
      <c r="F195" t="s">
        <v>29</v>
      </c>
      <c r="G195" t="s">
        <v>28</v>
      </c>
      <c r="H195" cm="1">
        <f t="array" ref="H195">_xlfn.XLOOKUP(Table4[[#This Row],[vehicle_segment]]&amp;Table4[[#This Row],[powertrain_type]],Table3[vehicle_segment]&amp;Table3[powertrain_type],Table3[vehicle_id])</f>
        <v>2</v>
      </c>
      <c r="I195">
        <v>93</v>
      </c>
      <c r="J195">
        <v>815012</v>
      </c>
      <c r="K195">
        <v>111138</v>
      </c>
      <c r="L195">
        <v>926243</v>
      </c>
      <c r="M195">
        <v>0.01</v>
      </c>
      <c r="N195">
        <v>102</v>
      </c>
      <c r="O195">
        <v>4.5999999999999996</v>
      </c>
      <c r="P195">
        <v>120</v>
      </c>
      <c r="Q195">
        <v>0.94</v>
      </c>
      <c r="R195">
        <v>7.5999999999999998E-2</v>
      </c>
      <c r="S195">
        <v>46871</v>
      </c>
      <c r="T195">
        <v>80.900000000000006</v>
      </c>
      <c r="U195">
        <v>147.6</v>
      </c>
      <c r="V195">
        <v>2986</v>
      </c>
      <c r="W195">
        <v>43</v>
      </c>
      <c r="X195">
        <v>0</v>
      </c>
      <c r="Y195">
        <v>0</v>
      </c>
    </row>
    <row r="196" spans="1:25" x14ac:dyDescent="0.25">
      <c r="A196" t="s">
        <v>37</v>
      </c>
      <c r="B196">
        <f>_xlfn.XLOOKUP(Table4[[#This Row],[country]],Table2[country],Table2[country_id],FALSE)</f>
        <v>5</v>
      </c>
      <c r="C196" t="s">
        <v>38</v>
      </c>
      <c r="D196">
        <v>2010</v>
      </c>
      <c r="E196">
        <f>_xlfn.XLOOKUP(Table4[[#This Row],[year]],Table1[year],Table1[year_id])</f>
        <v>1</v>
      </c>
      <c r="F196" t="s">
        <v>30</v>
      </c>
      <c r="G196" t="s">
        <v>28</v>
      </c>
      <c r="H196" cm="1">
        <f t="array" ref="H196">_xlfn.XLOOKUP(Table4[[#This Row],[vehicle_segment]]&amp;Table4[[#This Row],[powertrain_type]],Table3[vehicle_segment]&amp;Table3[powertrain_type],Table3[vehicle_id])</f>
        <v>3</v>
      </c>
      <c r="I196">
        <v>57</v>
      </c>
      <c r="J196">
        <v>359125</v>
      </c>
      <c r="K196">
        <v>31228</v>
      </c>
      <c r="L196">
        <v>390410</v>
      </c>
      <c r="M196">
        <v>0.01</v>
      </c>
      <c r="N196">
        <v>102</v>
      </c>
      <c r="O196">
        <v>4.5999999999999996</v>
      </c>
      <c r="P196">
        <v>120</v>
      </c>
      <c r="Q196">
        <v>0.94</v>
      </c>
      <c r="R196">
        <v>7.5999999999999998E-2</v>
      </c>
      <c r="S196">
        <v>46871</v>
      </c>
      <c r="T196">
        <v>80.900000000000006</v>
      </c>
      <c r="U196">
        <v>147.6</v>
      </c>
      <c r="V196">
        <v>2986</v>
      </c>
      <c r="W196">
        <v>43</v>
      </c>
      <c r="X196">
        <v>0</v>
      </c>
      <c r="Y196">
        <v>0</v>
      </c>
    </row>
    <row r="197" spans="1:25" x14ac:dyDescent="0.25">
      <c r="A197" t="s">
        <v>37</v>
      </c>
      <c r="B197">
        <f>_xlfn.XLOOKUP(Table4[[#This Row],[country]],Table2[country],Table2[country_id],FALSE)</f>
        <v>5</v>
      </c>
      <c r="C197" t="s">
        <v>38</v>
      </c>
      <c r="D197">
        <v>2011</v>
      </c>
      <c r="E197">
        <f>_xlfn.XLOOKUP(Table4[[#This Row],[year]],Table1[year],Table1[year_id])</f>
        <v>2</v>
      </c>
      <c r="F197" t="s">
        <v>27</v>
      </c>
      <c r="G197" t="s">
        <v>28</v>
      </c>
      <c r="H197" cm="1">
        <f t="array" ref="H197">_xlfn.XLOOKUP(Table4[[#This Row],[vehicle_segment]]&amp;Table4[[#This Row],[powertrain_type]],Table3[vehicle_segment]&amp;Table3[powertrain_type],Table3[vehicle_id])</f>
        <v>1</v>
      </c>
      <c r="I197">
        <v>104</v>
      </c>
      <c r="J197">
        <v>148511</v>
      </c>
      <c r="K197">
        <v>99007</v>
      </c>
      <c r="L197">
        <v>247622</v>
      </c>
      <c r="M197">
        <v>0.04</v>
      </c>
      <c r="N197">
        <v>410</v>
      </c>
      <c r="O197">
        <v>6</v>
      </c>
      <c r="P197">
        <v>132</v>
      </c>
      <c r="Q197">
        <v>0.91</v>
      </c>
      <c r="R197">
        <v>8.4000000000000005E-2</v>
      </c>
      <c r="S197">
        <v>46992</v>
      </c>
      <c r="T197">
        <v>80.8</v>
      </c>
      <c r="U197">
        <v>148.9</v>
      </c>
      <c r="V197">
        <v>3428</v>
      </c>
      <c r="W197">
        <v>42.9</v>
      </c>
      <c r="X197">
        <v>300</v>
      </c>
      <c r="Y197">
        <v>0</v>
      </c>
    </row>
    <row r="198" spans="1:25" x14ac:dyDescent="0.25">
      <c r="A198" t="s">
        <v>37</v>
      </c>
      <c r="B198">
        <f>_xlfn.XLOOKUP(Table4[[#This Row],[country]],Table2[country],Table2[country_id],FALSE)</f>
        <v>5</v>
      </c>
      <c r="C198" t="s">
        <v>38</v>
      </c>
      <c r="D198">
        <v>2011</v>
      </c>
      <c r="E198">
        <f>_xlfn.XLOOKUP(Table4[[#This Row],[year]],Table1[year],Table1[year_id])</f>
        <v>2</v>
      </c>
      <c r="F198" t="s">
        <v>29</v>
      </c>
      <c r="G198" t="s">
        <v>28</v>
      </c>
      <c r="H198" cm="1">
        <f t="array" ref="H198">_xlfn.XLOOKUP(Table4[[#This Row],[vehicle_segment]]&amp;Table4[[#This Row],[powertrain_type]],Table3[vehicle_segment]&amp;Table3[powertrain_type],Table3[vehicle_id])</f>
        <v>2</v>
      </c>
      <c r="I198">
        <v>1200</v>
      </c>
      <c r="J198">
        <v>879070</v>
      </c>
      <c r="K198">
        <v>119873</v>
      </c>
      <c r="L198">
        <v>1000143</v>
      </c>
      <c r="M198">
        <v>0.12</v>
      </c>
      <c r="N198">
        <v>410</v>
      </c>
      <c r="O198">
        <v>6</v>
      </c>
      <c r="P198">
        <v>132</v>
      </c>
      <c r="Q198">
        <v>0.91</v>
      </c>
      <c r="R198">
        <v>8.4000000000000005E-2</v>
      </c>
      <c r="S198">
        <v>46992</v>
      </c>
      <c r="T198">
        <v>80.8</v>
      </c>
      <c r="U198">
        <v>148.9</v>
      </c>
      <c r="V198">
        <v>3428</v>
      </c>
      <c r="W198">
        <v>42.9</v>
      </c>
      <c r="X198">
        <v>300</v>
      </c>
      <c r="Y198">
        <v>0</v>
      </c>
    </row>
    <row r="199" spans="1:25" x14ac:dyDescent="0.25">
      <c r="A199" t="s">
        <v>37</v>
      </c>
      <c r="B199">
        <f>_xlfn.XLOOKUP(Table4[[#This Row],[country]],Table2[country],Table2[country_id],FALSE)</f>
        <v>5</v>
      </c>
      <c r="C199" t="s">
        <v>38</v>
      </c>
      <c r="D199">
        <v>2011</v>
      </c>
      <c r="E199">
        <f>_xlfn.XLOOKUP(Table4[[#This Row],[year]],Table1[year],Table1[year_id])</f>
        <v>2</v>
      </c>
      <c r="F199" t="s">
        <v>30</v>
      </c>
      <c r="G199" t="s">
        <v>28</v>
      </c>
      <c r="H199" cm="1">
        <f t="array" ref="H199">_xlfn.XLOOKUP(Table4[[#This Row],[vehicle_segment]]&amp;Table4[[#This Row],[powertrain_type]],Table3[vehicle_segment]&amp;Table3[powertrain_type],Table3[vehicle_id])</f>
        <v>3</v>
      </c>
      <c r="I199">
        <v>702</v>
      </c>
      <c r="J199">
        <v>370536</v>
      </c>
      <c r="K199">
        <v>32221</v>
      </c>
      <c r="L199">
        <v>403459</v>
      </c>
      <c r="M199">
        <v>0.17</v>
      </c>
      <c r="N199">
        <v>410</v>
      </c>
      <c r="O199">
        <v>6</v>
      </c>
      <c r="P199">
        <v>132</v>
      </c>
      <c r="Q199">
        <v>0.91</v>
      </c>
      <c r="R199">
        <v>8.4000000000000005E-2</v>
      </c>
      <c r="S199">
        <v>46992</v>
      </c>
      <c r="T199">
        <v>80.8</v>
      </c>
      <c r="U199">
        <v>148.9</v>
      </c>
      <c r="V199">
        <v>3428</v>
      </c>
      <c r="W199">
        <v>42.9</v>
      </c>
      <c r="X199">
        <v>300</v>
      </c>
      <c r="Y199">
        <v>0</v>
      </c>
    </row>
    <row r="200" spans="1:25" x14ac:dyDescent="0.25">
      <c r="A200" t="s">
        <v>37</v>
      </c>
      <c r="B200">
        <f>_xlfn.XLOOKUP(Table4[[#This Row],[country]],Table2[country],Table2[country_id],FALSE)</f>
        <v>5</v>
      </c>
      <c r="C200" t="s">
        <v>38</v>
      </c>
      <c r="D200">
        <v>2012</v>
      </c>
      <c r="E200">
        <f>_xlfn.XLOOKUP(Table4[[#This Row],[year]],Table1[year],Table1[year_id])</f>
        <v>3</v>
      </c>
      <c r="F200" t="s">
        <v>27</v>
      </c>
      <c r="G200" t="s">
        <v>28</v>
      </c>
      <c r="H200" cm="1">
        <f t="array" ref="H200">_xlfn.XLOOKUP(Table4[[#This Row],[vehicle_segment]]&amp;Table4[[#This Row],[powertrain_type]],Table3[vehicle_segment]&amp;Table3[powertrain_type],Table3[vehicle_id])</f>
        <v>1</v>
      </c>
      <c r="I200">
        <v>204</v>
      </c>
      <c r="J200">
        <v>152136</v>
      </c>
      <c r="K200">
        <v>101424</v>
      </c>
      <c r="L200">
        <v>253764</v>
      </c>
      <c r="M200">
        <v>0.08</v>
      </c>
      <c r="N200">
        <v>732</v>
      </c>
      <c r="O200">
        <v>7.3</v>
      </c>
      <c r="P200">
        <v>136</v>
      </c>
      <c r="Q200">
        <v>0.877</v>
      </c>
      <c r="R200">
        <v>0.09</v>
      </c>
      <c r="S200">
        <v>46201</v>
      </c>
      <c r="T200">
        <v>81.099999999999994</v>
      </c>
      <c r="U200">
        <v>153.5</v>
      </c>
      <c r="V200">
        <v>3779</v>
      </c>
      <c r="W200">
        <v>45</v>
      </c>
      <c r="X200">
        <v>96.15</v>
      </c>
      <c r="Y200">
        <v>0</v>
      </c>
    </row>
    <row r="201" spans="1:25" x14ac:dyDescent="0.25">
      <c r="A201" t="s">
        <v>37</v>
      </c>
      <c r="B201">
        <f>_xlfn.XLOOKUP(Table4[[#This Row],[country]],Table2[country],Table2[country_id],FALSE)</f>
        <v>5</v>
      </c>
      <c r="C201" t="s">
        <v>38</v>
      </c>
      <c r="D201">
        <v>2012</v>
      </c>
      <c r="E201">
        <f>_xlfn.XLOOKUP(Table4[[#This Row],[year]],Table1[year],Table1[year_id])</f>
        <v>3</v>
      </c>
      <c r="F201" t="s">
        <v>29</v>
      </c>
      <c r="G201" t="s">
        <v>28</v>
      </c>
      <c r="H201" cm="1">
        <f t="array" ref="H201">_xlfn.XLOOKUP(Table4[[#This Row],[vehicle_segment]]&amp;Table4[[#This Row],[powertrain_type]],Table3[vehicle_segment]&amp;Table3[powertrain_type],Table3[vehicle_id])</f>
        <v>2</v>
      </c>
      <c r="I201">
        <v>2339</v>
      </c>
      <c r="J201">
        <v>892842</v>
      </c>
      <c r="K201">
        <v>121751</v>
      </c>
      <c r="L201">
        <v>1016932</v>
      </c>
      <c r="M201">
        <v>0.23</v>
      </c>
      <c r="N201">
        <v>732</v>
      </c>
      <c r="O201">
        <v>7.3</v>
      </c>
      <c r="P201">
        <v>136</v>
      </c>
      <c r="Q201">
        <v>0.877</v>
      </c>
      <c r="R201">
        <v>0.09</v>
      </c>
      <c r="S201">
        <v>46201</v>
      </c>
      <c r="T201">
        <v>81.099999999999994</v>
      </c>
      <c r="U201">
        <v>153.5</v>
      </c>
      <c r="V201">
        <v>3779</v>
      </c>
      <c r="W201">
        <v>45</v>
      </c>
      <c r="X201">
        <v>94.92</v>
      </c>
      <c r="Y201">
        <v>0</v>
      </c>
    </row>
    <row r="202" spans="1:25" x14ac:dyDescent="0.25">
      <c r="A202" t="s">
        <v>37</v>
      </c>
      <c r="B202">
        <f>_xlfn.XLOOKUP(Table4[[#This Row],[country]],Table2[country],Table2[country_id],FALSE)</f>
        <v>5</v>
      </c>
      <c r="C202" t="s">
        <v>38</v>
      </c>
      <c r="D202">
        <v>2012</v>
      </c>
      <c r="E202">
        <f>_xlfn.XLOOKUP(Table4[[#This Row],[year]],Table1[year],Table1[year_id])</f>
        <v>3</v>
      </c>
      <c r="F202" t="s">
        <v>30</v>
      </c>
      <c r="G202" t="s">
        <v>28</v>
      </c>
      <c r="H202" cm="1">
        <f t="array" ref="H202">_xlfn.XLOOKUP(Table4[[#This Row],[vehicle_segment]]&amp;Table4[[#This Row],[powertrain_type]],Table3[vehicle_segment]&amp;Table3[powertrain_type],Table3[vehicle_id])</f>
        <v>3</v>
      </c>
      <c r="I202">
        <v>1454</v>
      </c>
      <c r="J202">
        <v>399856</v>
      </c>
      <c r="K202">
        <v>34770</v>
      </c>
      <c r="L202">
        <v>436080</v>
      </c>
      <c r="M202">
        <v>0.33</v>
      </c>
      <c r="N202">
        <v>732</v>
      </c>
      <c r="O202">
        <v>7.3</v>
      </c>
      <c r="P202">
        <v>136</v>
      </c>
      <c r="Q202">
        <v>0.877</v>
      </c>
      <c r="R202">
        <v>0.09</v>
      </c>
      <c r="S202">
        <v>46201</v>
      </c>
      <c r="T202">
        <v>81.099999999999994</v>
      </c>
      <c r="U202">
        <v>153.5</v>
      </c>
      <c r="V202">
        <v>3779</v>
      </c>
      <c r="W202">
        <v>45</v>
      </c>
      <c r="X202">
        <v>107.12</v>
      </c>
      <c r="Y202">
        <v>0</v>
      </c>
    </row>
    <row r="203" spans="1:25" x14ac:dyDescent="0.25">
      <c r="A203" t="s">
        <v>37</v>
      </c>
      <c r="B203">
        <f>_xlfn.XLOOKUP(Table4[[#This Row],[country]],Table2[country],Table2[country_id],FALSE)</f>
        <v>5</v>
      </c>
      <c r="C203" t="s">
        <v>38</v>
      </c>
      <c r="D203">
        <v>2013</v>
      </c>
      <c r="E203">
        <f>_xlfn.XLOOKUP(Table4[[#This Row],[year]],Table1[year],Table1[year_id])</f>
        <v>4</v>
      </c>
      <c r="F203" t="s">
        <v>27</v>
      </c>
      <c r="G203" t="s">
        <v>28</v>
      </c>
      <c r="H203" cm="1">
        <f t="array" ref="H203">_xlfn.XLOOKUP(Table4[[#This Row],[vehicle_segment]]&amp;Table4[[#This Row],[powertrain_type]],Table3[vehicle_segment]&amp;Table3[powertrain_type],Table3[vehicle_id])</f>
        <v>1</v>
      </c>
      <c r="I203">
        <v>285</v>
      </c>
      <c r="J203">
        <v>157432</v>
      </c>
      <c r="K203">
        <v>104954</v>
      </c>
      <c r="L203">
        <v>262671</v>
      </c>
      <c r="M203">
        <v>0.11</v>
      </c>
      <c r="N203">
        <v>1030</v>
      </c>
      <c r="O203">
        <v>9</v>
      </c>
      <c r="P203">
        <v>140</v>
      </c>
      <c r="Q203">
        <v>0.85</v>
      </c>
      <c r="R203">
        <v>9.4E-2</v>
      </c>
      <c r="S203">
        <v>43981</v>
      </c>
      <c r="T203">
        <v>81.2</v>
      </c>
      <c r="U203">
        <v>157.1</v>
      </c>
      <c r="V203">
        <v>4233</v>
      </c>
      <c r="W203">
        <v>46.4</v>
      </c>
      <c r="X203">
        <v>39.71</v>
      </c>
      <c r="Y203">
        <v>0</v>
      </c>
    </row>
    <row r="204" spans="1:25" x14ac:dyDescent="0.25">
      <c r="A204" t="s">
        <v>37</v>
      </c>
      <c r="B204">
        <f>_xlfn.XLOOKUP(Table4[[#This Row],[country]],Table2[country],Table2[country_id],FALSE)</f>
        <v>5</v>
      </c>
      <c r="C204" t="s">
        <v>38</v>
      </c>
      <c r="D204">
        <v>2013</v>
      </c>
      <c r="E204">
        <f>_xlfn.XLOOKUP(Table4[[#This Row],[year]],Table1[year],Table1[year_id])</f>
        <v>4</v>
      </c>
      <c r="F204" t="s">
        <v>29</v>
      </c>
      <c r="G204" t="s">
        <v>28</v>
      </c>
      <c r="H204" cm="1">
        <f t="array" ref="H204">_xlfn.XLOOKUP(Table4[[#This Row],[vehicle_segment]]&amp;Table4[[#This Row],[powertrain_type]],Table3[vehicle_segment]&amp;Table3[powertrain_type],Table3[vehicle_id])</f>
        <v>2</v>
      </c>
      <c r="I204">
        <v>3309</v>
      </c>
      <c r="J204">
        <v>936386</v>
      </c>
      <c r="K204">
        <v>127689</v>
      </c>
      <c r="L204">
        <v>1067384</v>
      </c>
      <c r="M204">
        <v>0.31</v>
      </c>
      <c r="N204">
        <v>1030</v>
      </c>
      <c r="O204">
        <v>9</v>
      </c>
      <c r="P204">
        <v>140</v>
      </c>
      <c r="Q204">
        <v>0.85</v>
      </c>
      <c r="R204">
        <v>9.4E-2</v>
      </c>
      <c r="S204">
        <v>43981</v>
      </c>
      <c r="T204">
        <v>81.2</v>
      </c>
      <c r="U204">
        <v>157.1</v>
      </c>
      <c r="V204">
        <v>4233</v>
      </c>
      <c r="W204">
        <v>46.4</v>
      </c>
      <c r="X204">
        <v>41.47</v>
      </c>
      <c r="Y204">
        <v>0</v>
      </c>
    </row>
    <row r="205" spans="1:25" x14ac:dyDescent="0.25">
      <c r="A205" t="s">
        <v>37</v>
      </c>
      <c r="B205">
        <f>_xlfn.XLOOKUP(Table4[[#This Row],[country]],Table2[country],Table2[country_id],FALSE)</f>
        <v>5</v>
      </c>
      <c r="C205" t="s">
        <v>38</v>
      </c>
      <c r="D205">
        <v>2013</v>
      </c>
      <c r="E205">
        <f>_xlfn.XLOOKUP(Table4[[#This Row],[year]],Table1[year],Table1[year_id])</f>
        <v>4</v>
      </c>
      <c r="F205" t="s">
        <v>30</v>
      </c>
      <c r="G205" t="s">
        <v>28</v>
      </c>
      <c r="H205" cm="1">
        <f t="array" ref="H205">_xlfn.XLOOKUP(Table4[[#This Row],[vehicle_segment]]&amp;Table4[[#This Row],[powertrain_type]],Table3[vehicle_segment]&amp;Table3[powertrain_type],Table3[vehicle_id])</f>
        <v>3</v>
      </c>
      <c r="I205">
        <v>2025</v>
      </c>
      <c r="J205">
        <v>412656</v>
      </c>
      <c r="K205">
        <v>35883</v>
      </c>
      <c r="L205">
        <v>450564</v>
      </c>
      <c r="M205">
        <v>0.45</v>
      </c>
      <c r="N205">
        <v>1030</v>
      </c>
      <c r="O205">
        <v>9</v>
      </c>
      <c r="P205">
        <v>140</v>
      </c>
      <c r="Q205">
        <v>0.85</v>
      </c>
      <c r="R205">
        <v>9.4E-2</v>
      </c>
      <c r="S205">
        <v>43981</v>
      </c>
      <c r="T205">
        <v>81.2</v>
      </c>
      <c r="U205">
        <v>157.1</v>
      </c>
      <c r="V205">
        <v>4233</v>
      </c>
      <c r="W205">
        <v>46.4</v>
      </c>
      <c r="X205">
        <v>39.270000000000003</v>
      </c>
      <c r="Y205">
        <v>0</v>
      </c>
    </row>
    <row r="206" spans="1:25" x14ac:dyDescent="0.25">
      <c r="A206" t="s">
        <v>37</v>
      </c>
      <c r="B206">
        <f>_xlfn.XLOOKUP(Table4[[#This Row],[country]],Table2[country],Table2[country_id],FALSE)</f>
        <v>5</v>
      </c>
      <c r="C206" t="s">
        <v>38</v>
      </c>
      <c r="D206">
        <v>2014</v>
      </c>
      <c r="E206">
        <f>_xlfn.XLOOKUP(Table4[[#This Row],[year]],Table1[year],Table1[year_id])</f>
        <v>5</v>
      </c>
      <c r="F206" t="s">
        <v>27</v>
      </c>
      <c r="G206" t="s">
        <v>28</v>
      </c>
      <c r="H206" cm="1">
        <f t="array" ref="H206">_xlfn.XLOOKUP(Table4[[#This Row],[vehicle_segment]]&amp;Table4[[#This Row],[powertrain_type]],Table3[vehicle_segment]&amp;Table3[powertrain_type],Table3[vehicle_id])</f>
        <v>1</v>
      </c>
      <c r="I206">
        <v>369</v>
      </c>
      <c r="J206">
        <v>166051</v>
      </c>
      <c r="K206">
        <v>110700</v>
      </c>
      <c r="L206">
        <v>277120</v>
      </c>
      <c r="M206">
        <v>0.13</v>
      </c>
      <c r="N206">
        <v>2044</v>
      </c>
      <c r="O206">
        <v>10</v>
      </c>
      <c r="P206">
        <v>155</v>
      </c>
      <c r="Q206">
        <v>0.82</v>
      </c>
      <c r="R206">
        <v>9.6000000000000002E-2</v>
      </c>
      <c r="S206">
        <v>44685</v>
      </c>
      <c r="T206">
        <v>81.400000000000006</v>
      </c>
      <c r="U206">
        <v>158.69999999999999</v>
      </c>
      <c r="V206">
        <v>4631</v>
      </c>
      <c r="W206">
        <v>49.3</v>
      </c>
      <c r="X206">
        <v>29.47</v>
      </c>
      <c r="Y206">
        <v>0</v>
      </c>
    </row>
    <row r="207" spans="1:25" x14ac:dyDescent="0.25">
      <c r="A207" t="s">
        <v>37</v>
      </c>
      <c r="B207">
        <f>_xlfn.XLOOKUP(Table4[[#This Row],[country]],Table2[country],Table2[country_id],FALSE)</f>
        <v>5</v>
      </c>
      <c r="C207" t="s">
        <v>38</v>
      </c>
      <c r="D207">
        <v>2014</v>
      </c>
      <c r="E207">
        <f>_xlfn.XLOOKUP(Table4[[#This Row],[year]],Table1[year],Table1[year_id])</f>
        <v>5</v>
      </c>
      <c r="F207" t="s">
        <v>29</v>
      </c>
      <c r="G207" t="s">
        <v>28</v>
      </c>
      <c r="H207" cm="1">
        <f t="array" ref="H207">_xlfn.XLOOKUP(Table4[[#This Row],[vehicle_segment]]&amp;Table4[[#This Row],[powertrain_type]],Table3[vehicle_segment]&amp;Table3[powertrain_type],Table3[vehicle_id])</f>
        <v>2</v>
      </c>
      <c r="I207">
        <v>4193</v>
      </c>
      <c r="J207">
        <v>967385</v>
      </c>
      <c r="K207">
        <v>131916</v>
      </c>
      <c r="L207">
        <v>1103494</v>
      </c>
      <c r="M207">
        <v>0.38</v>
      </c>
      <c r="N207">
        <v>2044</v>
      </c>
      <c r="O207">
        <v>10</v>
      </c>
      <c r="P207">
        <v>155</v>
      </c>
      <c r="Q207">
        <v>0.82</v>
      </c>
      <c r="R207">
        <v>9.6000000000000002E-2</v>
      </c>
      <c r="S207">
        <v>44685</v>
      </c>
      <c r="T207">
        <v>81.400000000000006</v>
      </c>
      <c r="U207">
        <v>158.69999999999999</v>
      </c>
      <c r="V207">
        <v>4631</v>
      </c>
      <c r="W207">
        <v>49.3</v>
      </c>
      <c r="X207">
        <v>26.72</v>
      </c>
      <c r="Y207">
        <v>0</v>
      </c>
    </row>
    <row r="208" spans="1:25" x14ac:dyDescent="0.25">
      <c r="A208" t="s">
        <v>37</v>
      </c>
      <c r="B208">
        <f>_xlfn.XLOOKUP(Table4[[#This Row],[country]],Table2[country],Table2[country_id],FALSE)</f>
        <v>5</v>
      </c>
      <c r="C208" t="s">
        <v>38</v>
      </c>
      <c r="D208">
        <v>2014</v>
      </c>
      <c r="E208">
        <f>_xlfn.XLOOKUP(Table4[[#This Row],[year]],Table1[year],Table1[year_id])</f>
        <v>5</v>
      </c>
      <c r="F208" t="s">
        <v>30</v>
      </c>
      <c r="G208" t="s">
        <v>28</v>
      </c>
      <c r="H208" cm="1">
        <f t="array" ref="H208">_xlfn.XLOOKUP(Table4[[#This Row],[vehicle_segment]]&amp;Table4[[#This Row],[powertrain_type]],Table3[vehicle_segment]&amp;Table3[powertrain_type],Table3[vehicle_id])</f>
        <v>3</v>
      </c>
      <c r="I208">
        <v>2508</v>
      </c>
      <c r="J208">
        <v>416504</v>
      </c>
      <c r="K208">
        <v>36218</v>
      </c>
      <c r="L208">
        <v>455230</v>
      </c>
      <c r="M208">
        <v>0.55000000000000004</v>
      </c>
      <c r="N208">
        <v>2044</v>
      </c>
      <c r="O208">
        <v>10</v>
      </c>
      <c r="P208">
        <v>155</v>
      </c>
      <c r="Q208">
        <v>0.82</v>
      </c>
      <c r="R208">
        <v>9.6000000000000002E-2</v>
      </c>
      <c r="S208">
        <v>44685</v>
      </c>
      <c r="T208">
        <v>81.400000000000006</v>
      </c>
      <c r="U208">
        <v>158.69999999999999</v>
      </c>
      <c r="V208">
        <v>4631</v>
      </c>
      <c r="W208">
        <v>49.3</v>
      </c>
      <c r="X208">
        <v>23.85</v>
      </c>
      <c r="Y208">
        <v>0</v>
      </c>
    </row>
    <row r="209" spans="1:25" x14ac:dyDescent="0.25">
      <c r="A209" t="s">
        <v>37</v>
      </c>
      <c r="B209">
        <f>_xlfn.XLOOKUP(Table4[[#This Row],[country]],Table2[country],Table2[country_id],FALSE)</f>
        <v>5</v>
      </c>
      <c r="C209" t="s">
        <v>38</v>
      </c>
      <c r="D209">
        <v>2015</v>
      </c>
      <c r="E209">
        <f>_xlfn.XLOOKUP(Table4[[#This Row],[year]],Table1[year],Table1[year_id])</f>
        <v>6</v>
      </c>
      <c r="F209" t="s">
        <v>27</v>
      </c>
      <c r="G209" t="s">
        <v>28</v>
      </c>
      <c r="H209" cm="1">
        <f t="array" ref="H209">_xlfn.XLOOKUP(Table4[[#This Row],[vehicle_segment]]&amp;Table4[[#This Row],[powertrain_type]],Table3[vehicle_segment]&amp;Table3[powertrain_type],Table3[vehicle_id])</f>
        <v>1</v>
      </c>
      <c r="I209">
        <v>491</v>
      </c>
      <c r="J209">
        <v>171378</v>
      </c>
      <c r="K209">
        <v>114252</v>
      </c>
      <c r="L209">
        <v>286121</v>
      </c>
      <c r="M209">
        <v>0.17</v>
      </c>
      <c r="N209">
        <v>3012</v>
      </c>
      <c r="O209">
        <v>12.9</v>
      </c>
      <c r="P209">
        <v>167</v>
      </c>
      <c r="Q209">
        <v>0.82699999999999996</v>
      </c>
      <c r="R209">
        <v>9.8000000000000004E-2</v>
      </c>
      <c r="S209">
        <v>43668</v>
      </c>
      <c r="T209">
        <v>81.400000000000006</v>
      </c>
      <c r="U209">
        <v>158.1</v>
      </c>
      <c r="V209">
        <v>5012</v>
      </c>
      <c r="W209">
        <v>50.2</v>
      </c>
      <c r="X209">
        <v>33.06</v>
      </c>
      <c r="Y209">
        <v>0</v>
      </c>
    </row>
    <row r="210" spans="1:25" x14ac:dyDescent="0.25">
      <c r="A210" t="s">
        <v>37</v>
      </c>
      <c r="B210">
        <f>_xlfn.XLOOKUP(Table4[[#This Row],[country]],Table2[country],Table2[country_id],FALSE)</f>
        <v>5</v>
      </c>
      <c r="C210" t="s">
        <v>38</v>
      </c>
      <c r="D210">
        <v>2015</v>
      </c>
      <c r="E210">
        <f>_xlfn.XLOOKUP(Table4[[#This Row],[year]],Table1[year],Table1[year_id])</f>
        <v>6</v>
      </c>
      <c r="F210" t="s">
        <v>29</v>
      </c>
      <c r="G210" t="s">
        <v>28</v>
      </c>
      <c r="H210" cm="1">
        <f t="array" ref="H210">_xlfn.XLOOKUP(Table4[[#This Row],[vehicle_segment]]&amp;Table4[[#This Row],[powertrain_type]],Table3[vehicle_segment]&amp;Table3[powertrain_type],Table3[vehicle_id])</f>
        <v>2</v>
      </c>
      <c r="I210">
        <v>5596</v>
      </c>
      <c r="J210">
        <v>1000047</v>
      </c>
      <c r="K210">
        <v>136370</v>
      </c>
      <c r="L210">
        <v>1142013</v>
      </c>
      <c r="M210">
        <v>0.49</v>
      </c>
      <c r="N210">
        <v>3012</v>
      </c>
      <c r="O210">
        <v>12.9</v>
      </c>
      <c r="P210">
        <v>167</v>
      </c>
      <c r="Q210">
        <v>0.82699999999999996</v>
      </c>
      <c r="R210">
        <v>9.8000000000000004E-2</v>
      </c>
      <c r="S210">
        <v>43668</v>
      </c>
      <c r="T210">
        <v>81.400000000000006</v>
      </c>
      <c r="U210">
        <v>158.1</v>
      </c>
      <c r="V210">
        <v>5012</v>
      </c>
      <c r="W210">
        <v>50.2</v>
      </c>
      <c r="X210">
        <v>33.46</v>
      </c>
      <c r="Y210">
        <v>0</v>
      </c>
    </row>
    <row r="211" spans="1:25" x14ac:dyDescent="0.25">
      <c r="A211" t="s">
        <v>37</v>
      </c>
      <c r="B211">
        <f>_xlfn.XLOOKUP(Table4[[#This Row],[country]],Table2[country],Table2[country_id],FALSE)</f>
        <v>5</v>
      </c>
      <c r="C211" t="s">
        <v>38</v>
      </c>
      <c r="D211">
        <v>2015</v>
      </c>
      <c r="E211">
        <f>_xlfn.XLOOKUP(Table4[[#This Row],[year]],Table1[year],Table1[year_id])</f>
        <v>6</v>
      </c>
      <c r="F211" t="s">
        <v>30</v>
      </c>
      <c r="G211" t="s">
        <v>28</v>
      </c>
      <c r="H211" cm="1">
        <f t="array" ref="H211">_xlfn.XLOOKUP(Table4[[#This Row],[vehicle_segment]]&amp;Table4[[#This Row],[powertrain_type]],Table3[vehicle_segment]&amp;Table3[powertrain_type],Table3[vehicle_id])</f>
        <v>3</v>
      </c>
      <c r="I211">
        <v>3404</v>
      </c>
      <c r="J211">
        <v>437591</v>
      </c>
      <c r="K211">
        <v>38051</v>
      </c>
      <c r="L211">
        <v>479046</v>
      </c>
      <c r="M211">
        <v>0.71</v>
      </c>
      <c r="N211">
        <v>3012</v>
      </c>
      <c r="O211">
        <v>12.9</v>
      </c>
      <c r="P211">
        <v>167</v>
      </c>
      <c r="Q211">
        <v>0.82699999999999996</v>
      </c>
      <c r="R211">
        <v>9.8000000000000004E-2</v>
      </c>
      <c r="S211">
        <v>43668</v>
      </c>
      <c r="T211">
        <v>81.400000000000006</v>
      </c>
      <c r="U211">
        <v>158.1</v>
      </c>
      <c r="V211">
        <v>5012</v>
      </c>
      <c r="W211">
        <v>50.2</v>
      </c>
      <c r="X211">
        <v>35.729999999999997</v>
      </c>
      <c r="Y211">
        <v>0</v>
      </c>
    </row>
    <row r="212" spans="1:25" x14ac:dyDescent="0.25">
      <c r="A212" t="s">
        <v>37</v>
      </c>
      <c r="B212">
        <f>_xlfn.XLOOKUP(Table4[[#This Row],[country]],Table2[country],Table2[country_id],FALSE)</f>
        <v>5</v>
      </c>
      <c r="C212" t="s">
        <v>38</v>
      </c>
      <c r="D212">
        <v>2016</v>
      </c>
      <c r="E212">
        <f>_xlfn.XLOOKUP(Table4[[#This Row],[year]],Table1[year],Table1[year_id])</f>
        <v>7</v>
      </c>
      <c r="F212" t="s">
        <v>27</v>
      </c>
      <c r="G212" t="s">
        <v>28</v>
      </c>
      <c r="H212" cm="1">
        <f t="array" ref="H212">_xlfn.XLOOKUP(Table4[[#This Row],[vehicle_segment]]&amp;Table4[[#This Row],[powertrain_type]],Table3[vehicle_segment]&amp;Table3[powertrain_type],Table3[vehicle_id])</f>
        <v>1</v>
      </c>
      <c r="I212">
        <v>651</v>
      </c>
      <c r="J212">
        <v>173996</v>
      </c>
      <c r="K212">
        <v>115997</v>
      </c>
      <c r="L212">
        <v>290644</v>
      </c>
      <c r="M212">
        <v>0.22</v>
      </c>
      <c r="N212">
        <v>4351</v>
      </c>
      <c r="O212">
        <v>13.4</v>
      </c>
      <c r="P212">
        <v>182</v>
      </c>
      <c r="Q212">
        <v>0.85699999999999998</v>
      </c>
      <c r="R212">
        <v>0.1</v>
      </c>
      <c r="S212">
        <v>45014</v>
      </c>
      <c r="T212">
        <v>81.400000000000006</v>
      </c>
      <c r="U212">
        <v>161.1</v>
      </c>
      <c r="V212">
        <v>4937</v>
      </c>
      <c r="W212">
        <v>52.5</v>
      </c>
      <c r="X212">
        <v>32.590000000000003</v>
      </c>
      <c r="Y212">
        <v>0</v>
      </c>
    </row>
    <row r="213" spans="1:25" x14ac:dyDescent="0.25">
      <c r="A213" t="s">
        <v>37</v>
      </c>
      <c r="B213">
        <f>_xlfn.XLOOKUP(Table4[[#This Row],[country]],Table2[country],Table2[country_id],FALSE)</f>
        <v>5</v>
      </c>
      <c r="C213" t="s">
        <v>38</v>
      </c>
      <c r="D213">
        <v>2016</v>
      </c>
      <c r="E213">
        <f>_xlfn.XLOOKUP(Table4[[#This Row],[year]],Table1[year],Table1[year_id])</f>
        <v>7</v>
      </c>
      <c r="F213" t="s">
        <v>29</v>
      </c>
      <c r="G213" t="s">
        <v>28</v>
      </c>
      <c r="H213" cm="1">
        <f t="array" ref="H213">_xlfn.XLOOKUP(Table4[[#This Row],[vehicle_segment]]&amp;Table4[[#This Row],[powertrain_type]],Table3[vehicle_segment]&amp;Table3[powertrain_type],Table3[vehicle_id])</f>
        <v>2</v>
      </c>
      <c r="I213">
        <v>7584</v>
      </c>
      <c r="J213">
        <v>1036073</v>
      </c>
      <c r="K213">
        <v>141283</v>
      </c>
      <c r="L213">
        <v>1184940</v>
      </c>
      <c r="M213">
        <v>0.64</v>
      </c>
      <c r="N213">
        <v>4351</v>
      </c>
      <c r="O213">
        <v>13.4</v>
      </c>
      <c r="P213">
        <v>182</v>
      </c>
      <c r="Q213">
        <v>0.85699999999999998</v>
      </c>
      <c r="R213">
        <v>0.1</v>
      </c>
      <c r="S213">
        <v>45014</v>
      </c>
      <c r="T213">
        <v>81.400000000000006</v>
      </c>
      <c r="U213">
        <v>161.1</v>
      </c>
      <c r="V213">
        <v>4937</v>
      </c>
      <c r="W213">
        <v>52.5</v>
      </c>
      <c r="X213">
        <v>35.53</v>
      </c>
      <c r="Y213">
        <v>0</v>
      </c>
    </row>
    <row r="214" spans="1:25" x14ac:dyDescent="0.25">
      <c r="A214" t="s">
        <v>37</v>
      </c>
      <c r="B214">
        <f>_xlfn.XLOOKUP(Table4[[#This Row],[country]],Table2[country],Table2[country_id],FALSE)</f>
        <v>5</v>
      </c>
      <c r="C214" t="s">
        <v>38</v>
      </c>
      <c r="D214">
        <v>2016</v>
      </c>
      <c r="E214">
        <f>_xlfn.XLOOKUP(Table4[[#This Row],[year]],Table1[year],Table1[year_id])</f>
        <v>7</v>
      </c>
      <c r="F214" t="s">
        <v>30</v>
      </c>
      <c r="G214" t="s">
        <v>28</v>
      </c>
      <c r="H214" cm="1">
        <f t="array" ref="H214">_xlfn.XLOOKUP(Table4[[#This Row],[vehicle_segment]]&amp;Table4[[#This Row],[powertrain_type]],Table3[vehicle_segment]&amp;Table3[powertrain_type],Table3[vehicle_id])</f>
        <v>3</v>
      </c>
      <c r="I214">
        <v>4624</v>
      </c>
      <c r="J214">
        <v>454141</v>
      </c>
      <c r="K214">
        <v>39491</v>
      </c>
      <c r="L214">
        <v>498256</v>
      </c>
      <c r="M214">
        <v>0.93</v>
      </c>
      <c r="N214">
        <v>4351</v>
      </c>
      <c r="O214">
        <v>13.4</v>
      </c>
      <c r="P214">
        <v>182</v>
      </c>
      <c r="Q214">
        <v>0.85699999999999998</v>
      </c>
      <c r="R214">
        <v>0.1</v>
      </c>
      <c r="S214">
        <v>45014</v>
      </c>
      <c r="T214">
        <v>81.400000000000006</v>
      </c>
      <c r="U214">
        <v>161.1</v>
      </c>
      <c r="V214">
        <v>4937</v>
      </c>
      <c r="W214">
        <v>52.5</v>
      </c>
      <c r="X214">
        <v>35.840000000000003</v>
      </c>
      <c r="Y214">
        <v>0</v>
      </c>
    </row>
    <row r="215" spans="1:25" x14ac:dyDescent="0.25">
      <c r="A215" t="s">
        <v>37</v>
      </c>
      <c r="B215">
        <f>_xlfn.XLOOKUP(Table4[[#This Row],[country]],Table2[country],Table2[country_id],FALSE)</f>
        <v>5</v>
      </c>
      <c r="C215" t="s">
        <v>38</v>
      </c>
      <c r="D215">
        <v>2017</v>
      </c>
      <c r="E215">
        <f>_xlfn.XLOOKUP(Table4[[#This Row],[year]],Table1[year],Table1[year_id])</f>
        <v>8</v>
      </c>
      <c r="F215" t="s">
        <v>27</v>
      </c>
      <c r="G215" t="s">
        <v>28</v>
      </c>
      <c r="H215" cm="1">
        <f t="array" ref="H215">_xlfn.XLOOKUP(Table4[[#This Row],[vehicle_segment]]&amp;Table4[[#This Row],[powertrain_type]],Table3[vehicle_segment]&amp;Table3[powertrain_type],Table3[vehicle_id])</f>
        <v>1</v>
      </c>
      <c r="I215">
        <v>1462</v>
      </c>
      <c r="J215">
        <v>182006</v>
      </c>
      <c r="K215">
        <v>121337</v>
      </c>
      <c r="L215">
        <v>304805</v>
      </c>
      <c r="M215">
        <v>0.48</v>
      </c>
      <c r="N215">
        <v>6308</v>
      </c>
      <c r="O215">
        <v>15.4</v>
      </c>
      <c r="P215">
        <v>218</v>
      </c>
      <c r="Q215">
        <v>0.92300000000000004</v>
      </c>
      <c r="R215">
        <v>0.10199999999999999</v>
      </c>
      <c r="S215">
        <v>45186</v>
      </c>
      <c r="T215">
        <v>81.8</v>
      </c>
      <c r="U215">
        <v>164.2</v>
      </c>
      <c r="V215">
        <v>4949</v>
      </c>
      <c r="W215">
        <v>56.5</v>
      </c>
      <c r="X215">
        <v>124.58</v>
      </c>
      <c r="Y215">
        <v>0</v>
      </c>
    </row>
    <row r="216" spans="1:25" x14ac:dyDescent="0.25">
      <c r="A216" t="s">
        <v>37</v>
      </c>
      <c r="B216">
        <f>_xlfn.XLOOKUP(Table4[[#This Row],[country]],Table2[country],Table2[country_id],FALSE)</f>
        <v>5</v>
      </c>
      <c r="C216" t="s">
        <v>38</v>
      </c>
      <c r="D216">
        <v>2017</v>
      </c>
      <c r="E216">
        <f>_xlfn.XLOOKUP(Table4[[#This Row],[year]],Table1[year],Table1[year_id])</f>
        <v>8</v>
      </c>
      <c r="F216" t="s">
        <v>29</v>
      </c>
      <c r="G216" t="s">
        <v>28</v>
      </c>
      <c r="H216" cm="1">
        <f t="array" ref="H216">_xlfn.XLOOKUP(Table4[[#This Row],[vehicle_segment]]&amp;Table4[[#This Row],[powertrain_type]],Table3[vehicle_segment]&amp;Table3[powertrain_type],Table3[vehicle_id])</f>
        <v>2</v>
      </c>
      <c r="I216">
        <v>16281</v>
      </c>
      <c r="J216">
        <v>1031489</v>
      </c>
      <c r="K216">
        <v>140658</v>
      </c>
      <c r="L216">
        <v>1188428</v>
      </c>
      <c r="M216">
        <v>1.37</v>
      </c>
      <c r="N216">
        <v>6308</v>
      </c>
      <c r="O216">
        <v>15.4</v>
      </c>
      <c r="P216">
        <v>218</v>
      </c>
      <c r="Q216">
        <v>0.92300000000000004</v>
      </c>
      <c r="R216">
        <v>0.10199999999999999</v>
      </c>
      <c r="S216">
        <v>45186</v>
      </c>
      <c r="T216">
        <v>81.8</v>
      </c>
      <c r="U216">
        <v>164.2</v>
      </c>
      <c r="V216">
        <v>4949</v>
      </c>
      <c r="W216">
        <v>56.5</v>
      </c>
      <c r="X216">
        <v>114.68</v>
      </c>
      <c r="Y216">
        <v>0</v>
      </c>
    </row>
    <row r="217" spans="1:25" x14ac:dyDescent="0.25">
      <c r="A217" t="s">
        <v>37</v>
      </c>
      <c r="B217">
        <f>_xlfn.XLOOKUP(Table4[[#This Row],[country]],Table2[country],Table2[country_id],FALSE)</f>
        <v>5</v>
      </c>
      <c r="C217" t="s">
        <v>38</v>
      </c>
      <c r="D217">
        <v>2017</v>
      </c>
      <c r="E217">
        <f>_xlfn.XLOOKUP(Table4[[#This Row],[year]],Table1[year],Table1[year_id])</f>
        <v>8</v>
      </c>
      <c r="F217" t="s">
        <v>30</v>
      </c>
      <c r="G217" t="s">
        <v>28</v>
      </c>
      <c r="H217" cm="1">
        <f t="array" ref="H217">_xlfn.XLOOKUP(Table4[[#This Row],[vehicle_segment]]&amp;Table4[[#This Row],[powertrain_type]],Table3[vehicle_segment]&amp;Table3[powertrain_type],Table3[vehicle_id])</f>
        <v>3</v>
      </c>
      <c r="I217">
        <v>10017</v>
      </c>
      <c r="J217">
        <v>454714</v>
      </c>
      <c r="K217">
        <v>39540</v>
      </c>
      <c r="L217">
        <v>504271</v>
      </c>
      <c r="M217">
        <v>1.99</v>
      </c>
      <c r="N217">
        <v>6308</v>
      </c>
      <c r="O217">
        <v>15.4</v>
      </c>
      <c r="P217">
        <v>218</v>
      </c>
      <c r="Q217">
        <v>0.92300000000000004</v>
      </c>
      <c r="R217">
        <v>0.10199999999999999</v>
      </c>
      <c r="S217">
        <v>45186</v>
      </c>
      <c r="T217">
        <v>81.8</v>
      </c>
      <c r="U217">
        <v>164.2</v>
      </c>
      <c r="V217">
        <v>4949</v>
      </c>
      <c r="W217">
        <v>56.5</v>
      </c>
      <c r="X217">
        <v>116.63</v>
      </c>
      <c r="Y217">
        <v>0</v>
      </c>
    </row>
    <row r="218" spans="1:25" x14ac:dyDescent="0.25">
      <c r="A218" t="s">
        <v>37</v>
      </c>
      <c r="B218">
        <f>_xlfn.XLOOKUP(Table4[[#This Row],[country]],Table2[country],Table2[country_id],FALSE)</f>
        <v>5</v>
      </c>
      <c r="C218" t="s">
        <v>38</v>
      </c>
      <c r="D218">
        <v>2018</v>
      </c>
      <c r="E218">
        <f>_xlfn.XLOOKUP(Table4[[#This Row],[year]],Table1[year],Table1[year_id])</f>
        <v>9</v>
      </c>
      <c r="F218" t="s">
        <v>27</v>
      </c>
      <c r="G218" t="s">
        <v>28</v>
      </c>
      <c r="H218" cm="1">
        <f t="array" ref="H218">_xlfn.XLOOKUP(Table4[[#This Row],[vehicle_segment]]&amp;Table4[[#This Row],[powertrain_type]],Table3[vehicle_segment]&amp;Table3[powertrain_type],Table3[vehicle_id])</f>
        <v>1</v>
      </c>
      <c r="I218">
        <v>2209</v>
      </c>
      <c r="J218">
        <v>174768</v>
      </c>
      <c r="K218">
        <v>116512</v>
      </c>
      <c r="L218">
        <v>293489</v>
      </c>
      <c r="M218">
        <v>0.75</v>
      </c>
      <c r="N218">
        <v>9677</v>
      </c>
      <c r="O218">
        <v>17.3</v>
      </c>
      <c r="P218">
        <v>259</v>
      </c>
      <c r="Q218">
        <v>0.997</v>
      </c>
      <c r="R218">
        <v>0.105</v>
      </c>
      <c r="S218">
        <v>45714</v>
      </c>
      <c r="T218">
        <v>81.3</v>
      </c>
      <c r="U218">
        <v>163.4</v>
      </c>
      <c r="V218">
        <v>4920</v>
      </c>
      <c r="W218">
        <v>57.4</v>
      </c>
      <c r="X218">
        <v>51.09</v>
      </c>
      <c r="Y218">
        <v>0</v>
      </c>
    </row>
    <row r="219" spans="1:25" x14ac:dyDescent="0.25">
      <c r="A219" t="s">
        <v>37</v>
      </c>
      <c r="B219">
        <f>_xlfn.XLOOKUP(Table4[[#This Row],[country]],Table2[country],Table2[country_id],FALSE)</f>
        <v>5</v>
      </c>
      <c r="C219" t="s">
        <v>38</v>
      </c>
      <c r="D219">
        <v>2018</v>
      </c>
      <c r="E219">
        <f>_xlfn.XLOOKUP(Table4[[#This Row],[year]],Table1[year],Table1[year_id])</f>
        <v>9</v>
      </c>
      <c r="F219" t="s">
        <v>29</v>
      </c>
      <c r="G219" t="s">
        <v>28</v>
      </c>
      <c r="H219" cm="1">
        <f t="array" ref="H219">_xlfn.XLOOKUP(Table4[[#This Row],[vehicle_segment]]&amp;Table4[[#This Row],[powertrain_type]],Table3[vehicle_segment]&amp;Table3[powertrain_type],Table3[vehicle_id])</f>
        <v>2</v>
      </c>
      <c r="I219">
        <v>25207</v>
      </c>
      <c r="J219">
        <v>1009554</v>
      </c>
      <c r="K219">
        <v>137667</v>
      </c>
      <c r="L219">
        <v>1172428</v>
      </c>
      <c r="M219">
        <v>2.15</v>
      </c>
      <c r="N219">
        <v>9677</v>
      </c>
      <c r="O219">
        <v>17.3</v>
      </c>
      <c r="P219">
        <v>259</v>
      </c>
      <c r="Q219">
        <v>0.997</v>
      </c>
      <c r="R219">
        <v>0.105</v>
      </c>
      <c r="S219">
        <v>45714</v>
      </c>
      <c r="T219">
        <v>81.3</v>
      </c>
      <c r="U219">
        <v>163.4</v>
      </c>
      <c r="V219">
        <v>4920</v>
      </c>
      <c r="W219">
        <v>57.4</v>
      </c>
      <c r="X219">
        <v>54.82</v>
      </c>
      <c r="Y219">
        <v>0</v>
      </c>
    </row>
    <row r="220" spans="1:25" x14ac:dyDescent="0.25">
      <c r="A220" t="s">
        <v>37</v>
      </c>
      <c r="B220">
        <f>_xlfn.XLOOKUP(Table4[[#This Row],[country]],Table2[country],Table2[country_id],FALSE)</f>
        <v>5</v>
      </c>
      <c r="C220" t="s">
        <v>38</v>
      </c>
      <c r="D220">
        <v>2018</v>
      </c>
      <c r="E220">
        <f>_xlfn.XLOOKUP(Table4[[#This Row],[year]],Table1[year],Table1[year_id])</f>
        <v>9</v>
      </c>
      <c r="F220" t="s">
        <v>30</v>
      </c>
      <c r="G220" t="s">
        <v>28</v>
      </c>
      <c r="H220" cm="1">
        <f t="array" ref="H220">_xlfn.XLOOKUP(Table4[[#This Row],[vehicle_segment]]&amp;Table4[[#This Row],[powertrain_type]],Table3[vehicle_segment]&amp;Table3[powertrain_type],Table3[vehicle_id])</f>
        <v>3</v>
      </c>
      <c r="I220">
        <v>15293</v>
      </c>
      <c r="J220">
        <v>437236</v>
      </c>
      <c r="K220">
        <v>38020</v>
      </c>
      <c r="L220">
        <v>490549</v>
      </c>
      <c r="M220">
        <v>3.12</v>
      </c>
      <c r="N220">
        <v>9677</v>
      </c>
      <c r="O220">
        <v>17.3</v>
      </c>
      <c r="P220">
        <v>259</v>
      </c>
      <c r="Q220">
        <v>0.997</v>
      </c>
      <c r="R220">
        <v>0.105</v>
      </c>
      <c r="S220">
        <v>45714</v>
      </c>
      <c r="T220">
        <v>81.3</v>
      </c>
      <c r="U220">
        <v>163.4</v>
      </c>
      <c r="V220">
        <v>4920</v>
      </c>
      <c r="W220">
        <v>57.4</v>
      </c>
      <c r="X220">
        <v>52.67</v>
      </c>
      <c r="Y220">
        <v>0</v>
      </c>
    </row>
    <row r="221" spans="1:25" x14ac:dyDescent="0.25">
      <c r="A221" t="s">
        <v>37</v>
      </c>
      <c r="B221">
        <f>_xlfn.XLOOKUP(Table4[[#This Row],[country]],Table2[country],Table2[country_id],FALSE)</f>
        <v>5</v>
      </c>
      <c r="C221" t="s">
        <v>38</v>
      </c>
      <c r="D221">
        <v>2019</v>
      </c>
      <c r="E221">
        <f>_xlfn.XLOOKUP(Table4[[#This Row],[year]],Table1[year],Table1[year_id])</f>
        <v>10</v>
      </c>
      <c r="F221" t="s">
        <v>27</v>
      </c>
      <c r="G221" t="s">
        <v>28</v>
      </c>
      <c r="H221" cm="1">
        <f t="array" ref="H221">_xlfn.XLOOKUP(Table4[[#This Row],[vehicle_segment]]&amp;Table4[[#This Row],[powertrain_type]],Table3[vehicle_segment]&amp;Table3[powertrain_type],Table3[vehicle_id])</f>
        <v>1</v>
      </c>
      <c r="I221">
        <v>2823</v>
      </c>
      <c r="J221">
        <v>172356</v>
      </c>
      <c r="K221">
        <v>114904</v>
      </c>
      <c r="L221">
        <v>290083</v>
      </c>
      <c r="M221">
        <v>0.97</v>
      </c>
      <c r="N221">
        <v>12901</v>
      </c>
      <c r="O221">
        <v>17.7</v>
      </c>
      <c r="P221">
        <v>300</v>
      </c>
      <c r="Q221">
        <v>1.103</v>
      </c>
      <c r="R221">
        <v>0.107</v>
      </c>
      <c r="S221">
        <v>45302</v>
      </c>
      <c r="T221">
        <v>81.900000000000006</v>
      </c>
      <c r="U221">
        <v>154.4</v>
      </c>
      <c r="V221">
        <v>4987</v>
      </c>
      <c r="W221">
        <v>59.1</v>
      </c>
      <c r="X221">
        <v>27.8</v>
      </c>
      <c r="Y221">
        <v>0</v>
      </c>
    </row>
    <row r="222" spans="1:25" x14ac:dyDescent="0.25">
      <c r="A222" t="s">
        <v>37</v>
      </c>
      <c r="B222">
        <f>_xlfn.XLOOKUP(Table4[[#This Row],[country]],Table2[country],Table2[country_id],FALSE)</f>
        <v>5</v>
      </c>
      <c r="C222" t="s">
        <v>38</v>
      </c>
      <c r="D222">
        <v>2019</v>
      </c>
      <c r="E222">
        <f>_xlfn.XLOOKUP(Table4[[#This Row],[year]],Table1[year],Table1[year_id])</f>
        <v>10</v>
      </c>
      <c r="F222" t="s">
        <v>29</v>
      </c>
      <c r="G222" t="s">
        <v>28</v>
      </c>
      <c r="H222" cm="1">
        <f t="array" ref="H222">_xlfn.XLOOKUP(Table4[[#This Row],[vehicle_segment]]&amp;Table4[[#This Row],[powertrain_type]],Table3[vehicle_segment]&amp;Table3[powertrain_type],Table3[vehicle_id])</f>
        <v>2</v>
      </c>
      <c r="I222">
        <v>32758</v>
      </c>
      <c r="J222">
        <v>1008126</v>
      </c>
      <c r="K222">
        <v>137472</v>
      </c>
      <c r="L222">
        <v>1178356</v>
      </c>
      <c r="M222">
        <v>2.78</v>
      </c>
      <c r="N222">
        <v>12901</v>
      </c>
      <c r="O222">
        <v>17.7</v>
      </c>
      <c r="P222">
        <v>300</v>
      </c>
      <c r="Q222">
        <v>1.103</v>
      </c>
      <c r="R222">
        <v>0.107</v>
      </c>
      <c r="S222">
        <v>45302</v>
      </c>
      <c r="T222">
        <v>81.900000000000006</v>
      </c>
      <c r="U222">
        <v>154.4</v>
      </c>
      <c r="V222">
        <v>4987</v>
      </c>
      <c r="W222">
        <v>59.1</v>
      </c>
      <c r="X222">
        <v>29.96</v>
      </c>
      <c r="Y222">
        <v>0</v>
      </c>
    </row>
    <row r="223" spans="1:25" x14ac:dyDescent="0.25">
      <c r="A223" t="s">
        <v>37</v>
      </c>
      <c r="B223">
        <f>_xlfn.XLOOKUP(Table4[[#This Row],[country]],Table2[country],Table2[country_id],FALSE)</f>
        <v>5</v>
      </c>
      <c r="C223" t="s">
        <v>38</v>
      </c>
      <c r="D223">
        <v>2019</v>
      </c>
      <c r="E223">
        <f>_xlfn.XLOOKUP(Table4[[#This Row],[year]],Table1[year],Table1[year_id])</f>
        <v>10</v>
      </c>
      <c r="F223" t="s">
        <v>30</v>
      </c>
      <c r="G223" t="s">
        <v>28</v>
      </c>
      <c r="H223" cm="1">
        <f t="array" ref="H223">_xlfn.XLOOKUP(Table4[[#This Row],[vehicle_segment]]&amp;Table4[[#This Row],[powertrain_type]],Table3[vehicle_segment]&amp;Table3[powertrain_type],Table3[vehicle_id])</f>
        <v>3</v>
      </c>
      <c r="I223">
        <v>19695</v>
      </c>
      <c r="J223">
        <v>431377</v>
      </c>
      <c r="K223">
        <v>37511</v>
      </c>
      <c r="L223">
        <v>488583</v>
      </c>
      <c r="M223">
        <v>4.03</v>
      </c>
      <c r="N223">
        <v>12901</v>
      </c>
      <c r="O223">
        <v>17.7</v>
      </c>
      <c r="P223">
        <v>300</v>
      </c>
      <c r="Q223">
        <v>1.103</v>
      </c>
      <c r="R223">
        <v>0.107</v>
      </c>
      <c r="S223">
        <v>45302</v>
      </c>
      <c r="T223">
        <v>81.900000000000006</v>
      </c>
      <c r="U223">
        <v>154.4</v>
      </c>
      <c r="V223">
        <v>4987</v>
      </c>
      <c r="W223">
        <v>59.1</v>
      </c>
      <c r="X223">
        <v>28.78</v>
      </c>
      <c r="Y223">
        <v>0</v>
      </c>
    </row>
    <row r="224" spans="1:25" x14ac:dyDescent="0.25">
      <c r="A224" t="s">
        <v>37</v>
      </c>
      <c r="B224">
        <f>_xlfn.XLOOKUP(Table4[[#This Row],[country]],Table2[country],Table2[country_id],FALSE)</f>
        <v>5</v>
      </c>
      <c r="C224" t="s">
        <v>38</v>
      </c>
      <c r="D224">
        <v>2020</v>
      </c>
      <c r="E224">
        <f>_xlfn.XLOOKUP(Table4[[#This Row],[year]],Table1[year],Table1[year_id])</f>
        <v>11</v>
      </c>
      <c r="F224" t="s">
        <v>27</v>
      </c>
      <c r="G224" t="s">
        <v>28</v>
      </c>
      <c r="H224" cm="1">
        <f t="array" ref="H224">_xlfn.XLOOKUP(Table4[[#This Row],[vehicle_segment]]&amp;Table4[[#This Row],[powertrain_type]],Table3[vehicle_segment]&amp;Table3[powertrain_type],Table3[vehicle_id])</f>
        <v>1</v>
      </c>
      <c r="I224">
        <v>2905</v>
      </c>
      <c r="J224">
        <v>139351</v>
      </c>
      <c r="K224">
        <v>92901</v>
      </c>
      <c r="L224">
        <v>235157</v>
      </c>
      <c r="M224">
        <v>1.24</v>
      </c>
      <c r="N224">
        <v>16296</v>
      </c>
      <c r="O224">
        <v>21.3</v>
      </c>
      <c r="P224">
        <v>332</v>
      </c>
      <c r="Q224">
        <v>1.2629999999999999</v>
      </c>
      <c r="R224">
        <v>0.109</v>
      </c>
      <c r="S224">
        <v>48904</v>
      </c>
      <c r="T224">
        <v>81.7</v>
      </c>
      <c r="U224">
        <v>146.5</v>
      </c>
      <c r="V224">
        <v>4968</v>
      </c>
      <c r="W224">
        <v>62.7</v>
      </c>
      <c r="X224">
        <v>2.9</v>
      </c>
      <c r="Y224">
        <v>0</v>
      </c>
    </row>
    <row r="225" spans="1:25" x14ac:dyDescent="0.25">
      <c r="A225" t="s">
        <v>37</v>
      </c>
      <c r="B225">
        <f>_xlfn.XLOOKUP(Table4[[#This Row],[country]],Table2[country],Table2[country_id],FALSE)</f>
        <v>5</v>
      </c>
      <c r="C225" t="s">
        <v>38</v>
      </c>
      <c r="D225">
        <v>2020</v>
      </c>
      <c r="E225">
        <f>_xlfn.XLOOKUP(Table4[[#This Row],[year]],Table1[year],Table1[year_id])</f>
        <v>11</v>
      </c>
      <c r="F225" t="s">
        <v>29</v>
      </c>
      <c r="G225" t="s">
        <v>28</v>
      </c>
      <c r="H225" cm="1">
        <f t="array" ref="H225">_xlfn.XLOOKUP(Table4[[#This Row],[vehicle_segment]]&amp;Table4[[#This Row],[powertrain_type]],Table3[vehicle_segment]&amp;Table3[powertrain_type],Table3[vehicle_id])</f>
        <v>2</v>
      </c>
      <c r="I225">
        <v>33098</v>
      </c>
      <c r="J225">
        <v>795975</v>
      </c>
      <c r="K225">
        <v>108542</v>
      </c>
      <c r="L225">
        <v>937615</v>
      </c>
      <c r="M225">
        <v>3.53</v>
      </c>
      <c r="N225">
        <v>16296</v>
      </c>
      <c r="O225">
        <v>21.3</v>
      </c>
      <c r="P225">
        <v>332</v>
      </c>
      <c r="Q225">
        <v>1.2629999999999999</v>
      </c>
      <c r="R225">
        <v>0.109</v>
      </c>
      <c r="S225">
        <v>48904</v>
      </c>
      <c r="T225">
        <v>81.7</v>
      </c>
      <c r="U225">
        <v>146.5</v>
      </c>
      <c r="V225">
        <v>4968</v>
      </c>
      <c r="W225">
        <v>62.7</v>
      </c>
      <c r="X225">
        <v>1.04</v>
      </c>
      <c r="Y225">
        <v>0</v>
      </c>
    </row>
    <row r="226" spans="1:25" x14ac:dyDescent="0.25">
      <c r="A226" t="s">
        <v>37</v>
      </c>
      <c r="B226">
        <f>_xlfn.XLOOKUP(Table4[[#This Row],[country]],Table2[country],Table2[country_id],FALSE)</f>
        <v>5</v>
      </c>
      <c r="C226" t="s">
        <v>38</v>
      </c>
      <c r="D226">
        <v>2020</v>
      </c>
      <c r="E226">
        <f>_xlfn.XLOOKUP(Table4[[#This Row],[year]],Table1[year],Table1[year_id])</f>
        <v>11</v>
      </c>
      <c r="F226" t="s">
        <v>30</v>
      </c>
      <c r="G226" t="s">
        <v>28</v>
      </c>
      <c r="H226" cm="1">
        <f t="array" ref="H226">_xlfn.XLOOKUP(Table4[[#This Row],[vehicle_segment]]&amp;Table4[[#This Row],[powertrain_type]],Table3[vehicle_segment]&amp;Table3[powertrain_type],Table3[vehicle_id])</f>
        <v>3</v>
      </c>
      <c r="I226">
        <v>20097</v>
      </c>
      <c r="J226">
        <v>342741</v>
      </c>
      <c r="K226">
        <v>29804</v>
      </c>
      <c r="L226">
        <v>392642</v>
      </c>
      <c r="M226">
        <v>5.12</v>
      </c>
      <c r="N226">
        <v>16296</v>
      </c>
      <c r="O226">
        <v>21.3</v>
      </c>
      <c r="P226">
        <v>332</v>
      </c>
      <c r="Q226">
        <v>1.2629999999999999</v>
      </c>
      <c r="R226">
        <v>0.109</v>
      </c>
      <c r="S226">
        <v>48904</v>
      </c>
      <c r="T226">
        <v>81.7</v>
      </c>
      <c r="U226">
        <v>146.5</v>
      </c>
      <c r="V226">
        <v>4968</v>
      </c>
      <c r="W226">
        <v>62.7</v>
      </c>
      <c r="X226">
        <v>2.04</v>
      </c>
      <c r="Y226">
        <v>0</v>
      </c>
    </row>
    <row r="227" spans="1:25" x14ac:dyDescent="0.25">
      <c r="A227" t="s">
        <v>37</v>
      </c>
      <c r="B227">
        <f>_xlfn.XLOOKUP(Table4[[#This Row],[country]],Table2[country],Table2[country_id],FALSE)</f>
        <v>5</v>
      </c>
      <c r="C227" t="s">
        <v>38</v>
      </c>
      <c r="D227">
        <v>2021</v>
      </c>
      <c r="E227">
        <f>_xlfn.XLOOKUP(Table4[[#This Row],[year]],Table1[year],Table1[year_id])</f>
        <v>12</v>
      </c>
      <c r="F227" t="s">
        <v>27</v>
      </c>
      <c r="G227" t="s">
        <v>28</v>
      </c>
      <c r="H227" cm="1">
        <f t="array" ref="H227">_xlfn.XLOOKUP(Table4[[#This Row],[vehicle_segment]]&amp;Table4[[#This Row],[powertrain_type]],Table3[vehicle_segment]&amp;Table3[powertrain_type],Table3[vehicle_id])</f>
        <v>1</v>
      </c>
      <c r="I227">
        <v>4791</v>
      </c>
      <c r="J227">
        <v>147534</v>
      </c>
      <c r="K227">
        <v>98356</v>
      </c>
      <c r="L227">
        <v>250681</v>
      </c>
      <c r="M227">
        <v>1.91</v>
      </c>
      <c r="N227">
        <v>19547</v>
      </c>
      <c r="O227">
        <v>19.3</v>
      </c>
      <c r="P227">
        <v>369</v>
      </c>
      <c r="Q227">
        <v>1.45</v>
      </c>
      <c r="R227">
        <v>0.113</v>
      </c>
      <c r="S227">
        <v>52907</v>
      </c>
      <c r="T227">
        <v>81.8</v>
      </c>
      <c r="U227">
        <v>144.5</v>
      </c>
      <c r="V227">
        <v>5000</v>
      </c>
      <c r="W227">
        <v>64.5</v>
      </c>
      <c r="X227">
        <v>64.92</v>
      </c>
      <c r="Y227">
        <v>0</v>
      </c>
    </row>
    <row r="228" spans="1:25" x14ac:dyDescent="0.25">
      <c r="A228" t="s">
        <v>37</v>
      </c>
      <c r="B228">
        <f>_xlfn.XLOOKUP(Table4[[#This Row],[country]],Table2[country],Table2[country_id],FALSE)</f>
        <v>5</v>
      </c>
      <c r="C228" t="s">
        <v>38</v>
      </c>
      <c r="D228">
        <v>2021</v>
      </c>
      <c r="E228">
        <f>_xlfn.XLOOKUP(Table4[[#This Row],[year]],Table1[year],Table1[year_id])</f>
        <v>12</v>
      </c>
      <c r="F228" t="s">
        <v>29</v>
      </c>
      <c r="G228" t="s">
        <v>28</v>
      </c>
      <c r="H228" cm="1">
        <f t="array" ref="H228">_xlfn.XLOOKUP(Table4[[#This Row],[vehicle_segment]]&amp;Table4[[#This Row],[powertrain_type]],Table3[vehicle_segment]&amp;Table3[powertrain_type],Table3[vehicle_id])</f>
        <v>2</v>
      </c>
      <c r="I228">
        <v>54112</v>
      </c>
      <c r="J228">
        <v>824512</v>
      </c>
      <c r="K228">
        <v>112434</v>
      </c>
      <c r="L228">
        <v>991058</v>
      </c>
      <c r="M228">
        <v>5.46</v>
      </c>
      <c r="N228">
        <v>19547</v>
      </c>
      <c r="O228">
        <v>19.3</v>
      </c>
      <c r="P228">
        <v>369</v>
      </c>
      <c r="Q228">
        <v>1.45</v>
      </c>
      <c r="R228">
        <v>0.113</v>
      </c>
      <c r="S228">
        <v>52907</v>
      </c>
      <c r="T228">
        <v>81.8</v>
      </c>
      <c r="U228">
        <v>144.5</v>
      </c>
      <c r="V228">
        <v>5000</v>
      </c>
      <c r="W228">
        <v>64.5</v>
      </c>
      <c r="X228">
        <v>63.49</v>
      </c>
      <c r="Y228">
        <v>0</v>
      </c>
    </row>
    <row r="229" spans="1:25" x14ac:dyDescent="0.25">
      <c r="A229" t="s">
        <v>37</v>
      </c>
      <c r="B229">
        <f>_xlfn.XLOOKUP(Table4[[#This Row],[country]],Table2[country],Table2[country_id],FALSE)</f>
        <v>5</v>
      </c>
      <c r="C229" t="s">
        <v>38</v>
      </c>
      <c r="D229">
        <v>2021</v>
      </c>
      <c r="E229">
        <f>_xlfn.XLOOKUP(Table4[[#This Row],[year]],Table1[year],Table1[year_id])</f>
        <v>12</v>
      </c>
      <c r="F229" t="s">
        <v>30</v>
      </c>
      <c r="G229" t="s">
        <v>28</v>
      </c>
      <c r="H229" cm="1">
        <f t="array" ref="H229">_xlfn.XLOOKUP(Table4[[#This Row],[vehicle_segment]]&amp;Table4[[#This Row],[powertrain_type]],Table3[vehicle_segment]&amp;Table3[powertrain_type],Table3[vehicle_id])</f>
        <v>3</v>
      </c>
      <c r="I229">
        <v>33122</v>
      </c>
      <c r="J229">
        <v>354428</v>
      </c>
      <c r="K229">
        <v>30820</v>
      </c>
      <c r="L229">
        <v>418370</v>
      </c>
      <c r="M229">
        <v>7.92</v>
      </c>
      <c r="N229">
        <v>19547</v>
      </c>
      <c r="O229">
        <v>19.3</v>
      </c>
      <c r="P229">
        <v>369</v>
      </c>
      <c r="Q229">
        <v>1.45</v>
      </c>
      <c r="R229">
        <v>0.113</v>
      </c>
      <c r="S229">
        <v>52907</v>
      </c>
      <c r="T229">
        <v>81.8</v>
      </c>
      <c r="U229">
        <v>144.5</v>
      </c>
      <c r="V229">
        <v>5000</v>
      </c>
      <c r="W229">
        <v>64.5</v>
      </c>
      <c r="X229">
        <v>64.81</v>
      </c>
      <c r="Y229">
        <v>0</v>
      </c>
    </row>
    <row r="230" spans="1:25" x14ac:dyDescent="0.25">
      <c r="A230" t="s">
        <v>37</v>
      </c>
      <c r="B230">
        <f>_xlfn.XLOOKUP(Table4[[#This Row],[country]],Table2[country],Table2[country_id],FALSE)</f>
        <v>5</v>
      </c>
      <c r="C230" t="s">
        <v>38</v>
      </c>
      <c r="D230">
        <v>2022</v>
      </c>
      <c r="E230">
        <f>_xlfn.XLOOKUP(Table4[[#This Row],[year]],Table1[year],Table1[year_id])</f>
        <v>13</v>
      </c>
      <c r="F230" t="s">
        <v>27</v>
      </c>
      <c r="G230" t="s">
        <v>28</v>
      </c>
      <c r="H230" cm="1">
        <f t="array" ref="H230">_xlfn.XLOOKUP(Table4[[#This Row],[vehicle_segment]]&amp;Table4[[#This Row],[powertrain_type]],Table3[vehicle_segment]&amp;Table3[powertrain_type],Table3[vehicle_id])</f>
        <v>1</v>
      </c>
      <c r="I230">
        <v>6747</v>
      </c>
      <c r="J230">
        <v>132991</v>
      </c>
      <c r="K230">
        <v>88661</v>
      </c>
      <c r="L230">
        <v>228399</v>
      </c>
      <c r="M230">
        <v>2.95</v>
      </c>
      <c r="N230">
        <v>22584</v>
      </c>
      <c r="O230">
        <v>21.5</v>
      </c>
      <c r="P230">
        <v>404</v>
      </c>
      <c r="Q230">
        <v>1.5369999999999999</v>
      </c>
      <c r="R230">
        <v>0.11899999999999999</v>
      </c>
      <c r="S230">
        <v>55000</v>
      </c>
      <c r="T230">
        <v>82.3</v>
      </c>
      <c r="U230">
        <v>147.1</v>
      </c>
      <c r="V230">
        <v>4982</v>
      </c>
      <c r="W230">
        <v>68.400000000000006</v>
      </c>
      <c r="X230">
        <v>40.83</v>
      </c>
      <c r="Y230">
        <v>0</v>
      </c>
    </row>
    <row r="231" spans="1:25" x14ac:dyDescent="0.25">
      <c r="A231" t="s">
        <v>37</v>
      </c>
      <c r="B231">
        <f>_xlfn.XLOOKUP(Table4[[#This Row],[country]],Table2[country],Table2[country_id],FALSE)</f>
        <v>5</v>
      </c>
      <c r="C231" t="s">
        <v>38</v>
      </c>
      <c r="D231">
        <v>2022</v>
      </c>
      <c r="E231">
        <f>_xlfn.XLOOKUP(Table4[[#This Row],[year]],Table1[year],Table1[year_id])</f>
        <v>13</v>
      </c>
      <c r="F231" t="s">
        <v>29</v>
      </c>
      <c r="G231" t="s">
        <v>28</v>
      </c>
      <c r="H231" cm="1">
        <f t="array" ref="H231">_xlfn.XLOOKUP(Table4[[#This Row],[vehicle_segment]]&amp;Table4[[#This Row],[powertrain_type]],Table3[vehicle_segment]&amp;Table3[powertrain_type],Table3[vehicle_id])</f>
        <v>2</v>
      </c>
      <c r="I231">
        <v>77657</v>
      </c>
      <c r="J231">
        <v>741360</v>
      </c>
      <c r="K231">
        <v>101094</v>
      </c>
      <c r="L231">
        <v>920111</v>
      </c>
      <c r="M231">
        <v>8.44</v>
      </c>
      <c r="N231">
        <v>22584</v>
      </c>
      <c r="O231">
        <v>21.5</v>
      </c>
      <c r="P231">
        <v>404</v>
      </c>
      <c r="Q231">
        <v>1.5369999999999999</v>
      </c>
      <c r="R231">
        <v>0.11899999999999999</v>
      </c>
      <c r="S231">
        <v>55000</v>
      </c>
      <c r="T231">
        <v>82.3</v>
      </c>
      <c r="U231">
        <v>147.1</v>
      </c>
      <c r="V231">
        <v>4982</v>
      </c>
      <c r="W231">
        <v>68.400000000000006</v>
      </c>
      <c r="X231">
        <v>43.51</v>
      </c>
      <c r="Y231">
        <v>0</v>
      </c>
    </row>
    <row r="232" spans="1:25" x14ac:dyDescent="0.25">
      <c r="A232" t="s">
        <v>37</v>
      </c>
      <c r="B232">
        <f>_xlfn.XLOOKUP(Table4[[#This Row],[country]],Table2[country],Table2[country_id],FALSE)</f>
        <v>5</v>
      </c>
      <c r="C232" t="s">
        <v>38</v>
      </c>
      <c r="D232">
        <v>2022</v>
      </c>
      <c r="E232">
        <f>_xlfn.XLOOKUP(Table4[[#This Row],[year]],Table1[year],Table1[year_id])</f>
        <v>13</v>
      </c>
      <c r="F232" t="s">
        <v>30</v>
      </c>
      <c r="G232" t="s">
        <v>28</v>
      </c>
      <c r="H232" cm="1">
        <f t="array" ref="H232">_xlfn.XLOOKUP(Table4[[#This Row],[vehicle_segment]]&amp;Table4[[#This Row],[powertrain_type]],Table3[vehicle_segment]&amp;Table3[powertrain_type],Table3[vehicle_id])</f>
        <v>3</v>
      </c>
      <c r="I232">
        <v>47462</v>
      </c>
      <c r="J232">
        <v>313132</v>
      </c>
      <c r="K232">
        <v>27229</v>
      </c>
      <c r="L232">
        <v>387823</v>
      </c>
      <c r="M232">
        <v>12.24</v>
      </c>
      <c r="N232">
        <v>22584</v>
      </c>
      <c r="O232">
        <v>21.5</v>
      </c>
      <c r="P232">
        <v>404</v>
      </c>
      <c r="Q232">
        <v>1.5369999999999999</v>
      </c>
      <c r="R232">
        <v>0.11899999999999999</v>
      </c>
      <c r="S232">
        <v>55000</v>
      </c>
      <c r="T232">
        <v>82.3</v>
      </c>
      <c r="U232">
        <v>147.1</v>
      </c>
      <c r="V232">
        <v>4982</v>
      </c>
      <c r="W232">
        <v>68.400000000000006</v>
      </c>
      <c r="X232">
        <v>43.29</v>
      </c>
      <c r="Y232">
        <v>0</v>
      </c>
    </row>
    <row r="233" spans="1:25" x14ac:dyDescent="0.25">
      <c r="A233" t="s">
        <v>37</v>
      </c>
      <c r="B233">
        <f>_xlfn.XLOOKUP(Table4[[#This Row],[country]],Table2[country],Table2[country_id],FALSE)</f>
        <v>5</v>
      </c>
      <c r="C233" t="s">
        <v>38</v>
      </c>
      <c r="D233">
        <v>2023</v>
      </c>
      <c r="E233">
        <f>_xlfn.XLOOKUP(Table4[[#This Row],[year]],Table1[year],Table1[year_id])</f>
        <v>14</v>
      </c>
      <c r="F233" t="s">
        <v>27</v>
      </c>
      <c r="G233" t="s">
        <v>28</v>
      </c>
      <c r="H233" cm="1">
        <f t="array" ref="H233">_xlfn.XLOOKUP(Table4[[#This Row],[vehicle_segment]]&amp;Table4[[#This Row],[powertrain_type]],Table3[vehicle_segment]&amp;Table3[powertrain_type],Table3[vehicle_id])</f>
        <v>1</v>
      </c>
      <c r="I233">
        <v>9988</v>
      </c>
      <c r="J233">
        <v>148267</v>
      </c>
      <c r="K233">
        <v>98845</v>
      </c>
      <c r="L233">
        <v>257100</v>
      </c>
      <c r="M233">
        <v>3.88</v>
      </c>
      <c r="N233">
        <v>27273</v>
      </c>
      <c r="O233">
        <v>25.6</v>
      </c>
      <c r="P233">
        <v>429</v>
      </c>
      <c r="Q233">
        <v>1.52</v>
      </c>
      <c r="R233">
        <v>0.123</v>
      </c>
      <c r="S233">
        <v>53010</v>
      </c>
      <c r="T233">
        <v>82.1</v>
      </c>
      <c r="U233">
        <v>147.6</v>
      </c>
      <c r="V233">
        <v>5040</v>
      </c>
      <c r="W233">
        <v>72</v>
      </c>
      <c r="X233">
        <v>48.04</v>
      </c>
      <c r="Y233">
        <v>0</v>
      </c>
    </row>
    <row r="234" spans="1:25" x14ac:dyDescent="0.25">
      <c r="A234" t="s">
        <v>37</v>
      </c>
      <c r="B234">
        <f>_xlfn.XLOOKUP(Table4[[#This Row],[country]],Table2[country],Table2[country_id],FALSE)</f>
        <v>5</v>
      </c>
      <c r="C234" t="s">
        <v>38</v>
      </c>
      <c r="D234">
        <v>2023</v>
      </c>
      <c r="E234">
        <f>_xlfn.XLOOKUP(Table4[[#This Row],[year]],Table1[year],Table1[year_id])</f>
        <v>14</v>
      </c>
      <c r="F234" t="s">
        <v>29</v>
      </c>
      <c r="G234" t="s">
        <v>28</v>
      </c>
      <c r="H234" cm="1">
        <f t="array" ref="H234">_xlfn.XLOOKUP(Table4[[#This Row],[vehicle_segment]]&amp;Table4[[#This Row],[powertrain_type]],Table3[vehicle_segment]&amp;Table3[powertrain_type],Table3[vehicle_id])</f>
        <v>2</v>
      </c>
      <c r="I234">
        <v>112683</v>
      </c>
      <c r="J234">
        <v>794185</v>
      </c>
      <c r="K234">
        <v>108298</v>
      </c>
      <c r="L234">
        <v>1015166</v>
      </c>
      <c r="M234">
        <v>11.1</v>
      </c>
      <c r="N234">
        <v>27273</v>
      </c>
      <c r="O234">
        <v>25.6</v>
      </c>
      <c r="P234">
        <v>429</v>
      </c>
      <c r="Q234">
        <v>1.52</v>
      </c>
      <c r="R234">
        <v>0.123</v>
      </c>
      <c r="S234">
        <v>53010</v>
      </c>
      <c r="T234">
        <v>82.1</v>
      </c>
      <c r="U234">
        <v>147.6</v>
      </c>
      <c r="V234">
        <v>5040</v>
      </c>
      <c r="W234">
        <v>72</v>
      </c>
      <c r="X234">
        <v>45.1</v>
      </c>
      <c r="Y234">
        <v>0</v>
      </c>
    </row>
    <row r="235" spans="1:25" x14ac:dyDescent="0.25">
      <c r="A235" t="s">
        <v>37</v>
      </c>
      <c r="B235">
        <f>_xlfn.XLOOKUP(Table4[[#This Row],[country]],Table2[country],Table2[country_id],FALSE)</f>
        <v>5</v>
      </c>
      <c r="C235" t="s">
        <v>38</v>
      </c>
      <c r="D235">
        <v>2023</v>
      </c>
      <c r="E235">
        <f>_xlfn.XLOOKUP(Table4[[#This Row],[year]],Table1[year],Table1[year_id])</f>
        <v>14</v>
      </c>
      <c r="F235" t="s">
        <v>30</v>
      </c>
      <c r="G235" t="s">
        <v>28</v>
      </c>
      <c r="H235" cm="1">
        <f t="array" ref="H235">_xlfn.XLOOKUP(Table4[[#This Row],[vehicle_segment]]&amp;Table4[[#This Row],[powertrain_type]],Table3[vehicle_segment]&amp;Table3[powertrain_type],Table3[vehicle_id])</f>
        <v>3</v>
      </c>
      <c r="I235">
        <v>68069</v>
      </c>
      <c r="J235">
        <v>326463</v>
      </c>
      <c r="K235">
        <v>28388</v>
      </c>
      <c r="L235">
        <v>422920</v>
      </c>
      <c r="M235">
        <v>16.100000000000001</v>
      </c>
      <c r="N235">
        <v>27273</v>
      </c>
      <c r="O235">
        <v>25.6</v>
      </c>
      <c r="P235">
        <v>429</v>
      </c>
      <c r="Q235">
        <v>1.52</v>
      </c>
      <c r="R235">
        <v>0.123</v>
      </c>
      <c r="S235">
        <v>53010</v>
      </c>
      <c r="T235">
        <v>82.1</v>
      </c>
      <c r="U235">
        <v>147.6</v>
      </c>
      <c r="V235">
        <v>5040</v>
      </c>
      <c r="W235">
        <v>72</v>
      </c>
      <c r="X235">
        <v>43.42</v>
      </c>
      <c r="Y235">
        <v>0</v>
      </c>
    </row>
    <row r="236" spans="1:25" x14ac:dyDescent="0.25">
      <c r="A236" t="s">
        <v>37</v>
      </c>
      <c r="B236">
        <f>_xlfn.XLOOKUP(Table4[[#This Row],[country]],Table2[country],Table2[country_id],FALSE)</f>
        <v>5</v>
      </c>
      <c r="C236" t="s">
        <v>38</v>
      </c>
      <c r="D236">
        <v>2024</v>
      </c>
      <c r="E236">
        <f>_xlfn.XLOOKUP(Table4[[#This Row],[year]],Table1[year],Table1[year_id])</f>
        <v>15</v>
      </c>
      <c r="F236" t="s">
        <v>27</v>
      </c>
      <c r="G236" t="s">
        <v>28</v>
      </c>
      <c r="H236" cm="1">
        <f t="array" ref="H236">_xlfn.XLOOKUP(Table4[[#This Row],[vehicle_segment]]&amp;Table4[[#This Row],[powertrain_type]],Table3[vehicle_segment]&amp;Table3[powertrain_type],Table3[vehicle_id])</f>
        <v>1</v>
      </c>
      <c r="I236">
        <v>12128</v>
      </c>
      <c r="J236">
        <v>148222</v>
      </c>
      <c r="K236">
        <v>98814</v>
      </c>
      <c r="L236">
        <v>259164</v>
      </c>
      <c r="M236">
        <v>4.68</v>
      </c>
      <c r="N236">
        <v>39111</v>
      </c>
      <c r="O236">
        <v>26</v>
      </c>
      <c r="P236">
        <v>449</v>
      </c>
      <c r="Q236">
        <v>1.413</v>
      </c>
      <c r="R236">
        <v>0.126</v>
      </c>
      <c r="S236">
        <v>53364</v>
      </c>
      <c r="T236">
        <v>81.900000000000006</v>
      </c>
      <c r="U236">
        <v>142.5</v>
      </c>
      <c r="V236">
        <v>5099</v>
      </c>
      <c r="W236">
        <v>75.5</v>
      </c>
      <c r="X236">
        <v>21.43</v>
      </c>
      <c r="Y236">
        <v>0</v>
      </c>
    </row>
    <row r="237" spans="1:25" x14ac:dyDescent="0.25">
      <c r="A237" t="s">
        <v>37</v>
      </c>
      <c r="B237">
        <f>_xlfn.XLOOKUP(Table4[[#This Row],[country]],Table2[country],Table2[country_id],FALSE)</f>
        <v>5</v>
      </c>
      <c r="C237" t="s">
        <v>38</v>
      </c>
      <c r="D237">
        <v>2024</v>
      </c>
      <c r="E237">
        <f>_xlfn.XLOOKUP(Table4[[#This Row],[year]],Table1[year],Table1[year_id])</f>
        <v>15</v>
      </c>
      <c r="F237" t="s">
        <v>29</v>
      </c>
      <c r="G237" t="s">
        <v>28</v>
      </c>
      <c r="H237" cm="1">
        <f t="array" ref="H237">_xlfn.XLOOKUP(Table4[[#This Row],[vehicle_segment]]&amp;Table4[[#This Row],[powertrain_type]],Table3[vehicle_segment]&amp;Table3[powertrain_type],Table3[vehicle_id])</f>
        <v>2</v>
      </c>
      <c r="I237">
        <v>139699</v>
      </c>
      <c r="J237">
        <v>796550</v>
      </c>
      <c r="K237">
        <v>108621</v>
      </c>
      <c r="L237">
        <v>1044870</v>
      </c>
      <c r="M237">
        <v>13.37</v>
      </c>
      <c r="N237">
        <v>39111</v>
      </c>
      <c r="O237">
        <v>26</v>
      </c>
      <c r="P237">
        <v>449</v>
      </c>
      <c r="Q237">
        <v>1.413</v>
      </c>
      <c r="R237">
        <v>0.126</v>
      </c>
      <c r="S237">
        <v>53364</v>
      </c>
      <c r="T237">
        <v>81.900000000000006</v>
      </c>
      <c r="U237">
        <v>142.5</v>
      </c>
      <c r="V237">
        <v>5099</v>
      </c>
      <c r="W237">
        <v>75.5</v>
      </c>
      <c r="X237">
        <v>23.98</v>
      </c>
      <c r="Y237">
        <v>0</v>
      </c>
    </row>
    <row r="238" spans="1:25" x14ac:dyDescent="0.25">
      <c r="A238" t="s">
        <v>37</v>
      </c>
      <c r="B238">
        <f>_xlfn.XLOOKUP(Table4[[#This Row],[country]],Table2[country],Table2[country_id],FALSE)</f>
        <v>5</v>
      </c>
      <c r="C238" t="s">
        <v>38</v>
      </c>
      <c r="D238">
        <v>2024</v>
      </c>
      <c r="E238">
        <f>_xlfn.XLOOKUP(Table4[[#This Row],[year]],Table1[year],Table1[year_id])</f>
        <v>15</v>
      </c>
      <c r="F238" t="s">
        <v>30</v>
      </c>
      <c r="G238" t="s">
        <v>28</v>
      </c>
      <c r="H238" cm="1">
        <f t="array" ref="H238">_xlfn.XLOOKUP(Table4[[#This Row],[vehicle_segment]]&amp;Table4[[#This Row],[powertrain_type]],Table3[vehicle_segment]&amp;Table3[powertrain_type],Table3[vehicle_id])</f>
        <v>3</v>
      </c>
      <c r="I238">
        <v>84813</v>
      </c>
      <c r="J238">
        <v>324460</v>
      </c>
      <c r="K238">
        <v>28214</v>
      </c>
      <c r="L238">
        <v>437487</v>
      </c>
      <c r="M238">
        <v>19.39</v>
      </c>
      <c r="N238">
        <v>39111</v>
      </c>
      <c r="O238">
        <v>26</v>
      </c>
      <c r="P238">
        <v>449</v>
      </c>
      <c r="Q238">
        <v>1.413</v>
      </c>
      <c r="R238">
        <v>0.126</v>
      </c>
      <c r="S238">
        <v>53364</v>
      </c>
      <c r="T238">
        <v>81.900000000000006</v>
      </c>
      <c r="U238">
        <v>142.5</v>
      </c>
      <c r="V238">
        <v>5099</v>
      </c>
      <c r="W238">
        <v>75.5</v>
      </c>
      <c r="X238">
        <v>24.6</v>
      </c>
      <c r="Y238">
        <v>0</v>
      </c>
    </row>
    <row r="239" spans="1:25" x14ac:dyDescent="0.25">
      <c r="A239" t="s">
        <v>37</v>
      </c>
      <c r="B239">
        <f>_xlfn.XLOOKUP(Table4[[#This Row],[country]],Table2[country],Table2[country_id],FALSE)</f>
        <v>5</v>
      </c>
      <c r="C239" t="s">
        <v>38</v>
      </c>
      <c r="D239">
        <v>2025</v>
      </c>
      <c r="E239">
        <f>_xlfn.XLOOKUP(Table4[[#This Row],[year]],Table1[year],Table1[year_id])</f>
        <v>16</v>
      </c>
      <c r="F239" t="s">
        <v>27</v>
      </c>
      <c r="G239" t="s">
        <v>28</v>
      </c>
      <c r="H239" cm="1">
        <f t="array" ref="H239">_xlfn.XLOOKUP(Table4[[#This Row],[vehicle_segment]]&amp;Table4[[#This Row],[powertrain_type]],Table3[vehicle_segment]&amp;Table3[powertrain_type],Table3[vehicle_id])</f>
        <v>1</v>
      </c>
      <c r="I239">
        <v>15114</v>
      </c>
      <c r="J239">
        <v>151558</v>
      </c>
      <c r="K239">
        <v>101038</v>
      </c>
      <c r="L239">
        <v>267710</v>
      </c>
      <c r="M239">
        <v>5.65</v>
      </c>
      <c r="N239">
        <v>48202</v>
      </c>
      <c r="O239">
        <v>26.1</v>
      </c>
      <c r="P239">
        <v>476</v>
      </c>
      <c r="Q239">
        <v>1.32</v>
      </c>
      <c r="R239">
        <v>0.13</v>
      </c>
      <c r="S239">
        <v>54430</v>
      </c>
      <c r="T239">
        <v>82.4</v>
      </c>
      <c r="U239">
        <v>135.9</v>
      </c>
      <c r="V239">
        <v>4999</v>
      </c>
      <c r="W239">
        <v>78.5</v>
      </c>
      <c r="X239">
        <v>24.62</v>
      </c>
      <c r="Y239">
        <v>0</v>
      </c>
    </row>
    <row r="240" spans="1:25" x14ac:dyDescent="0.25">
      <c r="A240" t="s">
        <v>37</v>
      </c>
      <c r="B240">
        <f>_xlfn.XLOOKUP(Table4[[#This Row],[country]],Table2[country],Table2[country_id],FALSE)</f>
        <v>5</v>
      </c>
      <c r="C240" t="s">
        <v>38</v>
      </c>
      <c r="D240">
        <v>2025</v>
      </c>
      <c r="E240">
        <f>_xlfn.XLOOKUP(Table4[[#This Row],[year]],Table1[year],Table1[year_id])</f>
        <v>16</v>
      </c>
      <c r="F240" t="s">
        <v>29</v>
      </c>
      <c r="G240" t="s">
        <v>28</v>
      </c>
      <c r="H240" cm="1">
        <f t="array" ref="H240">_xlfn.XLOOKUP(Table4[[#This Row],[vehicle_segment]]&amp;Table4[[#This Row],[powertrain_type]],Table3[vehicle_segment]&amp;Table3[powertrain_type],Table3[vehicle_id])</f>
        <v>2</v>
      </c>
      <c r="I240">
        <v>172415</v>
      </c>
      <c r="J240">
        <v>788916</v>
      </c>
      <c r="K240">
        <v>107579</v>
      </c>
      <c r="L240">
        <v>1068910</v>
      </c>
      <c r="M240">
        <v>16.13</v>
      </c>
      <c r="N240">
        <v>48202</v>
      </c>
      <c r="O240">
        <v>26.1</v>
      </c>
      <c r="P240">
        <v>476</v>
      </c>
      <c r="Q240">
        <v>1.32</v>
      </c>
      <c r="R240">
        <v>0.13</v>
      </c>
      <c r="S240">
        <v>54430</v>
      </c>
      <c r="T240">
        <v>82.4</v>
      </c>
      <c r="U240">
        <v>135.9</v>
      </c>
      <c r="V240">
        <v>4999</v>
      </c>
      <c r="W240">
        <v>78.5</v>
      </c>
      <c r="X240">
        <v>23.42</v>
      </c>
      <c r="Y240">
        <v>0</v>
      </c>
    </row>
    <row r="241" spans="1:25" x14ac:dyDescent="0.25">
      <c r="A241" t="s">
        <v>37</v>
      </c>
      <c r="B241">
        <f>_xlfn.XLOOKUP(Table4[[#This Row],[country]],Table2[country],Table2[country_id],FALSE)</f>
        <v>5</v>
      </c>
      <c r="C241" t="s">
        <v>38</v>
      </c>
      <c r="D241">
        <v>2025</v>
      </c>
      <c r="E241">
        <f>_xlfn.XLOOKUP(Table4[[#This Row],[year]],Table1[year],Table1[year_id])</f>
        <v>16</v>
      </c>
      <c r="F241" t="s">
        <v>30</v>
      </c>
      <c r="G241" t="s">
        <v>28</v>
      </c>
      <c r="H241" cm="1">
        <f t="array" ref="H241">_xlfn.XLOOKUP(Table4[[#This Row],[vehicle_segment]]&amp;Table4[[#This Row],[powertrain_type]],Table3[vehicle_segment]&amp;Table3[powertrain_type],Table3[vehicle_id])</f>
        <v>3</v>
      </c>
      <c r="I241">
        <v>104831</v>
      </c>
      <c r="J241">
        <v>315912</v>
      </c>
      <c r="K241">
        <v>27471</v>
      </c>
      <c r="L241">
        <v>448214</v>
      </c>
      <c r="M241">
        <v>23.39</v>
      </c>
      <c r="N241">
        <v>48202</v>
      </c>
      <c r="O241">
        <v>26.1</v>
      </c>
      <c r="P241">
        <v>476</v>
      </c>
      <c r="Q241">
        <v>1.32</v>
      </c>
      <c r="R241">
        <v>0.13</v>
      </c>
      <c r="S241">
        <v>54430</v>
      </c>
      <c r="T241">
        <v>82.4</v>
      </c>
      <c r="U241">
        <v>135.9</v>
      </c>
      <c r="V241">
        <v>4999</v>
      </c>
      <c r="W241">
        <v>78.5</v>
      </c>
      <c r="X241">
        <v>23.6</v>
      </c>
      <c r="Y241">
        <v>0</v>
      </c>
    </row>
    <row r="242" spans="1:25" x14ac:dyDescent="0.25">
      <c r="A242" t="s">
        <v>39</v>
      </c>
      <c r="B242">
        <f>_xlfn.XLOOKUP(Table4[[#This Row],[country]],Table2[country],Table2[country_id],FALSE)</f>
        <v>6</v>
      </c>
      <c r="C242" t="s">
        <v>40</v>
      </c>
      <c r="D242">
        <v>2010</v>
      </c>
      <c r="E242">
        <f>_xlfn.XLOOKUP(Table4[[#This Row],[year]],Table1[year],Table1[year_id])</f>
        <v>1</v>
      </c>
      <c r="F242" t="s">
        <v>27</v>
      </c>
      <c r="G242" t="s">
        <v>28</v>
      </c>
      <c r="H242" cm="1">
        <f t="array" ref="H242">_xlfn.XLOOKUP(Table4[[#This Row],[vehicle_segment]]&amp;Table4[[#This Row],[powertrain_type]],Table3[vehicle_segment]&amp;Table3[powertrain_type],Table3[vehicle_id])</f>
        <v>1</v>
      </c>
      <c r="I242">
        <v>98</v>
      </c>
      <c r="J242">
        <v>1671715</v>
      </c>
      <c r="K242">
        <v>1114476</v>
      </c>
      <c r="L242">
        <v>2786289</v>
      </c>
      <c r="M242">
        <v>0</v>
      </c>
      <c r="N242">
        <v>530</v>
      </c>
      <c r="O242">
        <v>9.9</v>
      </c>
      <c r="P242">
        <v>121</v>
      </c>
      <c r="Q242">
        <v>0.98</v>
      </c>
      <c r="R242">
        <v>0.08</v>
      </c>
      <c r="S242">
        <v>4585</v>
      </c>
      <c r="T242">
        <v>49.1</v>
      </c>
      <c r="U242">
        <v>566.1</v>
      </c>
      <c r="V242">
        <v>7963</v>
      </c>
      <c r="W242">
        <v>30.1</v>
      </c>
      <c r="X242">
        <v>0</v>
      </c>
      <c r="Y242">
        <v>0</v>
      </c>
    </row>
    <row r="243" spans="1:25" x14ac:dyDescent="0.25">
      <c r="A243" t="s">
        <v>39</v>
      </c>
      <c r="B243">
        <f>_xlfn.XLOOKUP(Table4[[#This Row],[country]],Table2[country],Table2[country_id],FALSE)</f>
        <v>6</v>
      </c>
      <c r="C243" t="s">
        <v>40</v>
      </c>
      <c r="D243">
        <v>2010</v>
      </c>
      <c r="E243">
        <f>_xlfn.XLOOKUP(Table4[[#This Row],[year]],Table1[year],Table1[year_id])</f>
        <v>1</v>
      </c>
      <c r="F243" t="s">
        <v>29</v>
      </c>
      <c r="G243" t="s">
        <v>28</v>
      </c>
      <c r="H243" cm="1">
        <f t="array" ref="H243">_xlfn.XLOOKUP(Table4[[#This Row],[vehicle_segment]]&amp;Table4[[#This Row],[powertrain_type]],Table3[vehicle_segment]&amp;Table3[powertrain_type],Table3[vehicle_id])</f>
        <v>2</v>
      </c>
      <c r="I243">
        <v>1098</v>
      </c>
      <c r="J243">
        <v>9662937</v>
      </c>
      <c r="K243">
        <v>1317673</v>
      </c>
      <c r="L243">
        <v>10981708</v>
      </c>
      <c r="M243">
        <v>0.01</v>
      </c>
      <c r="N243">
        <v>530</v>
      </c>
      <c r="O243">
        <v>9.9</v>
      </c>
      <c r="P243">
        <v>121</v>
      </c>
      <c r="Q243">
        <v>0.98</v>
      </c>
      <c r="R243">
        <v>0.08</v>
      </c>
      <c r="S243">
        <v>4585</v>
      </c>
      <c r="T243">
        <v>49.1</v>
      </c>
      <c r="U243">
        <v>566.1</v>
      </c>
      <c r="V243">
        <v>7963</v>
      </c>
      <c r="W243">
        <v>30.1</v>
      </c>
      <c r="X243">
        <v>0</v>
      </c>
      <c r="Y243">
        <v>0</v>
      </c>
    </row>
    <row r="244" spans="1:25" x14ac:dyDescent="0.25">
      <c r="A244" t="s">
        <v>39</v>
      </c>
      <c r="B244">
        <f>_xlfn.XLOOKUP(Table4[[#This Row],[country]],Table2[country],Table2[country_id],FALSE)</f>
        <v>6</v>
      </c>
      <c r="C244" t="s">
        <v>40</v>
      </c>
      <c r="D244">
        <v>2010</v>
      </c>
      <c r="E244">
        <f>_xlfn.XLOOKUP(Table4[[#This Row],[year]],Table1[year],Table1[year_id])</f>
        <v>1</v>
      </c>
      <c r="F244" t="s">
        <v>30</v>
      </c>
      <c r="G244" t="s">
        <v>28</v>
      </c>
      <c r="H244" cm="1">
        <f t="array" ref="H244">_xlfn.XLOOKUP(Table4[[#This Row],[vehicle_segment]]&amp;Table4[[#This Row],[powertrain_type]],Table3[vehicle_segment]&amp;Table3[powertrain_type],Table3[vehicle_id])</f>
        <v>3</v>
      </c>
      <c r="I244">
        <v>654</v>
      </c>
      <c r="J244">
        <v>4149907</v>
      </c>
      <c r="K244">
        <v>360861</v>
      </c>
      <c r="L244">
        <v>4511422</v>
      </c>
      <c r="M244">
        <v>0.01</v>
      </c>
      <c r="N244">
        <v>530</v>
      </c>
      <c r="O244">
        <v>9.9</v>
      </c>
      <c r="P244">
        <v>121</v>
      </c>
      <c r="Q244">
        <v>0.98</v>
      </c>
      <c r="R244">
        <v>0.08</v>
      </c>
      <c r="S244">
        <v>4585</v>
      </c>
      <c r="T244">
        <v>49.1</v>
      </c>
      <c r="U244">
        <v>566.1</v>
      </c>
      <c r="V244">
        <v>7963</v>
      </c>
      <c r="W244">
        <v>30.1</v>
      </c>
      <c r="X244">
        <v>0</v>
      </c>
      <c r="Y244">
        <v>0</v>
      </c>
    </row>
    <row r="245" spans="1:25" x14ac:dyDescent="0.25">
      <c r="A245" t="s">
        <v>39</v>
      </c>
      <c r="B245">
        <f>_xlfn.XLOOKUP(Table4[[#This Row],[country]],Table2[country],Table2[country_id],FALSE)</f>
        <v>6</v>
      </c>
      <c r="C245" t="s">
        <v>40</v>
      </c>
      <c r="D245">
        <v>2011</v>
      </c>
      <c r="E245">
        <f>_xlfn.XLOOKUP(Table4[[#This Row],[year]],Table1[year],Table1[year_id])</f>
        <v>2</v>
      </c>
      <c r="F245" t="s">
        <v>27</v>
      </c>
      <c r="G245" t="s">
        <v>28</v>
      </c>
      <c r="H245" cm="1">
        <f t="array" ref="H245">_xlfn.XLOOKUP(Table4[[#This Row],[vehicle_segment]]&amp;Table4[[#This Row],[powertrain_type]],Table3[vehicle_segment]&amp;Table3[powertrain_type],Table3[vehicle_id])</f>
        <v>1</v>
      </c>
      <c r="I245">
        <v>407</v>
      </c>
      <c r="J245">
        <v>1744402</v>
      </c>
      <c r="K245">
        <v>1162934</v>
      </c>
      <c r="L245">
        <v>2907743</v>
      </c>
      <c r="M245">
        <v>0.01</v>
      </c>
      <c r="N245">
        <v>1862</v>
      </c>
      <c r="O245">
        <v>13.6</v>
      </c>
      <c r="P245">
        <v>118</v>
      </c>
      <c r="Q245">
        <v>0.97</v>
      </c>
      <c r="R245">
        <v>0.08</v>
      </c>
      <c r="S245">
        <v>5206</v>
      </c>
      <c r="T245">
        <v>50.3</v>
      </c>
      <c r="U245">
        <v>619.9</v>
      </c>
      <c r="V245">
        <v>8082</v>
      </c>
      <c r="W245">
        <v>33.200000000000003</v>
      </c>
      <c r="X245">
        <v>300</v>
      </c>
      <c r="Y245">
        <v>0</v>
      </c>
    </row>
    <row r="246" spans="1:25" x14ac:dyDescent="0.25">
      <c r="A246" t="s">
        <v>39</v>
      </c>
      <c r="B246">
        <f>_xlfn.XLOOKUP(Table4[[#This Row],[country]],Table2[country],Table2[country_id],FALSE)</f>
        <v>6</v>
      </c>
      <c r="C246" t="s">
        <v>40</v>
      </c>
      <c r="D246">
        <v>2011</v>
      </c>
      <c r="E246">
        <f>_xlfn.XLOOKUP(Table4[[#This Row],[year]],Table1[year],Table1[year_id])</f>
        <v>2</v>
      </c>
      <c r="F246" t="s">
        <v>29</v>
      </c>
      <c r="G246" t="s">
        <v>28</v>
      </c>
      <c r="H246" cm="1">
        <f t="array" ref="H246">_xlfn.XLOOKUP(Table4[[#This Row],[vehicle_segment]]&amp;Table4[[#This Row],[powertrain_type]],Table3[vehicle_segment]&amp;Table3[powertrain_type],Table3[vehicle_id])</f>
        <v>2</v>
      </c>
      <c r="I246">
        <v>4560</v>
      </c>
      <c r="J246">
        <v>10027552</v>
      </c>
      <c r="K246">
        <v>1367393</v>
      </c>
      <c r="L246">
        <v>11399505</v>
      </c>
      <c r="M246">
        <v>0.04</v>
      </c>
      <c r="N246">
        <v>1862</v>
      </c>
      <c r="O246">
        <v>13.6</v>
      </c>
      <c r="P246">
        <v>118</v>
      </c>
      <c r="Q246">
        <v>0.97</v>
      </c>
      <c r="R246">
        <v>0.08</v>
      </c>
      <c r="S246">
        <v>5206</v>
      </c>
      <c r="T246">
        <v>50.3</v>
      </c>
      <c r="U246">
        <v>619.9</v>
      </c>
      <c r="V246">
        <v>8082</v>
      </c>
      <c r="W246">
        <v>33.200000000000003</v>
      </c>
      <c r="X246">
        <v>300</v>
      </c>
      <c r="Y246">
        <v>0</v>
      </c>
    </row>
    <row r="247" spans="1:25" x14ac:dyDescent="0.25">
      <c r="A247" t="s">
        <v>39</v>
      </c>
      <c r="B247">
        <f>_xlfn.XLOOKUP(Table4[[#This Row],[country]],Table2[country],Table2[country_id],FALSE)</f>
        <v>6</v>
      </c>
      <c r="C247" t="s">
        <v>40</v>
      </c>
      <c r="D247">
        <v>2011</v>
      </c>
      <c r="E247">
        <f>_xlfn.XLOOKUP(Table4[[#This Row],[year]],Table1[year],Table1[year_id])</f>
        <v>2</v>
      </c>
      <c r="F247" t="s">
        <v>30</v>
      </c>
      <c r="G247" t="s">
        <v>28</v>
      </c>
      <c r="H247" cm="1">
        <f t="array" ref="H247">_xlfn.XLOOKUP(Table4[[#This Row],[vehicle_segment]]&amp;Table4[[#This Row],[powertrain_type]],Table3[vehicle_segment]&amp;Table3[powertrain_type],Table3[vehicle_id])</f>
        <v>3</v>
      </c>
      <c r="I247">
        <v>2821</v>
      </c>
      <c r="J247">
        <v>4472154</v>
      </c>
      <c r="K247">
        <v>388883</v>
      </c>
      <c r="L247">
        <v>4863858</v>
      </c>
      <c r="M247">
        <v>0.06</v>
      </c>
      <c r="N247">
        <v>1862</v>
      </c>
      <c r="O247">
        <v>13.6</v>
      </c>
      <c r="P247">
        <v>118</v>
      </c>
      <c r="Q247">
        <v>0.97</v>
      </c>
      <c r="R247">
        <v>0.08</v>
      </c>
      <c r="S247">
        <v>5206</v>
      </c>
      <c r="T247">
        <v>50.3</v>
      </c>
      <c r="U247">
        <v>619.9</v>
      </c>
      <c r="V247">
        <v>8082</v>
      </c>
      <c r="W247">
        <v>33.200000000000003</v>
      </c>
      <c r="X247">
        <v>300</v>
      </c>
      <c r="Y247">
        <v>0</v>
      </c>
    </row>
    <row r="248" spans="1:25" x14ac:dyDescent="0.25">
      <c r="A248" t="s">
        <v>39</v>
      </c>
      <c r="B248">
        <f>_xlfn.XLOOKUP(Table4[[#This Row],[country]],Table2[country],Table2[country_id],FALSE)</f>
        <v>6</v>
      </c>
      <c r="C248" t="s">
        <v>40</v>
      </c>
      <c r="D248">
        <v>2012</v>
      </c>
      <c r="E248">
        <f>_xlfn.XLOOKUP(Table4[[#This Row],[year]],Table1[year],Table1[year_id])</f>
        <v>3</v>
      </c>
      <c r="F248" t="s">
        <v>27</v>
      </c>
      <c r="G248" t="s">
        <v>28</v>
      </c>
      <c r="H248" cm="1">
        <f t="array" ref="H248">_xlfn.XLOOKUP(Table4[[#This Row],[vehicle_segment]]&amp;Table4[[#This Row],[powertrain_type]],Table3[vehicle_segment]&amp;Table3[powertrain_type],Table3[vehicle_id])</f>
        <v>1</v>
      </c>
      <c r="I248">
        <v>646</v>
      </c>
      <c r="J248">
        <v>1845624</v>
      </c>
      <c r="K248">
        <v>1230416</v>
      </c>
      <c r="L248">
        <v>3076686</v>
      </c>
      <c r="M248">
        <v>0.02</v>
      </c>
      <c r="N248">
        <v>3516</v>
      </c>
      <c r="O248">
        <v>17</v>
      </c>
      <c r="P248">
        <v>134</v>
      </c>
      <c r="Q248">
        <v>0.97</v>
      </c>
      <c r="R248">
        <v>7.9000000000000001E-2</v>
      </c>
      <c r="S248">
        <v>5940</v>
      </c>
      <c r="T248">
        <v>51.7</v>
      </c>
      <c r="U248">
        <v>661.4</v>
      </c>
      <c r="V248">
        <v>8199</v>
      </c>
      <c r="W248">
        <v>38.5</v>
      </c>
      <c r="X248">
        <v>58.72</v>
      </c>
      <c r="Y248">
        <v>0</v>
      </c>
    </row>
    <row r="249" spans="1:25" x14ac:dyDescent="0.25">
      <c r="A249" t="s">
        <v>39</v>
      </c>
      <c r="B249">
        <f>_xlfn.XLOOKUP(Table4[[#This Row],[country]],Table2[country],Table2[country_id],FALSE)</f>
        <v>6</v>
      </c>
      <c r="C249" t="s">
        <v>40</v>
      </c>
      <c r="D249">
        <v>2012</v>
      </c>
      <c r="E249">
        <f>_xlfn.XLOOKUP(Table4[[#This Row],[year]],Table1[year],Table1[year_id])</f>
        <v>3</v>
      </c>
      <c r="F249" t="s">
        <v>29</v>
      </c>
      <c r="G249" t="s">
        <v>28</v>
      </c>
      <c r="H249" cm="1">
        <f t="array" ref="H249">_xlfn.XLOOKUP(Table4[[#This Row],[vehicle_segment]]&amp;Table4[[#This Row],[powertrain_type]],Table3[vehicle_segment]&amp;Table3[powertrain_type],Table3[vehicle_id])</f>
        <v>2</v>
      </c>
      <c r="I249">
        <v>7498</v>
      </c>
      <c r="J249">
        <v>10990053</v>
      </c>
      <c r="K249">
        <v>1498644</v>
      </c>
      <c r="L249">
        <v>12496195</v>
      </c>
      <c r="M249">
        <v>0.06</v>
      </c>
      <c r="N249">
        <v>3516</v>
      </c>
      <c r="O249">
        <v>17</v>
      </c>
      <c r="P249">
        <v>134</v>
      </c>
      <c r="Q249">
        <v>0.97</v>
      </c>
      <c r="R249">
        <v>7.9000000000000001E-2</v>
      </c>
      <c r="S249">
        <v>5940</v>
      </c>
      <c r="T249">
        <v>51.7</v>
      </c>
      <c r="U249">
        <v>661.4</v>
      </c>
      <c r="V249">
        <v>8199</v>
      </c>
      <c r="W249">
        <v>38.5</v>
      </c>
      <c r="X249">
        <v>64.430000000000007</v>
      </c>
      <c r="Y249">
        <v>0</v>
      </c>
    </row>
    <row r="250" spans="1:25" x14ac:dyDescent="0.25">
      <c r="A250" t="s">
        <v>39</v>
      </c>
      <c r="B250">
        <f>_xlfn.XLOOKUP(Table4[[#This Row],[country]],Table2[country],Table2[country_id],FALSE)</f>
        <v>6</v>
      </c>
      <c r="C250" t="s">
        <v>40</v>
      </c>
      <c r="D250">
        <v>2012</v>
      </c>
      <c r="E250">
        <f>_xlfn.XLOOKUP(Table4[[#This Row],[year]],Table1[year],Table1[year_id])</f>
        <v>3</v>
      </c>
      <c r="F250" t="s">
        <v>30</v>
      </c>
      <c r="G250" t="s">
        <v>28</v>
      </c>
      <c r="H250" cm="1">
        <f t="array" ref="H250">_xlfn.XLOOKUP(Table4[[#This Row],[vehicle_segment]]&amp;Table4[[#This Row],[powertrain_type]],Table3[vehicle_segment]&amp;Table3[powertrain_type],Table3[vehicle_id])</f>
        <v>3</v>
      </c>
      <c r="I250">
        <v>4501</v>
      </c>
      <c r="J250">
        <v>4755573</v>
      </c>
      <c r="K250">
        <v>413528</v>
      </c>
      <c r="L250">
        <v>5173602</v>
      </c>
      <c r="M250">
        <v>0.09</v>
      </c>
      <c r="N250">
        <v>3516</v>
      </c>
      <c r="O250">
        <v>17</v>
      </c>
      <c r="P250">
        <v>134</v>
      </c>
      <c r="Q250">
        <v>0.97</v>
      </c>
      <c r="R250">
        <v>7.9000000000000001E-2</v>
      </c>
      <c r="S250">
        <v>5940</v>
      </c>
      <c r="T250">
        <v>51.7</v>
      </c>
      <c r="U250">
        <v>661.4</v>
      </c>
      <c r="V250">
        <v>8199</v>
      </c>
      <c r="W250">
        <v>38.5</v>
      </c>
      <c r="X250">
        <v>59.55</v>
      </c>
      <c r="Y250">
        <v>0</v>
      </c>
    </row>
    <row r="251" spans="1:25" x14ac:dyDescent="0.25">
      <c r="A251" t="s">
        <v>39</v>
      </c>
      <c r="B251">
        <f>_xlfn.XLOOKUP(Table4[[#This Row],[country]],Table2[country],Table2[country_id],FALSE)</f>
        <v>6</v>
      </c>
      <c r="C251" t="s">
        <v>40</v>
      </c>
      <c r="D251">
        <v>2013</v>
      </c>
      <c r="E251">
        <f>_xlfn.XLOOKUP(Table4[[#This Row],[year]],Table1[year],Table1[year_id])</f>
        <v>4</v>
      </c>
      <c r="F251" t="s">
        <v>27</v>
      </c>
      <c r="G251" t="s">
        <v>28</v>
      </c>
      <c r="H251" cm="1">
        <f t="array" ref="H251">_xlfn.XLOOKUP(Table4[[#This Row],[vehicle_segment]]&amp;Table4[[#This Row],[powertrain_type]],Table3[vehicle_segment]&amp;Table3[powertrain_type],Table3[vehicle_id])</f>
        <v>1</v>
      </c>
      <c r="I251">
        <v>2382</v>
      </c>
      <c r="J251">
        <v>1942876</v>
      </c>
      <c r="K251">
        <v>1295251</v>
      </c>
      <c r="L251">
        <v>3240509</v>
      </c>
      <c r="M251">
        <v>7.0000000000000007E-2</v>
      </c>
      <c r="N251">
        <v>5042</v>
      </c>
      <c r="O251">
        <v>19.8</v>
      </c>
      <c r="P251">
        <v>136</v>
      </c>
      <c r="Q251">
        <v>0.98</v>
      </c>
      <c r="R251">
        <v>7.9000000000000001E-2</v>
      </c>
      <c r="S251">
        <v>6711</v>
      </c>
      <c r="T251">
        <v>53.1</v>
      </c>
      <c r="U251">
        <v>702.5</v>
      </c>
      <c r="V251">
        <v>8275</v>
      </c>
      <c r="W251">
        <v>42.1</v>
      </c>
      <c r="X251">
        <v>268.73</v>
      </c>
      <c r="Y251">
        <v>0</v>
      </c>
    </row>
    <row r="252" spans="1:25" x14ac:dyDescent="0.25">
      <c r="A252" t="s">
        <v>39</v>
      </c>
      <c r="B252">
        <f>_xlfn.XLOOKUP(Table4[[#This Row],[country]],Table2[country],Table2[country_id],FALSE)</f>
        <v>6</v>
      </c>
      <c r="C252" t="s">
        <v>40</v>
      </c>
      <c r="D252">
        <v>2013</v>
      </c>
      <c r="E252">
        <f>_xlfn.XLOOKUP(Table4[[#This Row],[year]],Table1[year],Table1[year_id])</f>
        <v>4</v>
      </c>
      <c r="F252" t="s">
        <v>29</v>
      </c>
      <c r="G252" t="s">
        <v>28</v>
      </c>
      <c r="H252" cm="1">
        <f t="array" ref="H252">_xlfn.XLOOKUP(Table4[[#This Row],[vehicle_segment]]&amp;Table4[[#This Row],[powertrain_type]],Table3[vehicle_segment]&amp;Table3[powertrain_type],Table3[vehicle_id])</f>
        <v>2</v>
      </c>
      <c r="I252">
        <v>27076</v>
      </c>
      <c r="J252">
        <v>11322208</v>
      </c>
      <c r="K252">
        <v>1543938</v>
      </c>
      <c r="L252">
        <v>12893222</v>
      </c>
      <c r="M252">
        <v>0.21</v>
      </c>
      <c r="N252">
        <v>5042</v>
      </c>
      <c r="O252">
        <v>19.8</v>
      </c>
      <c r="P252">
        <v>136</v>
      </c>
      <c r="Q252">
        <v>0.98</v>
      </c>
      <c r="R252">
        <v>7.9000000000000001E-2</v>
      </c>
      <c r="S252">
        <v>6711</v>
      </c>
      <c r="T252">
        <v>53.1</v>
      </c>
      <c r="U252">
        <v>702.5</v>
      </c>
      <c r="V252">
        <v>8275</v>
      </c>
      <c r="W252">
        <v>42.1</v>
      </c>
      <c r="X252">
        <v>261.11</v>
      </c>
      <c r="Y252">
        <v>0</v>
      </c>
    </row>
    <row r="253" spans="1:25" x14ac:dyDescent="0.25">
      <c r="A253" t="s">
        <v>39</v>
      </c>
      <c r="B253">
        <f>_xlfn.XLOOKUP(Table4[[#This Row],[country]],Table2[country],Table2[country_id],FALSE)</f>
        <v>6</v>
      </c>
      <c r="C253" t="s">
        <v>40</v>
      </c>
      <c r="D253">
        <v>2013</v>
      </c>
      <c r="E253">
        <f>_xlfn.XLOOKUP(Table4[[#This Row],[year]],Table1[year],Table1[year_id])</f>
        <v>4</v>
      </c>
      <c r="F253" t="s">
        <v>30</v>
      </c>
      <c r="G253" t="s">
        <v>28</v>
      </c>
      <c r="H253" cm="1">
        <f t="array" ref="H253">_xlfn.XLOOKUP(Table4[[#This Row],[vehicle_segment]]&amp;Table4[[#This Row],[powertrain_type]],Table3[vehicle_segment]&amp;Table3[powertrain_type],Table3[vehicle_id])</f>
        <v>3</v>
      </c>
      <c r="I253">
        <v>16630</v>
      </c>
      <c r="J253">
        <v>5009322</v>
      </c>
      <c r="K253">
        <v>435593</v>
      </c>
      <c r="L253">
        <v>5461545</v>
      </c>
      <c r="M253">
        <v>0.3</v>
      </c>
      <c r="N253">
        <v>5042</v>
      </c>
      <c r="O253">
        <v>19.8</v>
      </c>
      <c r="P253">
        <v>136</v>
      </c>
      <c r="Q253">
        <v>0.98</v>
      </c>
      <c r="R253">
        <v>7.9000000000000001E-2</v>
      </c>
      <c r="S253">
        <v>6711</v>
      </c>
      <c r="T253">
        <v>53.1</v>
      </c>
      <c r="U253">
        <v>702.5</v>
      </c>
      <c r="V253">
        <v>8275</v>
      </c>
      <c r="W253">
        <v>42.1</v>
      </c>
      <c r="X253">
        <v>269.47000000000003</v>
      </c>
      <c r="Y253">
        <v>0</v>
      </c>
    </row>
    <row r="254" spans="1:25" x14ac:dyDescent="0.25">
      <c r="A254" t="s">
        <v>39</v>
      </c>
      <c r="B254">
        <f>_xlfn.XLOOKUP(Table4[[#This Row],[country]],Table2[country],Table2[country_id],FALSE)</f>
        <v>6</v>
      </c>
      <c r="C254" t="s">
        <v>40</v>
      </c>
      <c r="D254">
        <v>2014</v>
      </c>
      <c r="E254">
        <f>_xlfn.XLOOKUP(Table4[[#This Row],[year]],Table1[year],Table1[year_id])</f>
        <v>5</v>
      </c>
      <c r="F254" t="s">
        <v>27</v>
      </c>
      <c r="G254" t="s">
        <v>28</v>
      </c>
      <c r="H254" cm="1">
        <f t="array" ref="H254">_xlfn.XLOOKUP(Table4[[#This Row],[vehicle_segment]]&amp;Table4[[#This Row],[powertrain_type]],Table3[vehicle_segment]&amp;Table3[powertrain_type],Table3[vehicle_id])</f>
        <v>1</v>
      </c>
      <c r="I254">
        <v>3805</v>
      </c>
      <c r="J254">
        <v>2035951</v>
      </c>
      <c r="K254">
        <v>1357300</v>
      </c>
      <c r="L254">
        <v>3397056</v>
      </c>
      <c r="M254">
        <v>0.11</v>
      </c>
      <c r="N254">
        <v>28663</v>
      </c>
      <c r="O254">
        <v>26.4</v>
      </c>
      <c r="P254">
        <v>150</v>
      </c>
      <c r="Q254">
        <v>0.99299999999999999</v>
      </c>
      <c r="R254">
        <v>7.8E-2</v>
      </c>
      <c r="S254">
        <v>7337</v>
      </c>
      <c r="T254">
        <v>54.2</v>
      </c>
      <c r="U254">
        <v>742.7</v>
      </c>
      <c r="V254">
        <v>8487</v>
      </c>
      <c r="W254">
        <v>45.3</v>
      </c>
      <c r="X254">
        <v>59.74</v>
      </c>
      <c r="Y254">
        <v>0</v>
      </c>
    </row>
    <row r="255" spans="1:25" x14ac:dyDescent="0.25">
      <c r="A255" t="s">
        <v>39</v>
      </c>
      <c r="B255">
        <f>_xlfn.XLOOKUP(Table4[[#This Row],[country]],Table2[country],Table2[country_id],FALSE)</f>
        <v>6</v>
      </c>
      <c r="C255" t="s">
        <v>40</v>
      </c>
      <c r="D255">
        <v>2014</v>
      </c>
      <c r="E255">
        <f>_xlfn.XLOOKUP(Table4[[#This Row],[year]],Table1[year],Table1[year_id])</f>
        <v>5</v>
      </c>
      <c r="F255" t="s">
        <v>29</v>
      </c>
      <c r="G255" t="s">
        <v>28</v>
      </c>
      <c r="H255" cm="1">
        <f t="array" ref="H255">_xlfn.XLOOKUP(Table4[[#This Row],[vehicle_segment]]&amp;Table4[[#This Row],[powertrain_type]],Table3[vehicle_segment]&amp;Table3[powertrain_type],Table3[vehicle_id])</f>
        <v>2</v>
      </c>
      <c r="I255">
        <v>43588</v>
      </c>
      <c r="J255">
        <v>11948424</v>
      </c>
      <c r="K255">
        <v>1629330</v>
      </c>
      <c r="L255">
        <v>13621342</v>
      </c>
      <c r="M255">
        <v>0.32</v>
      </c>
      <c r="N255">
        <v>28663</v>
      </c>
      <c r="O255">
        <v>26.4</v>
      </c>
      <c r="P255">
        <v>150</v>
      </c>
      <c r="Q255">
        <v>0.99299999999999999</v>
      </c>
      <c r="R255">
        <v>7.8E-2</v>
      </c>
      <c r="S255">
        <v>7337</v>
      </c>
      <c r="T255">
        <v>54.2</v>
      </c>
      <c r="U255">
        <v>742.7</v>
      </c>
      <c r="V255">
        <v>8487</v>
      </c>
      <c r="W255">
        <v>45.3</v>
      </c>
      <c r="X255">
        <v>60.98</v>
      </c>
      <c r="Y255">
        <v>0</v>
      </c>
    </row>
    <row r="256" spans="1:25" x14ac:dyDescent="0.25">
      <c r="A256" t="s">
        <v>39</v>
      </c>
      <c r="B256">
        <f>_xlfn.XLOOKUP(Table4[[#This Row],[country]],Table2[country],Table2[country_id],FALSE)</f>
        <v>6</v>
      </c>
      <c r="C256" t="s">
        <v>40</v>
      </c>
      <c r="D256">
        <v>2014</v>
      </c>
      <c r="E256">
        <f>_xlfn.XLOOKUP(Table4[[#This Row],[year]],Table1[year],Table1[year_id])</f>
        <v>5</v>
      </c>
      <c r="F256" t="s">
        <v>30</v>
      </c>
      <c r="G256" t="s">
        <v>28</v>
      </c>
      <c r="H256" cm="1">
        <f t="array" ref="H256">_xlfn.XLOOKUP(Table4[[#This Row],[vehicle_segment]]&amp;Table4[[#This Row],[powertrain_type]],Table3[vehicle_segment]&amp;Table3[powertrain_type],Table3[vehicle_id])</f>
        <v>3</v>
      </c>
      <c r="I256">
        <v>26529</v>
      </c>
      <c r="J256">
        <v>5235574</v>
      </c>
      <c r="K256">
        <v>455267</v>
      </c>
      <c r="L256">
        <v>5717370</v>
      </c>
      <c r="M256">
        <v>0.46</v>
      </c>
      <c r="N256">
        <v>28663</v>
      </c>
      <c r="O256">
        <v>26.4</v>
      </c>
      <c r="P256">
        <v>150</v>
      </c>
      <c r="Q256">
        <v>0.99299999999999999</v>
      </c>
      <c r="R256">
        <v>7.8E-2</v>
      </c>
      <c r="S256">
        <v>7337</v>
      </c>
      <c r="T256">
        <v>54.2</v>
      </c>
      <c r="U256">
        <v>742.7</v>
      </c>
      <c r="V256">
        <v>8487</v>
      </c>
      <c r="W256">
        <v>45.3</v>
      </c>
      <c r="X256">
        <v>59.52</v>
      </c>
      <c r="Y256">
        <v>0</v>
      </c>
    </row>
    <row r="257" spans="1:25" x14ac:dyDescent="0.25">
      <c r="A257" t="s">
        <v>39</v>
      </c>
      <c r="B257">
        <f>_xlfn.XLOOKUP(Table4[[#This Row],[country]],Table2[country],Table2[country_id],FALSE)</f>
        <v>6</v>
      </c>
      <c r="C257" t="s">
        <v>40</v>
      </c>
      <c r="D257">
        <v>2015</v>
      </c>
      <c r="E257">
        <f>_xlfn.XLOOKUP(Table4[[#This Row],[year]],Table1[year],Table1[year_id])</f>
        <v>6</v>
      </c>
      <c r="F257" t="s">
        <v>27</v>
      </c>
      <c r="G257" t="s">
        <v>28</v>
      </c>
      <c r="H257" cm="1">
        <f t="array" ref="H257">_xlfn.XLOOKUP(Table4[[#This Row],[vehicle_segment]]&amp;Table4[[#This Row],[powertrain_type]],Table3[vehicle_segment]&amp;Table3[powertrain_type],Table3[vehicle_id])</f>
        <v>1</v>
      </c>
      <c r="I257">
        <v>10423</v>
      </c>
      <c r="J257">
        <v>2227294</v>
      </c>
      <c r="K257">
        <v>1484862</v>
      </c>
      <c r="L257">
        <v>3722579</v>
      </c>
      <c r="M257">
        <v>0.28000000000000003</v>
      </c>
      <c r="N257">
        <v>50663</v>
      </c>
      <c r="O257">
        <v>31.5</v>
      </c>
      <c r="P257">
        <v>165</v>
      </c>
      <c r="Q257">
        <v>1.0069999999999999</v>
      </c>
      <c r="R257">
        <v>7.9000000000000001E-2</v>
      </c>
      <c r="S257">
        <v>7980</v>
      </c>
      <c r="T257">
        <v>55.4</v>
      </c>
      <c r="U257">
        <v>792.1</v>
      </c>
      <c r="V257">
        <v>8615</v>
      </c>
      <c r="W257">
        <v>49.3</v>
      </c>
      <c r="X257">
        <v>173.93</v>
      </c>
      <c r="Y257">
        <v>0</v>
      </c>
    </row>
    <row r="258" spans="1:25" x14ac:dyDescent="0.25">
      <c r="A258" t="s">
        <v>39</v>
      </c>
      <c r="B258">
        <f>_xlfn.XLOOKUP(Table4[[#This Row],[country]],Table2[country],Table2[country_id],FALSE)</f>
        <v>6</v>
      </c>
      <c r="C258" t="s">
        <v>40</v>
      </c>
      <c r="D258">
        <v>2015</v>
      </c>
      <c r="E258">
        <f>_xlfn.XLOOKUP(Table4[[#This Row],[year]],Table1[year],Table1[year_id])</f>
        <v>6</v>
      </c>
      <c r="F258" t="s">
        <v>29</v>
      </c>
      <c r="G258" t="s">
        <v>28</v>
      </c>
      <c r="H258" cm="1">
        <f t="array" ref="H258">_xlfn.XLOOKUP(Table4[[#This Row],[vehicle_segment]]&amp;Table4[[#This Row],[powertrain_type]],Table3[vehicle_segment]&amp;Table3[powertrain_type],Table3[vehicle_id])</f>
        <v>2</v>
      </c>
      <c r="I258">
        <v>120021</v>
      </c>
      <c r="J258">
        <v>13096719</v>
      </c>
      <c r="K258">
        <v>1785916</v>
      </c>
      <c r="L258">
        <v>15002656</v>
      </c>
      <c r="M258">
        <v>0.8</v>
      </c>
      <c r="N258">
        <v>50663</v>
      </c>
      <c r="O258">
        <v>31.5</v>
      </c>
      <c r="P258">
        <v>165</v>
      </c>
      <c r="Q258">
        <v>1.0069999999999999</v>
      </c>
      <c r="R258">
        <v>7.9000000000000001E-2</v>
      </c>
      <c r="S258">
        <v>7980</v>
      </c>
      <c r="T258">
        <v>55.4</v>
      </c>
      <c r="U258">
        <v>792.1</v>
      </c>
      <c r="V258">
        <v>8615</v>
      </c>
      <c r="W258">
        <v>49.3</v>
      </c>
      <c r="X258">
        <v>175.35</v>
      </c>
      <c r="Y258">
        <v>0</v>
      </c>
    </row>
    <row r="259" spans="1:25" x14ac:dyDescent="0.25">
      <c r="A259" t="s">
        <v>39</v>
      </c>
      <c r="B259">
        <f>_xlfn.XLOOKUP(Table4[[#This Row],[country]],Table2[country],Table2[country_id],FALSE)</f>
        <v>6</v>
      </c>
      <c r="C259" t="s">
        <v>40</v>
      </c>
      <c r="D259">
        <v>2015</v>
      </c>
      <c r="E259">
        <f>_xlfn.XLOOKUP(Table4[[#This Row],[year]],Table1[year],Table1[year_id])</f>
        <v>6</v>
      </c>
      <c r="F259" t="s">
        <v>30</v>
      </c>
      <c r="G259" t="s">
        <v>28</v>
      </c>
      <c r="H259" cm="1">
        <f t="array" ref="H259">_xlfn.XLOOKUP(Table4[[#This Row],[vehicle_segment]]&amp;Table4[[#This Row],[powertrain_type]],Table3[vehicle_segment]&amp;Table3[powertrain_type],Table3[vehicle_id])</f>
        <v>3</v>
      </c>
      <c r="I259">
        <v>72514</v>
      </c>
      <c r="J259">
        <v>5684378</v>
      </c>
      <c r="K259">
        <v>494294</v>
      </c>
      <c r="L259">
        <v>6251186</v>
      </c>
      <c r="M259">
        <v>1.1599999999999999</v>
      </c>
      <c r="N259">
        <v>50663</v>
      </c>
      <c r="O259">
        <v>31.5</v>
      </c>
      <c r="P259">
        <v>165</v>
      </c>
      <c r="Q259">
        <v>1.0069999999999999</v>
      </c>
      <c r="R259">
        <v>7.9000000000000001E-2</v>
      </c>
      <c r="S259">
        <v>7980</v>
      </c>
      <c r="T259">
        <v>55.4</v>
      </c>
      <c r="U259">
        <v>792.1</v>
      </c>
      <c r="V259">
        <v>8615</v>
      </c>
      <c r="W259">
        <v>49.3</v>
      </c>
      <c r="X259">
        <v>173.34</v>
      </c>
      <c r="Y259">
        <v>0</v>
      </c>
    </row>
    <row r="260" spans="1:25" x14ac:dyDescent="0.25">
      <c r="A260" t="s">
        <v>39</v>
      </c>
      <c r="B260">
        <f>_xlfn.XLOOKUP(Table4[[#This Row],[country]],Table2[country],Table2[country_id],FALSE)</f>
        <v>6</v>
      </c>
      <c r="C260" t="s">
        <v>40</v>
      </c>
      <c r="D260">
        <v>2016</v>
      </c>
      <c r="E260">
        <f>_xlfn.XLOOKUP(Table4[[#This Row],[year]],Table1[year],Table1[year_id])</f>
        <v>7</v>
      </c>
      <c r="F260" t="s">
        <v>27</v>
      </c>
      <c r="G260" t="s">
        <v>28</v>
      </c>
      <c r="H260" cm="1">
        <f t="array" ref="H260">_xlfn.XLOOKUP(Table4[[#This Row],[vehicle_segment]]&amp;Table4[[#This Row],[powertrain_type]],Table3[vehicle_segment]&amp;Table3[powertrain_type],Table3[vehicle_id])</f>
        <v>1</v>
      </c>
      <c r="I260">
        <v>17974</v>
      </c>
      <c r="J260">
        <v>2359381</v>
      </c>
      <c r="K260">
        <v>1572920</v>
      </c>
      <c r="L260">
        <v>3950275</v>
      </c>
      <c r="M260">
        <v>0.46</v>
      </c>
      <c r="N260">
        <v>128594</v>
      </c>
      <c r="O260">
        <v>32.6</v>
      </c>
      <c r="P260">
        <v>188</v>
      </c>
      <c r="Q260">
        <v>1.0169999999999999</v>
      </c>
      <c r="R260">
        <v>8.1000000000000003E-2</v>
      </c>
      <c r="S260">
        <v>8752</v>
      </c>
      <c r="T260">
        <v>56.3</v>
      </c>
      <c r="U260">
        <v>839.1</v>
      </c>
      <c r="V260">
        <v>8174</v>
      </c>
      <c r="W260">
        <v>54</v>
      </c>
      <c r="X260">
        <v>72.45</v>
      </c>
      <c r="Y260">
        <v>0</v>
      </c>
    </row>
    <row r="261" spans="1:25" x14ac:dyDescent="0.25">
      <c r="A261" t="s">
        <v>39</v>
      </c>
      <c r="B261">
        <f>_xlfn.XLOOKUP(Table4[[#This Row],[country]],Table2[country],Table2[country_id],FALSE)</f>
        <v>6</v>
      </c>
      <c r="C261" t="s">
        <v>40</v>
      </c>
      <c r="D261">
        <v>2016</v>
      </c>
      <c r="E261">
        <f>_xlfn.XLOOKUP(Table4[[#This Row],[year]],Table1[year],Table1[year_id])</f>
        <v>7</v>
      </c>
      <c r="F261" t="s">
        <v>29</v>
      </c>
      <c r="G261" t="s">
        <v>28</v>
      </c>
      <c r="H261" cm="1">
        <f t="array" ref="H261">_xlfn.XLOOKUP(Table4[[#This Row],[vehicle_segment]]&amp;Table4[[#This Row],[powertrain_type]],Table3[vehicle_segment]&amp;Table3[powertrain_type],Table3[vehicle_id])</f>
        <v>2</v>
      </c>
      <c r="I261">
        <v>208830</v>
      </c>
      <c r="J261">
        <v>13952426</v>
      </c>
      <c r="K261">
        <v>1902604</v>
      </c>
      <c r="L261">
        <v>16063860</v>
      </c>
      <c r="M261">
        <v>1.3</v>
      </c>
      <c r="N261">
        <v>128594</v>
      </c>
      <c r="O261">
        <v>32.6</v>
      </c>
      <c r="P261">
        <v>188</v>
      </c>
      <c r="Q261">
        <v>1.0169999999999999</v>
      </c>
      <c r="R261">
        <v>8.1000000000000003E-2</v>
      </c>
      <c r="S261">
        <v>8752</v>
      </c>
      <c r="T261">
        <v>56.3</v>
      </c>
      <c r="U261">
        <v>839.1</v>
      </c>
      <c r="V261">
        <v>8174</v>
      </c>
      <c r="W261">
        <v>54</v>
      </c>
      <c r="X261">
        <v>73.989999999999995</v>
      </c>
      <c r="Y261">
        <v>0</v>
      </c>
    </row>
    <row r="262" spans="1:25" x14ac:dyDescent="0.25">
      <c r="A262" t="s">
        <v>39</v>
      </c>
      <c r="B262">
        <f>_xlfn.XLOOKUP(Table4[[#This Row],[country]],Table2[country],Table2[country_id],FALSE)</f>
        <v>6</v>
      </c>
      <c r="C262" t="s">
        <v>40</v>
      </c>
      <c r="D262">
        <v>2016</v>
      </c>
      <c r="E262">
        <f>_xlfn.XLOOKUP(Table4[[#This Row],[year]],Table1[year],Table1[year_id])</f>
        <v>7</v>
      </c>
      <c r="F262" t="s">
        <v>30</v>
      </c>
      <c r="G262" t="s">
        <v>28</v>
      </c>
      <c r="H262" cm="1">
        <f t="array" ref="H262">_xlfn.XLOOKUP(Table4[[#This Row],[vehicle_segment]]&amp;Table4[[#This Row],[powertrain_type]],Table3[vehicle_segment]&amp;Table3[powertrain_type],Table3[vehicle_id])</f>
        <v>3</v>
      </c>
      <c r="I262">
        <v>124053</v>
      </c>
      <c r="J262">
        <v>5940464</v>
      </c>
      <c r="K262">
        <v>516562</v>
      </c>
      <c r="L262">
        <v>6581079</v>
      </c>
      <c r="M262">
        <v>1.88</v>
      </c>
      <c r="N262">
        <v>128594</v>
      </c>
      <c r="O262">
        <v>32.6</v>
      </c>
      <c r="P262">
        <v>188</v>
      </c>
      <c r="Q262">
        <v>1.0169999999999999</v>
      </c>
      <c r="R262">
        <v>8.1000000000000003E-2</v>
      </c>
      <c r="S262">
        <v>8752</v>
      </c>
      <c r="T262">
        <v>56.3</v>
      </c>
      <c r="U262">
        <v>839.1</v>
      </c>
      <c r="V262">
        <v>8174</v>
      </c>
      <c r="W262">
        <v>54</v>
      </c>
      <c r="X262">
        <v>71.069999999999993</v>
      </c>
      <c r="Y262">
        <v>0</v>
      </c>
    </row>
    <row r="263" spans="1:25" x14ac:dyDescent="0.25">
      <c r="A263" t="s">
        <v>39</v>
      </c>
      <c r="B263">
        <f>_xlfn.XLOOKUP(Table4[[#This Row],[country]],Table2[country],Table2[country_id],FALSE)</f>
        <v>6</v>
      </c>
      <c r="C263" t="s">
        <v>40</v>
      </c>
      <c r="D263">
        <v>2017</v>
      </c>
      <c r="E263">
        <f>_xlfn.XLOOKUP(Table4[[#This Row],[year]],Table1[year],Table1[year_id])</f>
        <v>8</v>
      </c>
      <c r="F263" t="s">
        <v>27</v>
      </c>
      <c r="G263" t="s">
        <v>28</v>
      </c>
      <c r="H263" cm="1">
        <f t="array" ref="H263">_xlfn.XLOOKUP(Table4[[#This Row],[vehicle_segment]]&amp;Table4[[#This Row],[powertrain_type]],Table3[vehicle_segment]&amp;Table3[powertrain_type],Table3[vehicle_id])</f>
        <v>1</v>
      </c>
      <c r="I263">
        <v>37832</v>
      </c>
      <c r="J263">
        <v>2603018</v>
      </c>
      <c r="K263">
        <v>1735346</v>
      </c>
      <c r="L263">
        <v>4376196</v>
      </c>
      <c r="M263">
        <v>0.86</v>
      </c>
      <c r="N263">
        <v>212120</v>
      </c>
      <c r="O263">
        <v>34.6</v>
      </c>
      <c r="P263">
        <v>206</v>
      </c>
      <c r="Q263">
        <v>1.0329999999999999</v>
      </c>
      <c r="R263">
        <v>8.1000000000000003E-2</v>
      </c>
      <c r="S263">
        <v>9091</v>
      </c>
      <c r="T263">
        <v>57.8</v>
      </c>
      <c r="U263">
        <v>881.4</v>
      </c>
      <c r="V263">
        <v>7859</v>
      </c>
      <c r="W263">
        <v>58.2</v>
      </c>
      <c r="X263">
        <v>110.48</v>
      </c>
      <c r="Y263">
        <v>0</v>
      </c>
    </row>
    <row r="264" spans="1:25" x14ac:dyDescent="0.25">
      <c r="A264" t="s">
        <v>39</v>
      </c>
      <c r="B264">
        <f>_xlfn.XLOOKUP(Table4[[#This Row],[country]],Table2[country],Table2[country_id],FALSE)</f>
        <v>6</v>
      </c>
      <c r="C264" t="s">
        <v>40</v>
      </c>
      <c r="D264">
        <v>2017</v>
      </c>
      <c r="E264">
        <f>_xlfn.XLOOKUP(Table4[[#This Row],[year]],Table1[year],Table1[year_id])</f>
        <v>8</v>
      </c>
      <c r="F264" t="s">
        <v>29</v>
      </c>
      <c r="G264" t="s">
        <v>28</v>
      </c>
      <c r="H264" cm="1">
        <f t="array" ref="H264">_xlfn.XLOOKUP(Table4[[#This Row],[vehicle_segment]]&amp;Table4[[#This Row],[powertrain_type]],Table3[vehicle_segment]&amp;Table3[powertrain_type],Table3[vehicle_id])</f>
        <v>2</v>
      </c>
      <c r="I264">
        <v>425173</v>
      </c>
      <c r="J264">
        <v>14773694</v>
      </c>
      <c r="K264">
        <v>2014595</v>
      </c>
      <c r="L264">
        <v>17213462</v>
      </c>
      <c r="M264">
        <v>2.4700000000000002</v>
      </c>
      <c r="N264">
        <v>212120</v>
      </c>
      <c r="O264">
        <v>34.6</v>
      </c>
      <c r="P264">
        <v>206</v>
      </c>
      <c r="Q264">
        <v>1.0329999999999999</v>
      </c>
      <c r="R264">
        <v>8.1000000000000003E-2</v>
      </c>
      <c r="S264">
        <v>9091</v>
      </c>
      <c r="T264">
        <v>57.8</v>
      </c>
      <c r="U264">
        <v>881.4</v>
      </c>
      <c r="V264">
        <v>7859</v>
      </c>
      <c r="W264">
        <v>58.2</v>
      </c>
      <c r="X264">
        <v>103.6</v>
      </c>
      <c r="Y264">
        <v>0</v>
      </c>
    </row>
    <row r="265" spans="1:25" x14ac:dyDescent="0.25">
      <c r="A265" t="s">
        <v>39</v>
      </c>
      <c r="B265">
        <f>_xlfn.XLOOKUP(Table4[[#This Row],[country]],Table2[country],Table2[country_id],FALSE)</f>
        <v>6</v>
      </c>
      <c r="C265" t="s">
        <v>40</v>
      </c>
      <c r="D265">
        <v>2017</v>
      </c>
      <c r="E265">
        <f>_xlfn.XLOOKUP(Table4[[#This Row],[year]],Table1[year],Table1[year_id])</f>
        <v>8</v>
      </c>
      <c r="F265" t="s">
        <v>30</v>
      </c>
      <c r="G265" t="s">
        <v>28</v>
      </c>
      <c r="H265" cm="1">
        <f t="array" ref="H265">_xlfn.XLOOKUP(Table4[[#This Row],[vehicle_segment]]&amp;Table4[[#This Row],[powertrain_type]],Table3[vehicle_segment]&amp;Table3[powertrain_type],Table3[vehicle_id])</f>
        <v>3</v>
      </c>
      <c r="I265">
        <v>258225</v>
      </c>
      <c r="J265">
        <v>6395600</v>
      </c>
      <c r="K265">
        <v>556139</v>
      </c>
      <c r="L265">
        <v>7209964</v>
      </c>
      <c r="M265">
        <v>3.58</v>
      </c>
      <c r="N265">
        <v>212120</v>
      </c>
      <c r="O265">
        <v>34.6</v>
      </c>
      <c r="P265">
        <v>206</v>
      </c>
      <c r="Q265">
        <v>1.0329999999999999</v>
      </c>
      <c r="R265">
        <v>8.1000000000000003E-2</v>
      </c>
      <c r="S265">
        <v>9091</v>
      </c>
      <c r="T265">
        <v>57.8</v>
      </c>
      <c r="U265">
        <v>881.4</v>
      </c>
      <c r="V265">
        <v>7859</v>
      </c>
      <c r="W265">
        <v>58.2</v>
      </c>
      <c r="X265">
        <v>108.16</v>
      </c>
      <c r="Y265">
        <v>0</v>
      </c>
    </row>
    <row r="266" spans="1:25" x14ac:dyDescent="0.25">
      <c r="A266" t="s">
        <v>39</v>
      </c>
      <c r="B266">
        <f>_xlfn.XLOOKUP(Table4[[#This Row],[country]],Table2[country],Table2[country_id],FALSE)</f>
        <v>6</v>
      </c>
      <c r="C266" t="s">
        <v>40</v>
      </c>
      <c r="D266">
        <v>2018</v>
      </c>
      <c r="E266">
        <f>_xlfn.XLOOKUP(Table4[[#This Row],[year]],Table1[year],Table1[year_id])</f>
        <v>9</v>
      </c>
      <c r="F266" t="s">
        <v>27</v>
      </c>
      <c r="G266" t="s">
        <v>28</v>
      </c>
      <c r="H266" cm="1">
        <f t="array" ref="H266">_xlfn.XLOOKUP(Table4[[#This Row],[vehicle_segment]]&amp;Table4[[#This Row],[powertrain_type]],Table3[vehicle_segment]&amp;Table3[powertrain_type],Table3[vehicle_id])</f>
        <v>1</v>
      </c>
      <c r="I266">
        <v>57050</v>
      </c>
      <c r="J266">
        <v>2380577</v>
      </c>
      <c r="K266">
        <v>1587051</v>
      </c>
      <c r="L266">
        <v>4024678</v>
      </c>
      <c r="M266">
        <v>1.42</v>
      </c>
      <c r="N266">
        <v>379142</v>
      </c>
      <c r="O266">
        <v>34.700000000000003</v>
      </c>
      <c r="P266">
        <v>255</v>
      </c>
      <c r="Q266">
        <v>1.0569999999999999</v>
      </c>
      <c r="R266">
        <v>0.08</v>
      </c>
      <c r="S266">
        <v>9572</v>
      </c>
      <c r="T266">
        <v>59.1</v>
      </c>
      <c r="U266">
        <v>923.5</v>
      </c>
      <c r="V266">
        <v>7500</v>
      </c>
      <c r="W266">
        <v>63.9</v>
      </c>
      <c r="X266">
        <v>50.8</v>
      </c>
      <c r="Y266">
        <v>0</v>
      </c>
    </row>
    <row r="267" spans="1:25" x14ac:dyDescent="0.25">
      <c r="A267" t="s">
        <v>39</v>
      </c>
      <c r="B267">
        <f>_xlfn.XLOOKUP(Table4[[#This Row],[country]],Table2[country],Table2[country_id],FALSE)</f>
        <v>6</v>
      </c>
      <c r="C267" t="s">
        <v>40</v>
      </c>
      <c r="D267">
        <v>2018</v>
      </c>
      <c r="E267">
        <f>_xlfn.XLOOKUP(Table4[[#This Row],[year]],Table1[year],Table1[year_id])</f>
        <v>9</v>
      </c>
      <c r="F267" t="s">
        <v>29</v>
      </c>
      <c r="G267" t="s">
        <v>28</v>
      </c>
      <c r="H267" cm="1">
        <f t="array" ref="H267">_xlfn.XLOOKUP(Table4[[#This Row],[vehicle_segment]]&amp;Table4[[#This Row],[powertrain_type]],Table3[vehicle_segment]&amp;Table3[powertrain_type],Table3[vehicle_id])</f>
        <v>2</v>
      </c>
      <c r="I267">
        <v>657547</v>
      </c>
      <c r="J267">
        <v>13708805</v>
      </c>
      <c r="K267">
        <v>1869382</v>
      </c>
      <c r="L267">
        <v>16235734</v>
      </c>
      <c r="M267">
        <v>4.05</v>
      </c>
      <c r="N267">
        <v>379142</v>
      </c>
      <c r="O267">
        <v>34.700000000000003</v>
      </c>
      <c r="P267">
        <v>255</v>
      </c>
      <c r="Q267">
        <v>1.0569999999999999</v>
      </c>
      <c r="R267">
        <v>0.08</v>
      </c>
      <c r="S267">
        <v>9572</v>
      </c>
      <c r="T267">
        <v>59.1</v>
      </c>
      <c r="U267">
        <v>923.5</v>
      </c>
      <c r="V267">
        <v>7500</v>
      </c>
      <c r="W267">
        <v>63.9</v>
      </c>
      <c r="X267">
        <v>54.65</v>
      </c>
      <c r="Y267">
        <v>0</v>
      </c>
    </row>
    <row r="268" spans="1:25" x14ac:dyDescent="0.25">
      <c r="A268" t="s">
        <v>39</v>
      </c>
      <c r="B268">
        <f>_xlfn.XLOOKUP(Table4[[#This Row],[country]],Table2[country],Table2[country_id],FALSE)</f>
        <v>6</v>
      </c>
      <c r="C268" t="s">
        <v>40</v>
      </c>
      <c r="D268">
        <v>2018</v>
      </c>
      <c r="E268">
        <f>_xlfn.XLOOKUP(Table4[[#This Row],[year]],Table1[year],Table1[year_id])</f>
        <v>9</v>
      </c>
      <c r="F268" t="s">
        <v>30</v>
      </c>
      <c r="G268" t="s">
        <v>28</v>
      </c>
      <c r="H268" cm="1">
        <f t="array" ref="H268">_xlfn.XLOOKUP(Table4[[#This Row],[vehicle_segment]]&amp;Table4[[#This Row],[powertrain_type]],Table3[vehicle_segment]&amp;Table3[powertrain_type],Table3[vehicle_id])</f>
        <v>3</v>
      </c>
      <c r="I268">
        <v>397829</v>
      </c>
      <c r="J268">
        <v>5866480</v>
      </c>
      <c r="K268">
        <v>510129</v>
      </c>
      <c r="L268">
        <v>6774438</v>
      </c>
      <c r="M268">
        <v>5.87</v>
      </c>
      <c r="N268">
        <v>379142</v>
      </c>
      <c r="O268">
        <v>34.700000000000003</v>
      </c>
      <c r="P268">
        <v>255</v>
      </c>
      <c r="Q268">
        <v>1.0569999999999999</v>
      </c>
      <c r="R268">
        <v>0.08</v>
      </c>
      <c r="S268">
        <v>9572</v>
      </c>
      <c r="T268">
        <v>59.1</v>
      </c>
      <c r="U268">
        <v>923.5</v>
      </c>
      <c r="V268">
        <v>7500</v>
      </c>
      <c r="W268">
        <v>63.9</v>
      </c>
      <c r="X268">
        <v>54.06</v>
      </c>
      <c r="Y268">
        <v>0</v>
      </c>
    </row>
    <row r="269" spans="1:25" x14ac:dyDescent="0.25">
      <c r="A269" t="s">
        <v>39</v>
      </c>
      <c r="B269">
        <f>_xlfn.XLOOKUP(Table4[[#This Row],[country]],Table2[country],Table2[country_id],FALSE)</f>
        <v>6</v>
      </c>
      <c r="C269" t="s">
        <v>40</v>
      </c>
      <c r="D269">
        <v>2019</v>
      </c>
      <c r="E269">
        <f>_xlfn.XLOOKUP(Table4[[#This Row],[year]],Table1[year],Table1[year_id])</f>
        <v>10</v>
      </c>
      <c r="F269" t="s">
        <v>27</v>
      </c>
      <c r="G269" t="s">
        <v>28</v>
      </c>
      <c r="H269" cm="1">
        <f t="array" ref="H269">_xlfn.XLOOKUP(Table4[[#This Row],[vehicle_segment]]&amp;Table4[[#This Row],[powertrain_type]],Table3[vehicle_segment]&amp;Table3[powertrain_type],Table3[vehicle_id])</f>
        <v>1</v>
      </c>
      <c r="I269">
        <v>52791</v>
      </c>
      <c r="J269">
        <v>2259457</v>
      </c>
      <c r="K269">
        <v>1506304</v>
      </c>
      <c r="L269">
        <v>3818552</v>
      </c>
      <c r="M269">
        <v>1.38</v>
      </c>
      <c r="N269">
        <v>508926</v>
      </c>
      <c r="O269">
        <v>36.5</v>
      </c>
      <c r="P269">
        <v>292</v>
      </c>
      <c r="Q269">
        <v>1.097</v>
      </c>
      <c r="R269">
        <v>0.08</v>
      </c>
      <c r="S269">
        <v>10456</v>
      </c>
      <c r="T269">
        <v>60.3</v>
      </c>
      <c r="U269">
        <v>946.3</v>
      </c>
      <c r="V269">
        <v>6445</v>
      </c>
      <c r="W269">
        <v>67.599999999999994</v>
      </c>
      <c r="X269">
        <v>-7.47</v>
      </c>
      <c r="Y269">
        <v>0</v>
      </c>
    </row>
    <row r="270" spans="1:25" x14ac:dyDescent="0.25">
      <c r="A270" t="s">
        <v>39</v>
      </c>
      <c r="B270">
        <f>_xlfn.XLOOKUP(Table4[[#This Row],[country]],Table2[country],Table2[country_id],FALSE)</f>
        <v>6</v>
      </c>
      <c r="C270" t="s">
        <v>40</v>
      </c>
      <c r="D270">
        <v>2019</v>
      </c>
      <c r="E270">
        <f>_xlfn.XLOOKUP(Table4[[#This Row],[year]],Table1[year],Table1[year_id])</f>
        <v>10</v>
      </c>
      <c r="F270" t="s">
        <v>29</v>
      </c>
      <c r="G270" t="s">
        <v>28</v>
      </c>
      <c r="H270" cm="1">
        <f t="array" ref="H270">_xlfn.XLOOKUP(Table4[[#This Row],[vehicle_segment]]&amp;Table4[[#This Row],[powertrain_type]],Table3[vehicle_segment]&amp;Table3[powertrain_type],Table3[vehicle_id])</f>
        <v>2</v>
      </c>
      <c r="I270">
        <v>606608</v>
      </c>
      <c r="J270">
        <v>12980482</v>
      </c>
      <c r="K270">
        <v>1770066</v>
      </c>
      <c r="L270">
        <v>15357156</v>
      </c>
      <c r="M270">
        <v>3.95</v>
      </c>
      <c r="N270">
        <v>508926</v>
      </c>
      <c r="O270">
        <v>36.5</v>
      </c>
      <c r="P270">
        <v>292</v>
      </c>
      <c r="Q270">
        <v>1.097</v>
      </c>
      <c r="R270">
        <v>0.08</v>
      </c>
      <c r="S270">
        <v>10456</v>
      </c>
      <c r="T270">
        <v>60.3</v>
      </c>
      <c r="U270">
        <v>946.3</v>
      </c>
      <c r="V270">
        <v>6445</v>
      </c>
      <c r="W270">
        <v>67.599999999999994</v>
      </c>
      <c r="X270">
        <v>-7.75</v>
      </c>
      <c r="Y270">
        <v>0</v>
      </c>
    </row>
    <row r="271" spans="1:25" x14ac:dyDescent="0.25">
      <c r="A271" t="s">
        <v>39</v>
      </c>
      <c r="B271">
        <f>_xlfn.XLOOKUP(Table4[[#This Row],[country]],Table2[country],Table2[country_id],FALSE)</f>
        <v>6</v>
      </c>
      <c r="C271" t="s">
        <v>40</v>
      </c>
      <c r="D271">
        <v>2019</v>
      </c>
      <c r="E271">
        <f>_xlfn.XLOOKUP(Table4[[#This Row],[year]],Table1[year],Table1[year_id])</f>
        <v>10</v>
      </c>
      <c r="F271" t="s">
        <v>30</v>
      </c>
      <c r="G271" t="s">
        <v>28</v>
      </c>
      <c r="H271" cm="1">
        <f t="array" ref="H271">_xlfn.XLOOKUP(Table4[[#This Row],[vehicle_segment]]&amp;Table4[[#This Row],[powertrain_type]],Table3[vehicle_segment]&amp;Table3[powertrain_type],Table3[vehicle_id])</f>
        <v>3</v>
      </c>
      <c r="I271">
        <v>368739</v>
      </c>
      <c r="J271">
        <v>5583765</v>
      </c>
      <c r="K271">
        <v>485545</v>
      </c>
      <c r="L271">
        <v>6438049</v>
      </c>
      <c r="M271">
        <v>5.73</v>
      </c>
      <c r="N271">
        <v>508926</v>
      </c>
      <c r="O271">
        <v>36.5</v>
      </c>
      <c r="P271">
        <v>292</v>
      </c>
      <c r="Q271">
        <v>1.097</v>
      </c>
      <c r="R271">
        <v>0.08</v>
      </c>
      <c r="S271">
        <v>10456</v>
      </c>
      <c r="T271">
        <v>60.3</v>
      </c>
      <c r="U271">
        <v>946.3</v>
      </c>
      <c r="V271">
        <v>6445</v>
      </c>
      <c r="W271">
        <v>67.599999999999994</v>
      </c>
      <c r="X271">
        <v>-7.31</v>
      </c>
      <c r="Y271">
        <v>0</v>
      </c>
    </row>
    <row r="272" spans="1:25" x14ac:dyDescent="0.25">
      <c r="A272" t="s">
        <v>39</v>
      </c>
      <c r="B272">
        <f>_xlfn.XLOOKUP(Table4[[#This Row],[country]],Table2[country],Table2[country_id],FALSE)</f>
        <v>6</v>
      </c>
      <c r="C272" t="s">
        <v>40</v>
      </c>
      <c r="D272">
        <v>2020</v>
      </c>
      <c r="E272">
        <f>_xlfn.XLOOKUP(Table4[[#This Row],[year]],Table1[year],Table1[year_id])</f>
        <v>11</v>
      </c>
      <c r="F272" t="s">
        <v>27</v>
      </c>
      <c r="G272" t="s">
        <v>28</v>
      </c>
      <c r="H272" cm="1">
        <f t="array" ref="H272">_xlfn.XLOOKUP(Table4[[#This Row],[vehicle_segment]]&amp;Table4[[#This Row],[powertrain_type]],Table3[vehicle_segment]&amp;Table3[powertrain_type],Table3[vehicle_id])</f>
        <v>1</v>
      </c>
      <c r="I272">
        <v>65695</v>
      </c>
      <c r="J272">
        <v>2181896</v>
      </c>
      <c r="K272">
        <v>1454598</v>
      </c>
      <c r="L272">
        <v>3702189</v>
      </c>
      <c r="M272">
        <v>1.77</v>
      </c>
      <c r="N272">
        <v>886513</v>
      </c>
      <c r="O272">
        <v>39</v>
      </c>
      <c r="P272">
        <v>334</v>
      </c>
      <c r="Q272">
        <v>1.1499999999999999</v>
      </c>
      <c r="R272">
        <v>0.08</v>
      </c>
      <c r="S272">
        <v>10952</v>
      </c>
      <c r="T272">
        <v>61.6</v>
      </c>
      <c r="U272">
        <v>936.8</v>
      </c>
      <c r="V272">
        <v>5443</v>
      </c>
      <c r="W272">
        <v>72.400000000000006</v>
      </c>
      <c r="X272">
        <v>24.44</v>
      </c>
      <c r="Y272">
        <v>0</v>
      </c>
    </row>
    <row r="273" spans="1:25" x14ac:dyDescent="0.25">
      <c r="A273" t="s">
        <v>39</v>
      </c>
      <c r="B273">
        <f>_xlfn.XLOOKUP(Table4[[#This Row],[country]],Table2[country],Table2[country_id],FALSE)</f>
        <v>6</v>
      </c>
      <c r="C273" t="s">
        <v>40</v>
      </c>
      <c r="D273">
        <v>2020</v>
      </c>
      <c r="E273">
        <f>_xlfn.XLOOKUP(Table4[[#This Row],[year]],Table1[year],Table1[year_id])</f>
        <v>11</v>
      </c>
      <c r="F273" t="s">
        <v>29</v>
      </c>
      <c r="G273" t="s">
        <v>28</v>
      </c>
      <c r="H273" cm="1">
        <f t="array" ref="H273">_xlfn.XLOOKUP(Table4[[#This Row],[vehicle_segment]]&amp;Table4[[#This Row],[powertrain_type]],Table3[vehicle_segment]&amp;Table3[powertrain_type],Table3[vehicle_id])</f>
        <v>2</v>
      </c>
      <c r="I273">
        <v>759262</v>
      </c>
      <c r="J273">
        <v>12510357</v>
      </c>
      <c r="K273">
        <v>1705958</v>
      </c>
      <c r="L273">
        <v>14975577</v>
      </c>
      <c r="M273">
        <v>5.07</v>
      </c>
      <c r="N273">
        <v>886513</v>
      </c>
      <c r="O273">
        <v>39</v>
      </c>
      <c r="P273">
        <v>334</v>
      </c>
      <c r="Q273">
        <v>1.1499999999999999</v>
      </c>
      <c r="R273">
        <v>0.08</v>
      </c>
      <c r="S273">
        <v>10952</v>
      </c>
      <c r="T273">
        <v>61.6</v>
      </c>
      <c r="U273">
        <v>936.8</v>
      </c>
      <c r="V273">
        <v>5443</v>
      </c>
      <c r="W273">
        <v>72.400000000000006</v>
      </c>
      <c r="X273">
        <v>25.17</v>
      </c>
      <c r="Y273">
        <v>0</v>
      </c>
    </row>
    <row r="274" spans="1:25" x14ac:dyDescent="0.25">
      <c r="A274" t="s">
        <v>39</v>
      </c>
      <c r="B274">
        <f>_xlfn.XLOOKUP(Table4[[#This Row],[country]],Table2[country],Table2[country_id],FALSE)</f>
        <v>6</v>
      </c>
      <c r="C274" t="s">
        <v>40</v>
      </c>
      <c r="D274">
        <v>2020</v>
      </c>
      <c r="E274">
        <f>_xlfn.XLOOKUP(Table4[[#This Row],[year]],Table1[year],Table1[year_id])</f>
        <v>11</v>
      </c>
      <c r="F274" t="s">
        <v>30</v>
      </c>
      <c r="G274" t="s">
        <v>28</v>
      </c>
      <c r="H274" cm="1">
        <f t="array" ref="H274">_xlfn.XLOOKUP(Table4[[#This Row],[vehicle_segment]]&amp;Table4[[#This Row],[powertrain_type]],Table3[vehicle_segment]&amp;Table3[powertrain_type],Table3[vehicle_id])</f>
        <v>3</v>
      </c>
      <c r="I274">
        <v>451304</v>
      </c>
      <c r="J274">
        <v>5232629</v>
      </c>
      <c r="K274">
        <v>455011</v>
      </c>
      <c r="L274">
        <v>6138944</v>
      </c>
      <c r="M274">
        <v>7.35</v>
      </c>
      <c r="N274">
        <v>886513</v>
      </c>
      <c r="O274">
        <v>39</v>
      </c>
      <c r="P274">
        <v>334</v>
      </c>
      <c r="Q274">
        <v>1.1499999999999999</v>
      </c>
      <c r="R274">
        <v>0.08</v>
      </c>
      <c r="S274">
        <v>10952</v>
      </c>
      <c r="T274">
        <v>61.6</v>
      </c>
      <c r="U274">
        <v>936.8</v>
      </c>
      <c r="V274">
        <v>5443</v>
      </c>
      <c r="W274">
        <v>72.400000000000006</v>
      </c>
      <c r="X274">
        <v>22.39</v>
      </c>
      <c r="Y274">
        <v>0</v>
      </c>
    </row>
    <row r="275" spans="1:25" x14ac:dyDescent="0.25">
      <c r="A275" t="s">
        <v>39</v>
      </c>
      <c r="B275">
        <f>_xlfn.XLOOKUP(Table4[[#This Row],[country]],Table2[country],Table2[country_id],FALSE)</f>
        <v>6</v>
      </c>
      <c r="C275" t="s">
        <v>40</v>
      </c>
      <c r="D275">
        <v>2021</v>
      </c>
      <c r="E275">
        <f>_xlfn.XLOOKUP(Table4[[#This Row],[year]],Table1[year],Table1[year_id])</f>
        <v>12</v>
      </c>
      <c r="F275" t="s">
        <v>27</v>
      </c>
      <c r="G275" t="s">
        <v>28</v>
      </c>
      <c r="H275" cm="1">
        <f t="array" ref="H275">_xlfn.XLOOKUP(Table4[[#This Row],[vehicle_segment]]&amp;Table4[[#This Row],[powertrain_type]],Table3[vehicle_segment]&amp;Table3[powertrain_type],Table3[vehicle_id])</f>
        <v>1</v>
      </c>
      <c r="I275">
        <v>182482</v>
      </c>
      <c r="J275">
        <v>2223298</v>
      </c>
      <c r="K275">
        <v>1482198</v>
      </c>
      <c r="L275">
        <v>3887978</v>
      </c>
      <c r="M275">
        <v>4.6900000000000004</v>
      </c>
      <c r="N275">
        <v>1173925</v>
      </c>
      <c r="O275">
        <v>45.1</v>
      </c>
      <c r="P275">
        <v>356</v>
      </c>
      <c r="Q275">
        <v>1.2270000000000001</v>
      </c>
      <c r="R275">
        <v>8.1000000000000003E-2</v>
      </c>
      <c r="S275">
        <v>11913</v>
      </c>
      <c r="T275">
        <v>62.2</v>
      </c>
      <c r="U275">
        <v>923</v>
      </c>
      <c r="V275">
        <v>4503</v>
      </c>
      <c r="W275">
        <v>75.8</v>
      </c>
      <c r="X275">
        <v>177.77</v>
      </c>
      <c r="Y275">
        <v>0</v>
      </c>
    </row>
    <row r="276" spans="1:25" x14ac:dyDescent="0.25">
      <c r="A276" t="s">
        <v>39</v>
      </c>
      <c r="B276">
        <f>_xlfn.XLOOKUP(Table4[[#This Row],[country]],Table2[country],Table2[country_id],FALSE)</f>
        <v>6</v>
      </c>
      <c r="C276" t="s">
        <v>40</v>
      </c>
      <c r="D276">
        <v>2021</v>
      </c>
      <c r="E276">
        <f>_xlfn.XLOOKUP(Table4[[#This Row],[year]],Table1[year],Table1[year_id])</f>
        <v>12</v>
      </c>
      <c r="F276" t="s">
        <v>29</v>
      </c>
      <c r="G276" t="s">
        <v>28</v>
      </c>
      <c r="H276" cm="1">
        <f t="array" ref="H276">_xlfn.XLOOKUP(Table4[[#This Row],[vehicle_segment]]&amp;Table4[[#This Row],[powertrain_type]],Table3[vehicle_segment]&amp;Table3[powertrain_type],Table3[vehicle_id])</f>
        <v>2</v>
      </c>
      <c r="I276">
        <v>2076882</v>
      </c>
      <c r="J276">
        <v>11801399</v>
      </c>
      <c r="K276">
        <v>1609282</v>
      </c>
      <c r="L276">
        <v>15487563</v>
      </c>
      <c r="M276">
        <v>13.41</v>
      </c>
      <c r="N276">
        <v>1173925</v>
      </c>
      <c r="O276">
        <v>45.1</v>
      </c>
      <c r="P276">
        <v>356</v>
      </c>
      <c r="Q276">
        <v>1.2270000000000001</v>
      </c>
      <c r="R276">
        <v>8.1000000000000003E-2</v>
      </c>
      <c r="S276">
        <v>11913</v>
      </c>
      <c r="T276">
        <v>62.2</v>
      </c>
      <c r="U276">
        <v>923</v>
      </c>
      <c r="V276">
        <v>4503</v>
      </c>
      <c r="W276">
        <v>75.8</v>
      </c>
      <c r="X276">
        <v>173.54</v>
      </c>
      <c r="Y276">
        <v>0</v>
      </c>
    </row>
    <row r="277" spans="1:25" x14ac:dyDescent="0.25">
      <c r="A277" t="s">
        <v>39</v>
      </c>
      <c r="B277">
        <f>_xlfn.XLOOKUP(Table4[[#This Row],[country]],Table2[country],Table2[country_id],FALSE)</f>
        <v>6</v>
      </c>
      <c r="C277" t="s">
        <v>40</v>
      </c>
      <c r="D277">
        <v>2021</v>
      </c>
      <c r="E277">
        <f>_xlfn.XLOOKUP(Table4[[#This Row],[year]],Table1[year],Table1[year_id])</f>
        <v>12</v>
      </c>
      <c r="F277" t="s">
        <v>30</v>
      </c>
      <c r="G277" t="s">
        <v>28</v>
      </c>
      <c r="H277" cm="1">
        <f t="array" ref="H277">_xlfn.XLOOKUP(Table4[[#This Row],[vehicle_segment]]&amp;Table4[[#This Row],[powertrain_type]],Table3[vehicle_segment]&amp;Table3[powertrain_type],Table3[vehicle_id])</f>
        <v>3</v>
      </c>
      <c r="I277">
        <v>1262661</v>
      </c>
      <c r="J277">
        <v>4812525</v>
      </c>
      <c r="K277">
        <v>418480</v>
      </c>
      <c r="L277">
        <v>6493666</v>
      </c>
      <c r="M277">
        <v>19.440000000000001</v>
      </c>
      <c r="N277">
        <v>1173925</v>
      </c>
      <c r="O277">
        <v>45.1</v>
      </c>
      <c r="P277">
        <v>356</v>
      </c>
      <c r="Q277">
        <v>1.2270000000000001</v>
      </c>
      <c r="R277">
        <v>8.1000000000000003E-2</v>
      </c>
      <c r="S277">
        <v>11913</v>
      </c>
      <c r="T277">
        <v>62.2</v>
      </c>
      <c r="U277">
        <v>923</v>
      </c>
      <c r="V277">
        <v>4503</v>
      </c>
      <c r="W277">
        <v>75.8</v>
      </c>
      <c r="X277">
        <v>179.78</v>
      </c>
      <c r="Y277">
        <v>0</v>
      </c>
    </row>
    <row r="278" spans="1:25" x14ac:dyDescent="0.25">
      <c r="A278" t="s">
        <v>39</v>
      </c>
      <c r="B278">
        <f>_xlfn.XLOOKUP(Table4[[#This Row],[country]],Table2[country],Table2[country_id],FALSE)</f>
        <v>6</v>
      </c>
      <c r="C278" t="s">
        <v>40</v>
      </c>
      <c r="D278">
        <v>2022</v>
      </c>
      <c r="E278">
        <f>_xlfn.XLOOKUP(Table4[[#This Row],[year]],Table1[year],Table1[year_id])</f>
        <v>13</v>
      </c>
      <c r="F278" t="s">
        <v>27</v>
      </c>
      <c r="G278" t="s">
        <v>28</v>
      </c>
      <c r="H278" cm="1">
        <f t="array" ref="H278">_xlfn.XLOOKUP(Table4[[#This Row],[vehicle_segment]]&amp;Table4[[#This Row],[powertrain_type]],Table3[vehicle_segment]&amp;Table3[powertrain_type],Table3[vehicle_id])</f>
        <v>1</v>
      </c>
      <c r="I278">
        <v>315782</v>
      </c>
      <c r="J278">
        <v>2201614</v>
      </c>
      <c r="K278">
        <v>1467742</v>
      </c>
      <c r="L278">
        <v>3985138</v>
      </c>
      <c r="M278">
        <v>7.92</v>
      </c>
      <c r="N278">
        <v>1869115</v>
      </c>
      <c r="O278">
        <v>40.4</v>
      </c>
      <c r="P278">
        <v>387</v>
      </c>
      <c r="Q278">
        <v>1.2669999999999999</v>
      </c>
      <c r="R278">
        <v>8.3000000000000004E-2</v>
      </c>
      <c r="S278">
        <v>12563</v>
      </c>
      <c r="T278">
        <v>63.3</v>
      </c>
      <c r="U278">
        <v>894.3</v>
      </c>
      <c r="V278">
        <v>3542</v>
      </c>
      <c r="W278">
        <v>78.5</v>
      </c>
      <c r="X278">
        <v>73.05</v>
      </c>
      <c r="Y278">
        <v>0</v>
      </c>
    </row>
    <row r="279" spans="1:25" x14ac:dyDescent="0.25">
      <c r="A279" t="s">
        <v>39</v>
      </c>
      <c r="B279">
        <f>_xlfn.XLOOKUP(Table4[[#This Row],[country]],Table2[country],Table2[country_id],FALSE)</f>
        <v>6</v>
      </c>
      <c r="C279" t="s">
        <v>40</v>
      </c>
      <c r="D279">
        <v>2022</v>
      </c>
      <c r="E279">
        <f>_xlfn.XLOOKUP(Table4[[#This Row],[year]],Table1[year],Table1[year_id])</f>
        <v>13</v>
      </c>
      <c r="F279" t="s">
        <v>29</v>
      </c>
      <c r="G279" t="s">
        <v>28</v>
      </c>
      <c r="H279" cm="1">
        <f t="array" ref="H279">_xlfn.XLOOKUP(Table4[[#This Row],[vehicle_segment]]&amp;Table4[[#This Row],[powertrain_type]],Table3[vehicle_segment]&amp;Table3[powertrain_type],Table3[vehicle_id])</f>
        <v>2</v>
      </c>
      <c r="I279">
        <v>3563298</v>
      </c>
      <c r="J279">
        <v>10714573</v>
      </c>
      <c r="K279">
        <v>1461078</v>
      </c>
      <c r="L279">
        <v>15738949</v>
      </c>
      <c r="M279">
        <v>22.64</v>
      </c>
      <c r="N279">
        <v>1869115</v>
      </c>
      <c r="O279">
        <v>40.4</v>
      </c>
      <c r="P279">
        <v>387</v>
      </c>
      <c r="Q279">
        <v>1.2669999999999999</v>
      </c>
      <c r="R279">
        <v>8.3000000000000004E-2</v>
      </c>
      <c r="S279">
        <v>12563</v>
      </c>
      <c r="T279">
        <v>63.3</v>
      </c>
      <c r="U279">
        <v>894.3</v>
      </c>
      <c r="V279">
        <v>3542</v>
      </c>
      <c r="W279">
        <v>78.5</v>
      </c>
      <c r="X279">
        <v>71.569999999999993</v>
      </c>
      <c r="Y279">
        <v>0</v>
      </c>
    </row>
    <row r="280" spans="1:25" x14ac:dyDescent="0.25">
      <c r="A280" t="s">
        <v>39</v>
      </c>
      <c r="B280">
        <f>_xlfn.XLOOKUP(Table4[[#This Row],[country]],Table2[country],Table2[country_id],FALSE)</f>
        <v>6</v>
      </c>
      <c r="C280" t="s">
        <v>40</v>
      </c>
      <c r="D280">
        <v>2022</v>
      </c>
      <c r="E280">
        <f>_xlfn.XLOOKUP(Table4[[#This Row],[year]],Table1[year],Table1[year_id])</f>
        <v>13</v>
      </c>
      <c r="F280" t="s">
        <v>30</v>
      </c>
      <c r="G280" t="s">
        <v>28</v>
      </c>
      <c r="H280" cm="1">
        <f t="array" ref="H280">_xlfn.XLOOKUP(Table4[[#This Row],[vehicle_segment]]&amp;Table4[[#This Row],[powertrain_type]],Table3[vehicle_segment]&amp;Table3[powertrain_type],Table3[vehicle_id])</f>
        <v>3</v>
      </c>
      <c r="I280">
        <v>2170129</v>
      </c>
      <c r="J280">
        <v>4085236</v>
      </c>
      <c r="K280">
        <v>355238</v>
      </c>
      <c r="L280">
        <v>6610603</v>
      </c>
      <c r="M280">
        <v>32.83</v>
      </c>
      <c r="N280">
        <v>1869115</v>
      </c>
      <c r="O280">
        <v>40.4</v>
      </c>
      <c r="P280">
        <v>387</v>
      </c>
      <c r="Q280">
        <v>1.2669999999999999</v>
      </c>
      <c r="R280">
        <v>8.3000000000000004E-2</v>
      </c>
      <c r="S280">
        <v>12563</v>
      </c>
      <c r="T280">
        <v>63.3</v>
      </c>
      <c r="U280">
        <v>894.3</v>
      </c>
      <c r="V280">
        <v>3542</v>
      </c>
      <c r="W280">
        <v>78.5</v>
      </c>
      <c r="X280">
        <v>71.87</v>
      </c>
      <c r="Y280">
        <v>0</v>
      </c>
    </row>
    <row r="281" spans="1:25" x14ac:dyDescent="0.25">
      <c r="A281" t="s">
        <v>39</v>
      </c>
      <c r="B281">
        <f>_xlfn.XLOOKUP(Table4[[#This Row],[country]],Table2[country],Table2[country_id],FALSE)</f>
        <v>6</v>
      </c>
      <c r="C281" t="s">
        <v>40</v>
      </c>
      <c r="D281">
        <v>2023</v>
      </c>
      <c r="E281">
        <f>_xlfn.XLOOKUP(Table4[[#This Row],[year]],Table1[year],Table1[year_id])</f>
        <v>14</v>
      </c>
      <c r="F281" t="s">
        <v>27</v>
      </c>
      <c r="G281" t="s">
        <v>28</v>
      </c>
      <c r="H281" cm="1">
        <f t="array" ref="H281">_xlfn.XLOOKUP(Table4[[#This Row],[vehicle_segment]]&amp;Table4[[#This Row],[powertrain_type]],Table3[vehicle_segment]&amp;Table3[powertrain_type],Table3[vehicle_id])</f>
        <v>1</v>
      </c>
      <c r="I281">
        <v>425268</v>
      </c>
      <c r="J281">
        <v>2439959</v>
      </c>
      <c r="K281">
        <v>1626640</v>
      </c>
      <c r="L281">
        <v>4491867</v>
      </c>
      <c r="M281">
        <v>9.4700000000000006</v>
      </c>
      <c r="N281">
        <v>2593024</v>
      </c>
      <c r="O281">
        <v>40.200000000000003</v>
      </c>
      <c r="P281">
        <v>425</v>
      </c>
      <c r="Q281">
        <v>1.28</v>
      </c>
      <c r="R281">
        <v>8.5000000000000006E-2</v>
      </c>
      <c r="S281">
        <v>13093</v>
      </c>
      <c r="T281">
        <v>64.2</v>
      </c>
      <c r="U281">
        <v>888.8</v>
      </c>
      <c r="V281">
        <v>0</v>
      </c>
      <c r="W281">
        <v>82.8</v>
      </c>
      <c r="X281">
        <v>34.67</v>
      </c>
      <c r="Y281">
        <v>0</v>
      </c>
    </row>
    <row r="282" spans="1:25" x14ac:dyDescent="0.25">
      <c r="A282" t="s">
        <v>39</v>
      </c>
      <c r="B282">
        <f>_xlfn.XLOOKUP(Table4[[#This Row],[country]],Table2[country],Table2[country_id],FALSE)</f>
        <v>6</v>
      </c>
      <c r="C282" t="s">
        <v>40</v>
      </c>
      <c r="D282">
        <v>2023</v>
      </c>
      <c r="E282">
        <f>_xlfn.XLOOKUP(Table4[[#This Row],[year]],Table1[year],Table1[year_id])</f>
        <v>14</v>
      </c>
      <c r="F282" t="s">
        <v>29</v>
      </c>
      <c r="G282" t="s">
        <v>28</v>
      </c>
      <c r="H282" cm="1">
        <f t="array" ref="H282">_xlfn.XLOOKUP(Table4[[#This Row],[vehicle_segment]]&amp;Table4[[#This Row],[powertrain_type]],Table3[vehicle_segment]&amp;Table3[powertrain_type],Table3[vehicle_id])</f>
        <v>2</v>
      </c>
      <c r="I282">
        <v>4944766</v>
      </c>
      <c r="J282">
        <v>11735091</v>
      </c>
      <c r="K282">
        <v>1600240</v>
      </c>
      <c r="L282">
        <v>18280097</v>
      </c>
      <c r="M282">
        <v>27.05</v>
      </c>
      <c r="N282">
        <v>2593024</v>
      </c>
      <c r="O282">
        <v>40.200000000000003</v>
      </c>
      <c r="P282">
        <v>425</v>
      </c>
      <c r="Q282">
        <v>1.28</v>
      </c>
      <c r="R282">
        <v>8.5000000000000006E-2</v>
      </c>
      <c r="S282">
        <v>13093</v>
      </c>
      <c r="T282">
        <v>64.2</v>
      </c>
      <c r="U282">
        <v>888.8</v>
      </c>
      <c r="V282">
        <v>0</v>
      </c>
      <c r="W282">
        <v>82.8</v>
      </c>
      <c r="X282">
        <v>38.770000000000003</v>
      </c>
      <c r="Y282">
        <v>0</v>
      </c>
    </row>
    <row r="283" spans="1:25" x14ac:dyDescent="0.25">
      <c r="A283" t="s">
        <v>39</v>
      </c>
      <c r="B283">
        <f>_xlfn.XLOOKUP(Table4[[#This Row],[country]],Table2[country],Table2[country_id],FALSE)</f>
        <v>6</v>
      </c>
      <c r="C283" t="s">
        <v>40</v>
      </c>
      <c r="D283">
        <v>2023</v>
      </c>
      <c r="E283">
        <f>_xlfn.XLOOKUP(Table4[[#This Row],[year]],Table1[year],Table1[year_id])</f>
        <v>14</v>
      </c>
      <c r="F283" t="s">
        <v>30</v>
      </c>
      <c r="G283" t="s">
        <v>28</v>
      </c>
      <c r="H283" cm="1">
        <f t="array" ref="H283">_xlfn.XLOOKUP(Table4[[#This Row],[vehicle_segment]]&amp;Table4[[#This Row],[powertrain_type]],Table3[vehicle_segment]&amp;Table3[powertrain_type],Table3[vehicle_id])</f>
        <v>3</v>
      </c>
      <c r="I283">
        <v>3022792</v>
      </c>
      <c r="J283">
        <v>4309269</v>
      </c>
      <c r="K283">
        <v>374719</v>
      </c>
      <c r="L283">
        <v>7706780</v>
      </c>
      <c r="M283">
        <v>39.22</v>
      </c>
      <c r="N283">
        <v>2593024</v>
      </c>
      <c r="O283">
        <v>40.200000000000003</v>
      </c>
      <c r="P283">
        <v>425</v>
      </c>
      <c r="Q283">
        <v>1.28</v>
      </c>
      <c r="R283">
        <v>8.5000000000000006E-2</v>
      </c>
      <c r="S283">
        <v>13093</v>
      </c>
      <c r="T283">
        <v>64.2</v>
      </c>
      <c r="U283">
        <v>888.8</v>
      </c>
      <c r="V283">
        <v>0</v>
      </c>
      <c r="W283">
        <v>82.8</v>
      </c>
      <c r="X283">
        <v>39.29</v>
      </c>
      <c r="Y283">
        <v>0</v>
      </c>
    </row>
    <row r="284" spans="1:25" x14ac:dyDescent="0.25">
      <c r="A284" t="s">
        <v>39</v>
      </c>
      <c r="B284">
        <f>_xlfn.XLOOKUP(Table4[[#This Row],[country]],Table2[country],Table2[country_id],FALSE)</f>
        <v>6</v>
      </c>
      <c r="C284" t="s">
        <v>40</v>
      </c>
      <c r="D284">
        <v>2024</v>
      </c>
      <c r="E284">
        <f>_xlfn.XLOOKUP(Table4[[#This Row],[year]],Table1[year],Table1[year_id])</f>
        <v>15</v>
      </c>
      <c r="F284" t="s">
        <v>27</v>
      </c>
      <c r="G284" t="s">
        <v>28</v>
      </c>
      <c r="H284" cm="1">
        <f t="array" ref="H284">_xlfn.XLOOKUP(Table4[[#This Row],[vehicle_segment]]&amp;Table4[[#This Row],[powertrain_type]],Table3[vehicle_segment]&amp;Table3[powertrain_type],Table3[vehicle_id])</f>
        <v>1</v>
      </c>
      <c r="I284">
        <v>551571</v>
      </c>
      <c r="J284">
        <v>2464064</v>
      </c>
      <c r="K284">
        <v>1642709</v>
      </c>
      <c r="L284">
        <v>4658344</v>
      </c>
      <c r="M284">
        <v>11.84</v>
      </c>
      <c r="N284">
        <v>3761208</v>
      </c>
      <c r="O284">
        <v>45</v>
      </c>
      <c r="P284">
        <v>442</v>
      </c>
      <c r="Q284">
        <v>1.2330000000000001</v>
      </c>
      <c r="R284">
        <v>8.7999999999999995E-2</v>
      </c>
      <c r="S284">
        <v>13269</v>
      </c>
      <c r="T284">
        <v>65.2</v>
      </c>
      <c r="U284">
        <v>857.2</v>
      </c>
      <c r="V284">
        <v>0</v>
      </c>
      <c r="W284">
        <v>85.5</v>
      </c>
      <c r="X284">
        <v>29.7</v>
      </c>
      <c r="Y284">
        <v>0</v>
      </c>
    </row>
    <row r="285" spans="1:25" x14ac:dyDescent="0.25">
      <c r="A285" t="s">
        <v>39</v>
      </c>
      <c r="B285">
        <f>_xlfn.XLOOKUP(Table4[[#This Row],[country]],Table2[country],Table2[country_id],FALSE)</f>
        <v>6</v>
      </c>
      <c r="C285" t="s">
        <v>40</v>
      </c>
      <c r="D285">
        <v>2024</v>
      </c>
      <c r="E285">
        <f>_xlfn.XLOOKUP(Table4[[#This Row],[year]],Table1[year],Table1[year_id])</f>
        <v>15</v>
      </c>
      <c r="F285" t="s">
        <v>29</v>
      </c>
      <c r="G285" t="s">
        <v>28</v>
      </c>
      <c r="H285" cm="1">
        <f t="array" ref="H285">_xlfn.XLOOKUP(Table4[[#This Row],[vehicle_segment]]&amp;Table4[[#This Row],[powertrain_type]],Table3[vehicle_segment]&amp;Table3[powertrain_type],Table3[vehicle_id])</f>
        <v>2</v>
      </c>
      <c r="I285">
        <v>6366690</v>
      </c>
      <c r="J285">
        <v>10958612</v>
      </c>
      <c r="K285">
        <v>1494356</v>
      </c>
      <c r="L285">
        <v>18819658</v>
      </c>
      <c r="M285">
        <v>33.83</v>
      </c>
      <c r="N285">
        <v>3761208</v>
      </c>
      <c r="O285">
        <v>45</v>
      </c>
      <c r="P285">
        <v>442</v>
      </c>
      <c r="Q285">
        <v>1.2330000000000001</v>
      </c>
      <c r="R285">
        <v>8.7999999999999995E-2</v>
      </c>
      <c r="S285">
        <v>13269</v>
      </c>
      <c r="T285">
        <v>65.2</v>
      </c>
      <c r="U285">
        <v>857.2</v>
      </c>
      <c r="V285">
        <v>0</v>
      </c>
      <c r="W285">
        <v>85.5</v>
      </c>
      <c r="X285">
        <v>28.76</v>
      </c>
      <c r="Y285">
        <v>0</v>
      </c>
    </row>
    <row r="286" spans="1:25" x14ac:dyDescent="0.25">
      <c r="A286" t="s">
        <v>39</v>
      </c>
      <c r="B286">
        <f>_xlfn.XLOOKUP(Table4[[#This Row],[country]],Table2[country],Table2[country_id],FALSE)</f>
        <v>6</v>
      </c>
      <c r="C286" t="s">
        <v>40</v>
      </c>
      <c r="D286">
        <v>2024</v>
      </c>
      <c r="E286">
        <f>_xlfn.XLOOKUP(Table4[[#This Row],[year]],Table1[year],Table1[year_id])</f>
        <v>15</v>
      </c>
      <c r="F286" t="s">
        <v>30</v>
      </c>
      <c r="G286" t="s">
        <v>34</v>
      </c>
      <c r="H286" cm="1">
        <f t="array" ref="H286">_xlfn.XLOOKUP(Table4[[#This Row],[vehicle_segment]]&amp;Table4[[#This Row],[powertrain_type]],Table3[vehicle_segment]&amp;Table3[powertrain_type],Table3[vehicle_id])</f>
        <v>4</v>
      </c>
      <c r="I286">
        <v>3923580</v>
      </c>
      <c r="J286">
        <v>3748994</v>
      </c>
      <c r="K286">
        <v>325999</v>
      </c>
      <c r="L286">
        <v>7998573</v>
      </c>
      <c r="M286">
        <v>49.05</v>
      </c>
      <c r="N286">
        <v>3761208</v>
      </c>
      <c r="O286">
        <v>45</v>
      </c>
      <c r="P286">
        <v>442</v>
      </c>
      <c r="Q286">
        <v>1.2330000000000001</v>
      </c>
      <c r="R286">
        <v>8.7999999999999995E-2</v>
      </c>
      <c r="S286">
        <v>13269</v>
      </c>
      <c r="T286">
        <v>65.2</v>
      </c>
      <c r="U286">
        <v>857.2</v>
      </c>
      <c r="V286">
        <v>0</v>
      </c>
      <c r="W286">
        <v>85.5</v>
      </c>
      <c r="X286">
        <v>29.8</v>
      </c>
      <c r="Y286">
        <v>0</v>
      </c>
    </row>
    <row r="287" spans="1:25" x14ac:dyDescent="0.25">
      <c r="A287" t="s">
        <v>39</v>
      </c>
      <c r="B287">
        <f>_xlfn.XLOOKUP(Table4[[#This Row],[country]],Table2[country],Table2[country_id],FALSE)</f>
        <v>6</v>
      </c>
      <c r="C287" t="s">
        <v>40</v>
      </c>
      <c r="D287">
        <v>2025</v>
      </c>
      <c r="E287">
        <f>_xlfn.XLOOKUP(Table4[[#This Row],[year]],Table1[year],Table1[year_id])</f>
        <v>16</v>
      </c>
      <c r="F287" t="s">
        <v>27</v>
      </c>
      <c r="G287" t="s">
        <v>28</v>
      </c>
      <c r="H287" cm="1">
        <f t="array" ref="H287">_xlfn.XLOOKUP(Table4[[#This Row],[vehicle_segment]]&amp;Table4[[#This Row],[powertrain_type]],Table3[vehicle_segment]&amp;Table3[powertrain_type],Table3[vehicle_id])</f>
        <v>1</v>
      </c>
      <c r="I287">
        <v>671627</v>
      </c>
      <c r="J287">
        <v>2426615</v>
      </c>
      <c r="K287">
        <v>1617743</v>
      </c>
      <c r="L287">
        <v>4715985</v>
      </c>
      <c r="M287">
        <v>14.24</v>
      </c>
      <c r="N287">
        <v>4338106</v>
      </c>
      <c r="O287">
        <v>49.3</v>
      </c>
      <c r="P287">
        <v>468</v>
      </c>
      <c r="Q287">
        <v>1.18</v>
      </c>
      <c r="R287">
        <v>0.09</v>
      </c>
      <c r="S287">
        <v>13776</v>
      </c>
      <c r="T287">
        <v>65.8</v>
      </c>
      <c r="U287">
        <v>828.7</v>
      </c>
      <c r="V287">
        <v>0</v>
      </c>
      <c r="W287">
        <v>87.3</v>
      </c>
      <c r="X287">
        <v>21.77</v>
      </c>
      <c r="Y287">
        <v>0</v>
      </c>
    </row>
    <row r="288" spans="1:25" x14ac:dyDescent="0.25">
      <c r="A288" t="s">
        <v>39</v>
      </c>
      <c r="B288">
        <f>_xlfn.XLOOKUP(Table4[[#This Row],[country]],Table2[country],Table2[country_id],FALSE)</f>
        <v>6</v>
      </c>
      <c r="C288" t="s">
        <v>40</v>
      </c>
      <c r="D288">
        <v>2025</v>
      </c>
      <c r="E288">
        <f>_xlfn.XLOOKUP(Table4[[#This Row],[year]],Table1[year],Table1[year_id])</f>
        <v>16</v>
      </c>
      <c r="F288" t="s">
        <v>29</v>
      </c>
      <c r="G288" t="s">
        <v>34</v>
      </c>
      <c r="H288" cm="1">
        <f t="array" ref="H288">_xlfn.XLOOKUP(Table4[[#This Row],[vehicle_segment]]&amp;Table4[[#This Row],[powertrain_type]],Table3[vehicle_segment]&amp;Table3[powertrain_type],Table3[vehicle_id])</f>
        <v>5</v>
      </c>
      <c r="I288">
        <v>7670056</v>
      </c>
      <c r="J288">
        <v>9838330</v>
      </c>
      <c r="K288">
        <v>1341591</v>
      </c>
      <c r="L288">
        <v>18849977</v>
      </c>
      <c r="M288">
        <v>40.69</v>
      </c>
      <c r="N288">
        <v>4338106</v>
      </c>
      <c r="O288">
        <v>49.3</v>
      </c>
      <c r="P288">
        <v>468</v>
      </c>
      <c r="Q288">
        <v>1.18</v>
      </c>
      <c r="R288">
        <v>0.09</v>
      </c>
      <c r="S288">
        <v>13776</v>
      </c>
      <c r="T288">
        <v>65.8</v>
      </c>
      <c r="U288">
        <v>828.7</v>
      </c>
      <c r="V288">
        <v>0</v>
      </c>
      <c r="W288">
        <v>87.3</v>
      </c>
      <c r="X288">
        <v>20.47</v>
      </c>
      <c r="Y288">
        <v>0</v>
      </c>
    </row>
    <row r="289" spans="1:25" x14ac:dyDescent="0.25">
      <c r="A289" t="s">
        <v>39</v>
      </c>
      <c r="B289">
        <f>_xlfn.XLOOKUP(Table4[[#This Row],[country]],Table2[country],Table2[country_id],FALSE)</f>
        <v>6</v>
      </c>
      <c r="C289" t="s">
        <v>40</v>
      </c>
      <c r="D289">
        <v>2025</v>
      </c>
      <c r="E289">
        <f>_xlfn.XLOOKUP(Table4[[#This Row],[year]],Table1[year],Table1[year_id])</f>
        <v>16</v>
      </c>
      <c r="F289" t="s">
        <v>30</v>
      </c>
      <c r="G289" t="s">
        <v>34</v>
      </c>
      <c r="H289" cm="1">
        <f t="array" ref="H289">_xlfn.XLOOKUP(Table4[[#This Row],[vehicle_segment]]&amp;Table4[[#This Row],[powertrain_type]],Table3[vehicle_segment]&amp;Table3[powertrain_type],Table3[vehicle_id])</f>
        <v>4</v>
      </c>
      <c r="I289">
        <v>4562920</v>
      </c>
      <c r="J289">
        <v>2917116</v>
      </c>
      <c r="K289">
        <v>253662</v>
      </c>
      <c r="L289">
        <v>7733698</v>
      </c>
      <c r="M289">
        <v>59</v>
      </c>
      <c r="N289">
        <v>4338106</v>
      </c>
      <c r="O289">
        <v>49.3</v>
      </c>
      <c r="P289">
        <v>468</v>
      </c>
      <c r="Q289">
        <v>1.18</v>
      </c>
      <c r="R289">
        <v>0.09</v>
      </c>
      <c r="S289">
        <v>13776</v>
      </c>
      <c r="T289">
        <v>65.8</v>
      </c>
      <c r="U289">
        <v>828.7</v>
      </c>
      <c r="V289">
        <v>0</v>
      </c>
      <c r="W289">
        <v>87.3</v>
      </c>
      <c r="X289">
        <v>16.29</v>
      </c>
      <c r="Y289">
        <v>1</v>
      </c>
    </row>
    <row r="290" spans="1:25" x14ac:dyDescent="0.25">
      <c r="A290" t="s">
        <v>41</v>
      </c>
      <c r="B290">
        <f>_xlfn.XLOOKUP(Table4[[#This Row],[country]],Table2[country],Table2[country_id],FALSE)</f>
        <v>7</v>
      </c>
      <c r="C290" t="s">
        <v>32</v>
      </c>
      <c r="D290">
        <v>2010</v>
      </c>
      <c r="E290">
        <f>_xlfn.XLOOKUP(Table4[[#This Row],[year]],Table1[year],Table1[year_id])</f>
        <v>1</v>
      </c>
      <c r="F290" t="s">
        <v>27</v>
      </c>
      <c r="G290" t="s">
        <v>28</v>
      </c>
      <c r="H290" cm="1">
        <f t="array" ref="H290">_xlfn.XLOOKUP(Table4[[#This Row],[vehicle_segment]]&amp;Table4[[#This Row],[powertrain_type]],Table3[vehicle_segment]&amp;Table3[powertrain_type],Table3[vehicle_id])</f>
        <v>1</v>
      </c>
      <c r="I290">
        <v>12</v>
      </c>
      <c r="J290">
        <v>208515</v>
      </c>
      <c r="K290">
        <v>139010</v>
      </c>
      <c r="L290">
        <v>347537</v>
      </c>
      <c r="M290">
        <v>0</v>
      </c>
      <c r="N290">
        <v>97</v>
      </c>
      <c r="O290">
        <v>1.9</v>
      </c>
      <c r="P290">
        <v>119</v>
      </c>
      <c r="Q290">
        <v>1.5</v>
      </c>
      <c r="R290">
        <v>0.13800000000000001</v>
      </c>
      <c r="S290">
        <v>41436</v>
      </c>
      <c r="T290">
        <v>78.099999999999994</v>
      </c>
      <c r="U290">
        <v>133.6</v>
      </c>
      <c r="V290">
        <v>4999</v>
      </c>
      <c r="W290">
        <v>54.4</v>
      </c>
      <c r="X290">
        <v>0</v>
      </c>
      <c r="Y290">
        <v>0</v>
      </c>
    </row>
    <row r="291" spans="1:25" x14ac:dyDescent="0.25">
      <c r="A291" t="s">
        <v>41</v>
      </c>
      <c r="B291">
        <f>_xlfn.XLOOKUP(Table4[[#This Row],[country]],Table2[country],Table2[country_id],FALSE)</f>
        <v>7</v>
      </c>
      <c r="C291" t="s">
        <v>32</v>
      </c>
      <c r="D291">
        <v>2010</v>
      </c>
      <c r="E291">
        <f>_xlfn.XLOOKUP(Table4[[#This Row],[year]],Table1[year],Table1[year_id])</f>
        <v>1</v>
      </c>
      <c r="F291" t="s">
        <v>29</v>
      </c>
      <c r="G291" t="s">
        <v>28</v>
      </c>
      <c r="H291" cm="1">
        <f t="array" ref="H291">_xlfn.XLOOKUP(Table4[[#This Row],[vehicle_segment]]&amp;Table4[[#This Row],[powertrain_type]],Table3[vehicle_segment]&amp;Table3[powertrain_type],Table3[vehicle_id])</f>
        <v>2</v>
      </c>
      <c r="I291">
        <v>137</v>
      </c>
      <c r="J291">
        <v>1202487</v>
      </c>
      <c r="K291">
        <v>163976</v>
      </c>
      <c r="L291">
        <v>1366600</v>
      </c>
      <c r="M291">
        <v>0.01</v>
      </c>
      <c r="N291">
        <v>97</v>
      </c>
      <c r="O291">
        <v>1.9</v>
      </c>
      <c r="P291">
        <v>119</v>
      </c>
      <c r="Q291">
        <v>1.5</v>
      </c>
      <c r="R291">
        <v>0.13800000000000001</v>
      </c>
      <c r="S291">
        <v>41436</v>
      </c>
      <c r="T291">
        <v>78.099999999999994</v>
      </c>
      <c r="U291">
        <v>133.6</v>
      </c>
      <c r="V291">
        <v>4999</v>
      </c>
      <c r="W291">
        <v>54.4</v>
      </c>
      <c r="X291">
        <v>0</v>
      </c>
      <c r="Y291">
        <v>0</v>
      </c>
    </row>
    <row r="292" spans="1:25" x14ac:dyDescent="0.25">
      <c r="A292" t="s">
        <v>41</v>
      </c>
      <c r="B292">
        <f>_xlfn.XLOOKUP(Table4[[#This Row],[country]],Table2[country],Table2[country_id],FALSE)</f>
        <v>7</v>
      </c>
      <c r="C292" t="s">
        <v>32</v>
      </c>
      <c r="D292">
        <v>2010</v>
      </c>
      <c r="E292">
        <f>_xlfn.XLOOKUP(Table4[[#This Row],[year]],Table1[year],Table1[year_id])</f>
        <v>1</v>
      </c>
      <c r="F292" t="s">
        <v>30</v>
      </c>
      <c r="G292" t="s">
        <v>28</v>
      </c>
      <c r="H292" cm="1">
        <f t="array" ref="H292">_xlfn.XLOOKUP(Table4[[#This Row],[vehicle_segment]]&amp;Table4[[#This Row],[powertrain_type]],Table3[vehicle_segment]&amp;Table3[powertrain_type],Table3[vehicle_id])</f>
        <v>3</v>
      </c>
      <c r="I292">
        <v>83</v>
      </c>
      <c r="J292">
        <v>524788</v>
      </c>
      <c r="K292">
        <v>45634</v>
      </c>
      <c r="L292">
        <v>570505</v>
      </c>
      <c r="M292">
        <v>0.01</v>
      </c>
      <c r="N292">
        <v>97</v>
      </c>
      <c r="O292">
        <v>1.9</v>
      </c>
      <c r="P292">
        <v>119</v>
      </c>
      <c r="Q292">
        <v>1.5</v>
      </c>
      <c r="R292">
        <v>0.13800000000000001</v>
      </c>
      <c r="S292">
        <v>41436</v>
      </c>
      <c r="T292">
        <v>78.099999999999994</v>
      </c>
      <c r="U292">
        <v>133.6</v>
      </c>
      <c r="V292">
        <v>4999</v>
      </c>
      <c r="W292">
        <v>54.4</v>
      </c>
      <c r="X292">
        <v>0</v>
      </c>
      <c r="Y292">
        <v>0</v>
      </c>
    </row>
    <row r="293" spans="1:25" x14ac:dyDescent="0.25">
      <c r="A293" t="s">
        <v>41</v>
      </c>
      <c r="B293">
        <f>_xlfn.XLOOKUP(Table4[[#This Row],[country]],Table2[country],Table2[country_id],FALSE)</f>
        <v>7</v>
      </c>
      <c r="C293" t="s">
        <v>32</v>
      </c>
      <c r="D293">
        <v>2011</v>
      </c>
      <c r="E293">
        <f>_xlfn.XLOOKUP(Table4[[#This Row],[year]],Table1[year],Table1[year_id])</f>
        <v>2</v>
      </c>
      <c r="F293" t="s">
        <v>27</v>
      </c>
      <c r="G293" t="s">
        <v>28</v>
      </c>
      <c r="H293" cm="1">
        <f t="array" ref="H293">_xlfn.XLOOKUP(Table4[[#This Row],[vehicle_segment]]&amp;Table4[[#This Row],[powertrain_type]],Table3[vehicle_segment]&amp;Table3[powertrain_type],Table3[vehicle_id])</f>
        <v>1</v>
      </c>
      <c r="I293">
        <v>180</v>
      </c>
      <c r="J293">
        <v>193024</v>
      </c>
      <c r="K293">
        <v>128682</v>
      </c>
      <c r="L293">
        <v>321886</v>
      </c>
      <c r="M293">
        <v>0.06</v>
      </c>
      <c r="N293">
        <v>719</v>
      </c>
      <c r="O293">
        <v>2.9</v>
      </c>
      <c r="P293">
        <v>127</v>
      </c>
      <c r="Q293">
        <v>1.4870000000000001</v>
      </c>
      <c r="R293">
        <v>0.14699999999999999</v>
      </c>
      <c r="S293">
        <v>40120</v>
      </c>
      <c r="T293">
        <v>78.400000000000006</v>
      </c>
      <c r="U293">
        <v>132.6</v>
      </c>
      <c r="V293">
        <v>5318</v>
      </c>
      <c r="W293">
        <v>57.8</v>
      </c>
      <c r="X293">
        <v>300</v>
      </c>
      <c r="Y293">
        <v>0</v>
      </c>
    </row>
    <row r="294" spans="1:25" x14ac:dyDescent="0.25">
      <c r="A294" t="s">
        <v>41</v>
      </c>
      <c r="B294">
        <f>_xlfn.XLOOKUP(Table4[[#This Row],[country]],Table2[country],Table2[country_id],FALSE)</f>
        <v>7</v>
      </c>
      <c r="C294" t="s">
        <v>32</v>
      </c>
      <c r="D294">
        <v>2011</v>
      </c>
      <c r="E294">
        <f>_xlfn.XLOOKUP(Table4[[#This Row],[year]],Table1[year],Table1[year_id])</f>
        <v>2</v>
      </c>
      <c r="F294" t="s">
        <v>29</v>
      </c>
      <c r="G294" t="s">
        <v>28</v>
      </c>
      <c r="H294" cm="1">
        <f t="array" ref="H294">_xlfn.XLOOKUP(Table4[[#This Row],[vehicle_segment]]&amp;Table4[[#This Row],[powertrain_type]],Table3[vehicle_segment]&amp;Table3[powertrain_type],Table3[vehicle_id])</f>
        <v>2</v>
      </c>
      <c r="I294">
        <v>2038</v>
      </c>
      <c r="J294">
        <v>1119193</v>
      </c>
      <c r="K294">
        <v>152617</v>
      </c>
      <c r="L294">
        <v>1273848</v>
      </c>
      <c r="M294">
        <v>0.16</v>
      </c>
      <c r="N294">
        <v>719</v>
      </c>
      <c r="O294">
        <v>2.9</v>
      </c>
      <c r="P294">
        <v>127</v>
      </c>
      <c r="Q294">
        <v>1.4870000000000001</v>
      </c>
      <c r="R294">
        <v>0.14699999999999999</v>
      </c>
      <c r="S294">
        <v>40120</v>
      </c>
      <c r="T294">
        <v>78.400000000000006</v>
      </c>
      <c r="U294">
        <v>132.6</v>
      </c>
      <c r="V294">
        <v>5318</v>
      </c>
      <c r="W294">
        <v>57.8</v>
      </c>
      <c r="X294">
        <v>300</v>
      </c>
      <c r="Y294">
        <v>0</v>
      </c>
    </row>
    <row r="295" spans="1:25" x14ac:dyDescent="0.25">
      <c r="A295" t="s">
        <v>41</v>
      </c>
      <c r="B295">
        <f>_xlfn.XLOOKUP(Table4[[#This Row],[country]],Table2[country],Table2[country_id],FALSE)</f>
        <v>7</v>
      </c>
      <c r="C295" t="s">
        <v>32</v>
      </c>
      <c r="D295">
        <v>2011</v>
      </c>
      <c r="E295">
        <f>_xlfn.XLOOKUP(Table4[[#This Row],[year]],Table1[year],Table1[year_id])</f>
        <v>2</v>
      </c>
      <c r="F295" t="s">
        <v>30</v>
      </c>
      <c r="G295" t="s">
        <v>28</v>
      </c>
      <c r="H295" cm="1">
        <f t="array" ref="H295">_xlfn.XLOOKUP(Table4[[#This Row],[vehicle_segment]]&amp;Table4[[#This Row],[powertrain_type]],Table3[vehicle_segment]&amp;Table3[powertrain_type],Table3[vehicle_id])</f>
        <v>3</v>
      </c>
      <c r="I295">
        <v>1227</v>
      </c>
      <c r="J295">
        <v>485601</v>
      </c>
      <c r="K295">
        <v>42226</v>
      </c>
      <c r="L295">
        <v>529054</v>
      </c>
      <c r="M295">
        <v>0.23</v>
      </c>
      <c r="N295">
        <v>719</v>
      </c>
      <c r="O295">
        <v>2.9</v>
      </c>
      <c r="P295">
        <v>127</v>
      </c>
      <c r="Q295">
        <v>1.4870000000000001</v>
      </c>
      <c r="R295">
        <v>0.14699999999999999</v>
      </c>
      <c r="S295">
        <v>40120</v>
      </c>
      <c r="T295">
        <v>78.400000000000006</v>
      </c>
      <c r="U295">
        <v>132.6</v>
      </c>
      <c r="V295">
        <v>5318</v>
      </c>
      <c r="W295">
        <v>57.8</v>
      </c>
      <c r="X295">
        <v>300</v>
      </c>
      <c r="Y295">
        <v>0</v>
      </c>
    </row>
    <row r="296" spans="1:25" x14ac:dyDescent="0.25">
      <c r="A296" t="s">
        <v>41</v>
      </c>
      <c r="B296">
        <f>_xlfn.XLOOKUP(Table4[[#This Row],[country]],Table2[country],Table2[country_id],FALSE)</f>
        <v>7</v>
      </c>
      <c r="C296" t="s">
        <v>32</v>
      </c>
      <c r="D296">
        <v>2012</v>
      </c>
      <c r="E296">
        <f>_xlfn.XLOOKUP(Table4[[#This Row],[year]],Table1[year],Table1[year_id])</f>
        <v>3</v>
      </c>
      <c r="F296" t="s">
        <v>27</v>
      </c>
      <c r="G296" t="s">
        <v>28</v>
      </c>
      <c r="H296" cm="1">
        <f t="array" ref="H296">_xlfn.XLOOKUP(Table4[[#This Row],[vehicle_segment]]&amp;Table4[[#This Row],[powertrain_type]],Table3[vehicle_segment]&amp;Table3[powertrain_type],Table3[vehicle_id])</f>
        <v>1</v>
      </c>
      <c r="I296">
        <v>319</v>
      </c>
      <c r="J296">
        <v>176091</v>
      </c>
      <c r="K296">
        <v>117394</v>
      </c>
      <c r="L296">
        <v>293804</v>
      </c>
      <c r="M296">
        <v>0.11</v>
      </c>
      <c r="N296">
        <v>1431</v>
      </c>
      <c r="O296">
        <v>3.8</v>
      </c>
      <c r="P296">
        <v>145</v>
      </c>
      <c r="Q296">
        <v>1.4630000000000001</v>
      </c>
      <c r="R296">
        <v>0.152</v>
      </c>
      <c r="S296">
        <v>39126</v>
      </c>
      <c r="T296">
        <v>79</v>
      </c>
      <c r="U296">
        <v>131.69999999999999</v>
      </c>
      <c r="V296">
        <v>5540</v>
      </c>
      <c r="W296">
        <v>57.9</v>
      </c>
      <c r="X296">
        <v>77.22</v>
      </c>
      <c r="Y296">
        <v>0</v>
      </c>
    </row>
    <row r="297" spans="1:25" x14ac:dyDescent="0.25">
      <c r="A297" t="s">
        <v>41</v>
      </c>
      <c r="B297">
        <f>_xlfn.XLOOKUP(Table4[[#This Row],[country]],Table2[country],Table2[country_id],FALSE)</f>
        <v>7</v>
      </c>
      <c r="C297" t="s">
        <v>32</v>
      </c>
      <c r="D297">
        <v>2012</v>
      </c>
      <c r="E297">
        <f>_xlfn.XLOOKUP(Table4[[#This Row],[year]],Table1[year],Table1[year_id])</f>
        <v>3</v>
      </c>
      <c r="F297" t="s">
        <v>29</v>
      </c>
      <c r="G297" t="s">
        <v>28</v>
      </c>
      <c r="H297" cm="1">
        <f t="array" ref="H297">_xlfn.XLOOKUP(Table4[[#This Row],[vehicle_segment]]&amp;Table4[[#This Row],[powertrain_type]],Table3[vehicle_segment]&amp;Table3[powertrain_type],Table3[vehicle_id])</f>
        <v>2</v>
      </c>
      <c r="I297">
        <v>3727</v>
      </c>
      <c r="J297">
        <v>1054815</v>
      </c>
      <c r="K297">
        <v>143838</v>
      </c>
      <c r="L297">
        <v>1202380</v>
      </c>
      <c r="M297">
        <v>0.31</v>
      </c>
      <c r="N297">
        <v>1431</v>
      </c>
      <c r="O297">
        <v>3.8</v>
      </c>
      <c r="P297">
        <v>145</v>
      </c>
      <c r="Q297">
        <v>1.4630000000000001</v>
      </c>
      <c r="R297">
        <v>0.152</v>
      </c>
      <c r="S297">
        <v>39126</v>
      </c>
      <c r="T297">
        <v>79</v>
      </c>
      <c r="U297">
        <v>131.69999999999999</v>
      </c>
      <c r="V297">
        <v>5540</v>
      </c>
      <c r="W297">
        <v>57.9</v>
      </c>
      <c r="X297">
        <v>82.88</v>
      </c>
      <c r="Y297">
        <v>0</v>
      </c>
    </row>
    <row r="298" spans="1:25" x14ac:dyDescent="0.25">
      <c r="A298" t="s">
        <v>41</v>
      </c>
      <c r="B298">
        <f>_xlfn.XLOOKUP(Table4[[#This Row],[country]],Table2[country],Table2[country_id],FALSE)</f>
        <v>7</v>
      </c>
      <c r="C298" t="s">
        <v>32</v>
      </c>
      <c r="D298">
        <v>2012</v>
      </c>
      <c r="E298">
        <f>_xlfn.XLOOKUP(Table4[[#This Row],[year]],Table1[year],Table1[year_id])</f>
        <v>3</v>
      </c>
      <c r="F298" t="s">
        <v>30</v>
      </c>
      <c r="G298" t="s">
        <v>28</v>
      </c>
      <c r="H298" cm="1">
        <f t="array" ref="H298">_xlfn.XLOOKUP(Table4[[#This Row],[vehicle_segment]]&amp;Table4[[#This Row],[powertrain_type]],Table3[vehicle_segment]&amp;Table3[powertrain_type],Table3[vehicle_id])</f>
        <v>3</v>
      </c>
      <c r="I298">
        <v>2238</v>
      </c>
      <c r="J298">
        <v>455902</v>
      </c>
      <c r="K298">
        <v>39644</v>
      </c>
      <c r="L298">
        <v>497784</v>
      </c>
      <c r="M298">
        <v>0.45</v>
      </c>
      <c r="N298">
        <v>1431</v>
      </c>
      <c r="O298">
        <v>3.8</v>
      </c>
      <c r="P298">
        <v>145</v>
      </c>
      <c r="Q298">
        <v>1.4630000000000001</v>
      </c>
      <c r="R298">
        <v>0.152</v>
      </c>
      <c r="S298">
        <v>39126</v>
      </c>
      <c r="T298">
        <v>79</v>
      </c>
      <c r="U298">
        <v>131.69999999999999</v>
      </c>
      <c r="V298">
        <v>5540</v>
      </c>
      <c r="W298">
        <v>57.9</v>
      </c>
      <c r="X298">
        <v>82.4</v>
      </c>
      <c r="Y298">
        <v>0</v>
      </c>
    </row>
    <row r="299" spans="1:25" x14ac:dyDescent="0.25">
      <c r="A299" t="s">
        <v>41</v>
      </c>
      <c r="B299">
        <f>_xlfn.XLOOKUP(Table4[[#This Row],[country]],Table2[country],Table2[country_id],FALSE)</f>
        <v>7</v>
      </c>
      <c r="C299" t="s">
        <v>32</v>
      </c>
      <c r="D299">
        <v>2013</v>
      </c>
      <c r="E299">
        <f>_xlfn.XLOOKUP(Table4[[#This Row],[year]],Table1[year],Table1[year_id])</f>
        <v>4</v>
      </c>
      <c r="F299" t="s">
        <v>27</v>
      </c>
      <c r="G299" t="s">
        <v>28</v>
      </c>
      <c r="H299" cm="1">
        <f t="array" ref="H299">_xlfn.XLOOKUP(Table4[[#This Row],[vehicle_segment]]&amp;Table4[[#This Row],[powertrain_type]],Table3[vehicle_segment]&amp;Table3[powertrain_type],Table3[vehicle_id])</f>
        <v>1</v>
      </c>
      <c r="I299">
        <v>558</v>
      </c>
      <c r="J299">
        <v>161797</v>
      </c>
      <c r="K299">
        <v>107865</v>
      </c>
      <c r="L299">
        <v>270220</v>
      </c>
      <c r="M299">
        <v>0.21</v>
      </c>
      <c r="N299">
        <v>2015</v>
      </c>
      <c r="O299">
        <v>4.4000000000000004</v>
      </c>
      <c r="P299">
        <v>151</v>
      </c>
      <c r="Q299">
        <v>1.413</v>
      </c>
      <c r="R299">
        <v>0.158</v>
      </c>
      <c r="S299">
        <v>38497</v>
      </c>
      <c r="T299">
        <v>79.5</v>
      </c>
      <c r="U299">
        <v>129.9</v>
      </c>
      <c r="V299">
        <v>5793</v>
      </c>
      <c r="W299">
        <v>59.6</v>
      </c>
      <c r="X299">
        <v>74.92</v>
      </c>
      <c r="Y299">
        <v>0</v>
      </c>
    </row>
    <row r="300" spans="1:25" x14ac:dyDescent="0.25">
      <c r="A300" t="s">
        <v>41</v>
      </c>
      <c r="B300">
        <f>_xlfn.XLOOKUP(Table4[[#This Row],[country]],Table2[country],Table2[country_id],FALSE)</f>
        <v>7</v>
      </c>
      <c r="C300" t="s">
        <v>32</v>
      </c>
      <c r="D300">
        <v>2013</v>
      </c>
      <c r="E300">
        <f>_xlfn.XLOOKUP(Table4[[#This Row],[year]],Table1[year],Table1[year_id])</f>
        <v>4</v>
      </c>
      <c r="F300" t="s">
        <v>29</v>
      </c>
      <c r="G300" t="s">
        <v>28</v>
      </c>
      <c r="H300" cm="1">
        <f t="array" ref="H300">_xlfn.XLOOKUP(Table4[[#This Row],[vehicle_segment]]&amp;Table4[[#This Row],[powertrain_type]],Table3[vehicle_segment]&amp;Table3[powertrain_type],Table3[vehicle_id])</f>
        <v>2</v>
      </c>
      <c r="I300">
        <v>6384</v>
      </c>
      <c r="J300">
        <v>946646</v>
      </c>
      <c r="K300">
        <v>129088</v>
      </c>
      <c r="L300">
        <v>1082118</v>
      </c>
      <c r="M300">
        <v>0.59</v>
      </c>
      <c r="N300">
        <v>2015</v>
      </c>
      <c r="O300">
        <v>4.4000000000000004</v>
      </c>
      <c r="P300">
        <v>151</v>
      </c>
      <c r="Q300">
        <v>1.413</v>
      </c>
      <c r="R300">
        <v>0.158</v>
      </c>
      <c r="S300">
        <v>38497</v>
      </c>
      <c r="T300">
        <v>79.5</v>
      </c>
      <c r="U300">
        <v>129.9</v>
      </c>
      <c r="V300">
        <v>5793</v>
      </c>
      <c r="W300">
        <v>59.6</v>
      </c>
      <c r="X300">
        <v>71.290000000000006</v>
      </c>
      <c r="Y300">
        <v>0</v>
      </c>
    </row>
    <row r="301" spans="1:25" x14ac:dyDescent="0.25">
      <c r="A301" t="s">
        <v>41</v>
      </c>
      <c r="B301">
        <f>_xlfn.XLOOKUP(Table4[[#This Row],[country]],Table2[country],Table2[country_id],FALSE)</f>
        <v>7</v>
      </c>
      <c r="C301" t="s">
        <v>32</v>
      </c>
      <c r="D301">
        <v>2013</v>
      </c>
      <c r="E301">
        <f>_xlfn.XLOOKUP(Table4[[#This Row],[year]],Table1[year],Table1[year_id])</f>
        <v>4</v>
      </c>
      <c r="F301" t="s">
        <v>30</v>
      </c>
      <c r="G301" t="s">
        <v>28</v>
      </c>
      <c r="H301" cm="1">
        <f t="array" ref="H301">_xlfn.XLOOKUP(Table4[[#This Row],[vehicle_segment]]&amp;Table4[[#This Row],[powertrain_type]],Table3[vehicle_segment]&amp;Table3[powertrain_type],Table3[vehicle_id])</f>
        <v>3</v>
      </c>
      <c r="I301">
        <v>3801</v>
      </c>
      <c r="J301">
        <v>405305</v>
      </c>
      <c r="K301">
        <v>35244</v>
      </c>
      <c r="L301">
        <v>444350</v>
      </c>
      <c r="M301">
        <v>0.86</v>
      </c>
      <c r="N301">
        <v>2015</v>
      </c>
      <c r="O301">
        <v>4.4000000000000004</v>
      </c>
      <c r="P301">
        <v>151</v>
      </c>
      <c r="Q301">
        <v>1.413</v>
      </c>
      <c r="R301">
        <v>0.158</v>
      </c>
      <c r="S301">
        <v>38497</v>
      </c>
      <c r="T301">
        <v>79.5</v>
      </c>
      <c r="U301">
        <v>129.9</v>
      </c>
      <c r="V301">
        <v>5793</v>
      </c>
      <c r="W301">
        <v>59.6</v>
      </c>
      <c r="X301">
        <v>69.84</v>
      </c>
      <c r="Y301">
        <v>0</v>
      </c>
    </row>
    <row r="302" spans="1:25" x14ac:dyDescent="0.25">
      <c r="A302" t="s">
        <v>41</v>
      </c>
      <c r="B302">
        <f>_xlfn.XLOOKUP(Table4[[#This Row],[country]],Table2[country],Table2[country_id],FALSE)</f>
        <v>7</v>
      </c>
      <c r="C302" t="s">
        <v>32</v>
      </c>
      <c r="D302">
        <v>2014</v>
      </c>
      <c r="E302">
        <f>_xlfn.XLOOKUP(Table4[[#This Row],[year]],Table1[year],Table1[year_id])</f>
        <v>5</v>
      </c>
      <c r="F302" t="s">
        <v>27</v>
      </c>
      <c r="G302" t="s">
        <v>28</v>
      </c>
      <c r="H302" cm="1">
        <f t="array" ref="H302">_xlfn.XLOOKUP(Table4[[#This Row],[vehicle_segment]]&amp;Table4[[#This Row],[powertrain_type]],Table3[vehicle_segment]&amp;Table3[powertrain_type],Table3[vehicle_id])</f>
        <v>1</v>
      </c>
      <c r="I302">
        <v>821</v>
      </c>
      <c r="J302">
        <v>167025</v>
      </c>
      <c r="K302">
        <v>111350</v>
      </c>
      <c r="L302">
        <v>279196</v>
      </c>
      <c r="M302">
        <v>0.28999999999999998</v>
      </c>
      <c r="N302">
        <v>5561</v>
      </c>
      <c r="O302">
        <v>5.4</v>
      </c>
      <c r="P302">
        <v>155</v>
      </c>
      <c r="Q302">
        <v>1.383</v>
      </c>
      <c r="R302">
        <v>0.16500000000000001</v>
      </c>
      <c r="S302">
        <v>37504</v>
      </c>
      <c r="T302">
        <v>79.5</v>
      </c>
      <c r="U302">
        <v>129</v>
      </c>
      <c r="V302">
        <v>6048</v>
      </c>
      <c r="W302">
        <v>61.7</v>
      </c>
      <c r="X302">
        <v>47.13</v>
      </c>
      <c r="Y302">
        <v>0</v>
      </c>
    </row>
    <row r="303" spans="1:25" x14ac:dyDescent="0.25">
      <c r="A303" t="s">
        <v>41</v>
      </c>
      <c r="B303">
        <f>_xlfn.XLOOKUP(Table4[[#This Row],[country]],Table2[country],Table2[country_id],FALSE)</f>
        <v>7</v>
      </c>
      <c r="C303" t="s">
        <v>32</v>
      </c>
      <c r="D303">
        <v>2014</v>
      </c>
      <c r="E303">
        <f>_xlfn.XLOOKUP(Table4[[#This Row],[year]],Table1[year],Table1[year_id])</f>
        <v>5</v>
      </c>
      <c r="F303" t="s">
        <v>29</v>
      </c>
      <c r="G303" t="s">
        <v>28</v>
      </c>
      <c r="H303" cm="1">
        <f t="array" ref="H303">_xlfn.XLOOKUP(Table4[[#This Row],[vehicle_segment]]&amp;Table4[[#This Row],[powertrain_type]],Table3[vehicle_segment]&amp;Table3[powertrain_type],Table3[vehicle_id])</f>
        <v>2</v>
      </c>
      <c r="I303">
        <v>9320</v>
      </c>
      <c r="J303">
        <v>968219</v>
      </c>
      <c r="K303">
        <v>132030</v>
      </c>
      <c r="L303">
        <v>1109569</v>
      </c>
      <c r="M303">
        <v>0.84</v>
      </c>
      <c r="N303">
        <v>5561</v>
      </c>
      <c r="O303">
        <v>5.4</v>
      </c>
      <c r="P303">
        <v>155</v>
      </c>
      <c r="Q303">
        <v>1.383</v>
      </c>
      <c r="R303">
        <v>0.16500000000000001</v>
      </c>
      <c r="S303">
        <v>37504</v>
      </c>
      <c r="T303">
        <v>79.5</v>
      </c>
      <c r="U303">
        <v>129</v>
      </c>
      <c r="V303">
        <v>6048</v>
      </c>
      <c r="W303">
        <v>61.7</v>
      </c>
      <c r="X303">
        <v>45.99</v>
      </c>
      <c r="Y303">
        <v>0</v>
      </c>
    </row>
    <row r="304" spans="1:25" x14ac:dyDescent="0.25">
      <c r="A304" t="s">
        <v>41</v>
      </c>
      <c r="B304">
        <f>_xlfn.XLOOKUP(Table4[[#This Row],[country]],Table2[country],Table2[country_id],FALSE)</f>
        <v>7</v>
      </c>
      <c r="C304" t="s">
        <v>32</v>
      </c>
      <c r="D304">
        <v>2014</v>
      </c>
      <c r="E304">
        <f>_xlfn.XLOOKUP(Table4[[#This Row],[year]],Table1[year],Table1[year_id])</f>
        <v>5</v>
      </c>
      <c r="F304" t="s">
        <v>30</v>
      </c>
      <c r="G304" t="s">
        <v>28</v>
      </c>
      <c r="H304" cm="1">
        <f t="array" ref="H304">_xlfn.XLOOKUP(Table4[[#This Row],[vehicle_segment]]&amp;Table4[[#This Row],[powertrain_type]],Table3[vehicle_segment]&amp;Table3[powertrain_type],Table3[vehicle_id])</f>
        <v>3</v>
      </c>
      <c r="I304">
        <v>5665</v>
      </c>
      <c r="J304">
        <v>422711</v>
      </c>
      <c r="K304">
        <v>36757</v>
      </c>
      <c r="L304">
        <v>465133</v>
      </c>
      <c r="M304">
        <v>1.22</v>
      </c>
      <c r="N304">
        <v>5561</v>
      </c>
      <c r="O304">
        <v>5.4</v>
      </c>
      <c r="P304">
        <v>155</v>
      </c>
      <c r="Q304">
        <v>1.383</v>
      </c>
      <c r="R304">
        <v>0.16500000000000001</v>
      </c>
      <c r="S304">
        <v>37504</v>
      </c>
      <c r="T304">
        <v>79.5</v>
      </c>
      <c r="U304">
        <v>129</v>
      </c>
      <c r="V304">
        <v>6048</v>
      </c>
      <c r="W304">
        <v>61.7</v>
      </c>
      <c r="X304">
        <v>49.04</v>
      </c>
      <c r="Y304">
        <v>0</v>
      </c>
    </row>
    <row r="305" spans="1:25" x14ac:dyDescent="0.25">
      <c r="A305" t="s">
        <v>41</v>
      </c>
      <c r="B305">
        <f>_xlfn.XLOOKUP(Table4[[#This Row],[country]],Table2[country],Table2[country_id],FALSE)</f>
        <v>7</v>
      </c>
      <c r="C305" t="s">
        <v>32</v>
      </c>
      <c r="D305">
        <v>2015</v>
      </c>
      <c r="E305">
        <f>_xlfn.XLOOKUP(Table4[[#This Row],[year]],Table1[year],Table1[year_id])</f>
        <v>6</v>
      </c>
      <c r="F305" t="s">
        <v>27</v>
      </c>
      <c r="G305" t="s">
        <v>28</v>
      </c>
      <c r="H305" cm="1">
        <f t="array" ref="H305">_xlfn.XLOOKUP(Table4[[#This Row],[vehicle_segment]]&amp;Table4[[#This Row],[powertrain_type]],Table3[vehicle_segment]&amp;Table3[powertrain_type],Table3[vehicle_id])</f>
        <v>1</v>
      </c>
      <c r="I305">
        <v>1144</v>
      </c>
      <c r="J305">
        <v>169789</v>
      </c>
      <c r="K305">
        <v>113192</v>
      </c>
      <c r="L305">
        <v>284125</v>
      </c>
      <c r="M305">
        <v>0.4</v>
      </c>
      <c r="N305">
        <v>8799</v>
      </c>
      <c r="O305">
        <v>6.1</v>
      </c>
      <c r="P305">
        <v>162</v>
      </c>
      <c r="Q305">
        <v>1.36</v>
      </c>
      <c r="R305">
        <v>0.17100000000000001</v>
      </c>
      <c r="S305">
        <v>36410</v>
      </c>
      <c r="T305">
        <v>79.900000000000006</v>
      </c>
      <c r="U305">
        <v>129</v>
      </c>
      <c r="V305">
        <v>6161</v>
      </c>
      <c r="W305">
        <v>64.599999999999994</v>
      </c>
      <c r="X305">
        <v>39.340000000000003</v>
      </c>
      <c r="Y305">
        <v>0</v>
      </c>
    </row>
    <row r="306" spans="1:25" x14ac:dyDescent="0.25">
      <c r="A306" t="s">
        <v>41</v>
      </c>
      <c r="B306">
        <f>_xlfn.XLOOKUP(Table4[[#This Row],[country]],Table2[country],Table2[country_id],FALSE)</f>
        <v>7</v>
      </c>
      <c r="C306" t="s">
        <v>32</v>
      </c>
      <c r="D306">
        <v>2015</v>
      </c>
      <c r="E306">
        <f>_xlfn.XLOOKUP(Table4[[#This Row],[year]],Table1[year],Table1[year_id])</f>
        <v>6</v>
      </c>
      <c r="F306" t="s">
        <v>29</v>
      </c>
      <c r="G306" t="s">
        <v>28</v>
      </c>
      <c r="H306" cm="1">
        <f t="array" ref="H306">_xlfn.XLOOKUP(Table4[[#This Row],[vehicle_segment]]&amp;Table4[[#This Row],[powertrain_type]],Table3[vehicle_segment]&amp;Table3[powertrain_type],Table3[vehicle_id])</f>
        <v>2</v>
      </c>
      <c r="I306">
        <v>13170</v>
      </c>
      <c r="J306">
        <v>996195</v>
      </c>
      <c r="K306">
        <v>135845</v>
      </c>
      <c r="L306">
        <v>1145210</v>
      </c>
      <c r="M306">
        <v>1.1499999999999999</v>
      </c>
      <c r="N306">
        <v>8799</v>
      </c>
      <c r="O306">
        <v>6.1</v>
      </c>
      <c r="P306">
        <v>162</v>
      </c>
      <c r="Q306">
        <v>1.36</v>
      </c>
      <c r="R306">
        <v>0.17100000000000001</v>
      </c>
      <c r="S306">
        <v>36410</v>
      </c>
      <c r="T306">
        <v>79.900000000000006</v>
      </c>
      <c r="U306">
        <v>129</v>
      </c>
      <c r="V306">
        <v>6161</v>
      </c>
      <c r="W306">
        <v>64.599999999999994</v>
      </c>
      <c r="X306">
        <v>41.31</v>
      </c>
      <c r="Y306">
        <v>0</v>
      </c>
    </row>
    <row r="307" spans="1:25" x14ac:dyDescent="0.25">
      <c r="A307" t="s">
        <v>41</v>
      </c>
      <c r="B307">
        <f>_xlfn.XLOOKUP(Table4[[#This Row],[country]],Table2[country],Table2[country_id],FALSE)</f>
        <v>7</v>
      </c>
      <c r="C307" t="s">
        <v>32</v>
      </c>
      <c r="D307">
        <v>2015</v>
      </c>
      <c r="E307">
        <f>_xlfn.XLOOKUP(Table4[[#This Row],[year]],Table1[year],Table1[year_id])</f>
        <v>6</v>
      </c>
      <c r="F307" t="s">
        <v>30</v>
      </c>
      <c r="G307" t="s">
        <v>28</v>
      </c>
      <c r="H307" cm="1">
        <f t="array" ref="H307">_xlfn.XLOOKUP(Table4[[#This Row],[vehicle_segment]]&amp;Table4[[#This Row],[powertrain_type]],Table3[vehicle_segment]&amp;Table3[powertrain_type],Table3[vehicle_id])</f>
        <v>3</v>
      </c>
      <c r="I307">
        <v>7823</v>
      </c>
      <c r="J307">
        <v>424425</v>
      </c>
      <c r="K307">
        <v>36906</v>
      </c>
      <c r="L307">
        <v>469154</v>
      </c>
      <c r="M307">
        <v>1.67</v>
      </c>
      <c r="N307">
        <v>8799</v>
      </c>
      <c r="O307">
        <v>6.1</v>
      </c>
      <c r="P307">
        <v>162</v>
      </c>
      <c r="Q307">
        <v>1.36</v>
      </c>
      <c r="R307">
        <v>0.17100000000000001</v>
      </c>
      <c r="S307">
        <v>36410</v>
      </c>
      <c r="T307">
        <v>79.900000000000006</v>
      </c>
      <c r="U307">
        <v>129</v>
      </c>
      <c r="V307">
        <v>6161</v>
      </c>
      <c r="W307">
        <v>64.599999999999994</v>
      </c>
      <c r="X307">
        <v>38.090000000000003</v>
      </c>
      <c r="Y307">
        <v>0</v>
      </c>
    </row>
    <row r="308" spans="1:25" x14ac:dyDescent="0.25">
      <c r="A308" t="s">
        <v>41</v>
      </c>
      <c r="B308">
        <f>_xlfn.XLOOKUP(Table4[[#This Row],[country]],Table2[country],Table2[country_id],FALSE)</f>
        <v>7</v>
      </c>
      <c r="C308" t="s">
        <v>32</v>
      </c>
      <c r="D308">
        <v>2016</v>
      </c>
      <c r="E308">
        <f>_xlfn.XLOOKUP(Table4[[#This Row],[year]],Table1[year],Table1[year_id])</f>
        <v>7</v>
      </c>
      <c r="F308" t="s">
        <v>27</v>
      </c>
      <c r="G308" t="s">
        <v>28</v>
      </c>
      <c r="H308" cm="1">
        <f t="array" ref="H308">_xlfn.XLOOKUP(Table4[[#This Row],[vehicle_segment]]&amp;Table4[[#This Row],[powertrain_type]],Table3[vehicle_segment]&amp;Table3[powertrain_type],Table3[vehicle_id])</f>
        <v>1</v>
      </c>
      <c r="I308">
        <v>1379</v>
      </c>
      <c r="J308">
        <v>179577</v>
      </c>
      <c r="K308">
        <v>119718</v>
      </c>
      <c r="L308">
        <v>300674</v>
      </c>
      <c r="M308">
        <v>0.46</v>
      </c>
      <c r="N308">
        <v>12854</v>
      </c>
      <c r="O308">
        <v>7.1</v>
      </c>
      <c r="P308">
        <v>185</v>
      </c>
      <c r="Q308">
        <v>1.39</v>
      </c>
      <c r="R308">
        <v>0.17699999999999999</v>
      </c>
      <c r="S308">
        <v>37911</v>
      </c>
      <c r="T308">
        <v>79.900000000000006</v>
      </c>
      <c r="U308">
        <v>130.1</v>
      </c>
      <c r="V308">
        <v>6340</v>
      </c>
      <c r="W308">
        <v>67.7</v>
      </c>
      <c r="X308">
        <v>20.54</v>
      </c>
      <c r="Y308">
        <v>0</v>
      </c>
    </row>
    <row r="309" spans="1:25" x14ac:dyDescent="0.25">
      <c r="A309" t="s">
        <v>41</v>
      </c>
      <c r="B309">
        <f>_xlfn.XLOOKUP(Table4[[#This Row],[country]],Table2[country],Table2[country_id],FALSE)</f>
        <v>7</v>
      </c>
      <c r="C309" t="s">
        <v>32</v>
      </c>
      <c r="D309">
        <v>2016</v>
      </c>
      <c r="E309">
        <f>_xlfn.XLOOKUP(Table4[[#This Row],[year]],Table1[year],Table1[year_id])</f>
        <v>7</v>
      </c>
      <c r="F309" t="s">
        <v>29</v>
      </c>
      <c r="G309" t="s">
        <v>28</v>
      </c>
      <c r="H309" cm="1">
        <f t="array" ref="H309">_xlfn.XLOOKUP(Table4[[#This Row],[vehicle_segment]]&amp;Table4[[#This Row],[powertrain_type]],Table3[vehicle_segment]&amp;Table3[powertrain_type],Table3[vehicle_id])</f>
        <v>2</v>
      </c>
      <c r="I309">
        <v>16016</v>
      </c>
      <c r="J309">
        <v>1061823</v>
      </c>
      <c r="K309">
        <v>144794</v>
      </c>
      <c r="L309">
        <v>1222633</v>
      </c>
      <c r="M309">
        <v>1.31</v>
      </c>
      <c r="N309">
        <v>12854</v>
      </c>
      <c r="O309">
        <v>7.1</v>
      </c>
      <c r="P309">
        <v>185</v>
      </c>
      <c r="Q309">
        <v>1.39</v>
      </c>
      <c r="R309">
        <v>0.17699999999999999</v>
      </c>
      <c r="S309">
        <v>37911</v>
      </c>
      <c r="T309">
        <v>79.900000000000006</v>
      </c>
      <c r="U309">
        <v>130.1</v>
      </c>
      <c r="V309">
        <v>6340</v>
      </c>
      <c r="W309">
        <v>67.7</v>
      </c>
      <c r="X309">
        <v>21.61</v>
      </c>
      <c r="Y309">
        <v>0</v>
      </c>
    </row>
    <row r="310" spans="1:25" x14ac:dyDescent="0.25">
      <c r="A310" t="s">
        <v>41</v>
      </c>
      <c r="B310">
        <f>_xlfn.XLOOKUP(Table4[[#This Row],[country]],Table2[country],Table2[country_id],FALSE)</f>
        <v>7</v>
      </c>
      <c r="C310" t="s">
        <v>32</v>
      </c>
      <c r="D310">
        <v>2016</v>
      </c>
      <c r="E310">
        <f>_xlfn.XLOOKUP(Table4[[#This Row],[year]],Table1[year],Table1[year_id])</f>
        <v>7</v>
      </c>
      <c r="F310" t="s">
        <v>30</v>
      </c>
      <c r="G310" t="s">
        <v>28</v>
      </c>
      <c r="H310" cm="1">
        <f t="array" ref="H310">_xlfn.XLOOKUP(Table4[[#This Row],[vehicle_segment]]&amp;Table4[[#This Row],[powertrain_type]],Table3[vehicle_segment]&amp;Table3[powertrain_type],Table3[vehicle_id])</f>
        <v>3</v>
      </c>
      <c r="I310">
        <v>9696</v>
      </c>
      <c r="J310">
        <v>460675</v>
      </c>
      <c r="K310">
        <v>40059</v>
      </c>
      <c r="L310">
        <v>510430</v>
      </c>
      <c r="M310">
        <v>1.9</v>
      </c>
      <c r="N310">
        <v>12854</v>
      </c>
      <c r="O310">
        <v>7.1</v>
      </c>
      <c r="P310">
        <v>185</v>
      </c>
      <c r="Q310">
        <v>1.39</v>
      </c>
      <c r="R310">
        <v>0.17699999999999999</v>
      </c>
      <c r="S310">
        <v>37911</v>
      </c>
      <c r="T310">
        <v>79.900000000000006</v>
      </c>
      <c r="U310">
        <v>130.1</v>
      </c>
      <c r="V310">
        <v>6340</v>
      </c>
      <c r="W310">
        <v>67.7</v>
      </c>
      <c r="X310">
        <v>23.94</v>
      </c>
      <c r="Y310">
        <v>0</v>
      </c>
    </row>
    <row r="311" spans="1:25" x14ac:dyDescent="0.25">
      <c r="A311" t="s">
        <v>41</v>
      </c>
      <c r="B311">
        <f>_xlfn.XLOOKUP(Table4[[#This Row],[country]],Table2[country],Table2[country_id],FALSE)</f>
        <v>7</v>
      </c>
      <c r="C311" t="s">
        <v>32</v>
      </c>
      <c r="D311">
        <v>2017</v>
      </c>
      <c r="E311">
        <f>_xlfn.XLOOKUP(Table4[[#This Row],[year]],Table1[year],Table1[year_id])</f>
        <v>8</v>
      </c>
      <c r="F311" t="s">
        <v>27</v>
      </c>
      <c r="G311" t="s">
        <v>28</v>
      </c>
      <c r="H311" cm="1">
        <f t="array" ref="H311">_xlfn.XLOOKUP(Table4[[#This Row],[vehicle_segment]]&amp;Table4[[#This Row],[powertrain_type]],Table3[vehicle_segment]&amp;Table3[powertrain_type],Table3[vehicle_id])</f>
        <v>1</v>
      </c>
      <c r="I311">
        <v>1818</v>
      </c>
      <c r="J311">
        <v>184450</v>
      </c>
      <c r="K311">
        <v>122967</v>
      </c>
      <c r="L311">
        <v>309235</v>
      </c>
      <c r="M311">
        <v>0.59</v>
      </c>
      <c r="N311">
        <v>15971</v>
      </c>
      <c r="O311">
        <v>8.1</v>
      </c>
      <c r="P311">
        <v>217</v>
      </c>
      <c r="Q311">
        <v>1.4430000000000001</v>
      </c>
      <c r="R311">
        <v>0.183</v>
      </c>
      <c r="S311">
        <v>38071</v>
      </c>
      <c r="T311">
        <v>80.3</v>
      </c>
      <c r="U311">
        <v>133.1</v>
      </c>
      <c r="V311">
        <v>6219</v>
      </c>
      <c r="W311">
        <v>69</v>
      </c>
      <c r="X311">
        <v>31.83</v>
      </c>
      <c r="Y311">
        <v>0</v>
      </c>
    </row>
    <row r="312" spans="1:25" x14ac:dyDescent="0.25">
      <c r="A312" t="s">
        <v>41</v>
      </c>
      <c r="B312">
        <f>_xlfn.XLOOKUP(Table4[[#This Row],[country]],Table2[country],Table2[country_id],FALSE)</f>
        <v>7</v>
      </c>
      <c r="C312" t="s">
        <v>32</v>
      </c>
      <c r="D312">
        <v>2017</v>
      </c>
      <c r="E312">
        <f>_xlfn.XLOOKUP(Table4[[#This Row],[year]],Table1[year],Table1[year_id])</f>
        <v>8</v>
      </c>
      <c r="F312" t="s">
        <v>29</v>
      </c>
      <c r="G312" t="s">
        <v>28</v>
      </c>
      <c r="H312" cm="1">
        <f t="array" ref="H312">_xlfn.XLOOKUP(Table4[[#This Row],[vehicle_segment]]&amp;Table4[[#This Row],[powertrain_type]],Table3[vehicle_segment]&amp;Table3[powertrain_type],Table3[vehicle_id])</f>
        <v>2</v>
      </c>
      <c r="I312">
        <v>21205</v>
      </c>
      <c r="J312">
        <v>1092069</v>
      </c>
      <c r="K312">
        <v>148919</v>
      </c>
      <c r="L312">
        <v>1262193</v>
      </c>
      <c r="M312">
        <v>1.68</v>
      </c>
      <c r="N312">
        <v>15971</v>
      </c>
      <c r="O312">
        <v>8.1</v>
      </c>
      <c r="P312">
        <v>217</v>
      </c>
      <c r="Q312">
        <v>1.4430000000000001</v>
      </c>
      <c r="R312">
        <v>0.183</v>
      </c>
      <c r="S312">
        <v>38071</v>
      </c>
      <c r="T312">
        <v>80.3</v>
      </c>
      <c r="U312">
        <v>133.1</v>
      </c>
      <c r="V312">
        <v>6219</v>
      </c>
      <c r="W312">
        <v>69</v>
      </c>
      <c r="X312">
        <v>32.4</v>
      </c>
      <c r="Y312">
        <v>0</v>
      </c>
    </row>
    <row r="313" spans="1:25" x14ac:dyDescent="0.25">
      <c r="A313" t="s">
        <v>41</v>
      </c>
      <c r="B313">
        <f>_xlfn.XLOOKUP(Table4[[#This Row],[country]],Table2[country],Table2[country_id],FALSE)</f>
        <v>7</v>
      </c>
      <c r="C313" t="s">
        <v>32</v>
      </c>
      <c r="D313">
        <v>2017</v>
      </c>
      <c r="E313">
        <f>_xlfn.XLOOKUP(Table4[[#This Row],[year]],Table1[year],Table1[year_id])</f>
        <v>8</v>
      </c>
      <c r="F313" t="s">
        <v>30</v>
      </c>
      <c r="G313" t="s">
        <v>28</v>
      </c>
      <c r="H313" cm="1">
        <f t="array" ref="H313">_xlfn.XLOOKUP(Table4[[#This Row],[vehicle_segment]]&amp;Table4[[#This Row],[powertrain_type]],Table3[vehicle_segment]&amp;Table3[powertrain_type],Table3[vehicle_id])</f>
        <v>3</v>
      </c>
      <c r="I313">
        <v>12692</v>
      </c>
      <c r="J313">
        <v>467648</v>
      </c>
      <c r="K313">
        <v>40665</v>
      </c>
      <c r="L313">
        <v>521005</v>
      </c>
      <c r="M313">
        <v>2.44</v>
      </c>
      <c r="N313">
        <v>15971</v>
      </c>
      <c r="O313">
        <v>8.1</v>
      </c>
      <c r="P313">
        <v>217</v>
      </c>
      <c r="Q313">
        <v>1.4430000000000001</v>
      </c>
      <c r="R313">
        <v>0.183</v>
      </c>
      <c r="S313">
        <v>38071</v>
      </c>
      <c r="T313">
        <v>80.3</v>
      </c>
      <c r="U313">
        <v>133.1</v>
      </c>
      <c r="V313">
        <v>6219</v>
      </c>
      <c r="W313">
        <v>69</v>
      </c>
      <c r="X313">
        <v>30.9</v>
      </c>
      <c r="Y313">
        <v>0</v>
      </c>
    </row>
    <row r="314" spans="1:25" x14ac:dyDescent="0.25">
      <c r="A314" t="s">
        <v>41</v>
      </c>
      <c r="B314">
        <f>_xlfn.XLOOKUP(Table4[[#This Row],[country]],Table2[country],Table2[country_id],FALSE)</f>
        <v>7</v>
      </c>
      <c r="C314" t="s">
        <v>32</v>
      </c>
      <c r="D314">
        <v>2018</v>
      </c>
      <c r="E314">
        <f>_xlfn.XLOOKUP(Table4[[#This Row],[year]],Table1[year],Table1[year_id])</f>
        <v>9</v>
      </c>
      <c r="F314" t="s">
        <v>27</v>
      </c>
      <c r="G314" t="s">
        <v>28</v>
      </c>
      <c r="H314" cm="1">
        <f t="array" ref="H314">_xlfn.XLOOKUP(Table4[[#This Row],[vehicle_segment]]&amp;Table4[[#This Row],[powertrain_type]],Table3[vehicle_segment]&amp;Table3[powertrain_type],Table3[vehicle_id])</f>
        <v>1</v>
      </c>
      <c r="I314">
        <v>2455</v>
      </c>
      <c r="J314">
        <v>194285</v>
      </c>
      <c r="K314">
        <v>129523</v>
      </c>
      <c r="L314">
        <v>326263</v>
      </c>
      <c r="M314">
        <v>0.75</v>
      </c>
      <c r="N314">
        <v>23412</v>
      </c>
      <c r="O314">
        <v>9.3000000000000007</v>
      </c>
      <c r="P314">
        <v>263</v>
      </c>
      <c r="Q314">
        <v>1.5</v>
      </c>
      <c r="R314">
        <v>0.19</v>
      </c>
      <c r="S314">
        <v>39804</v>
      </c>
      <c r="T314">
        <v>80.2</v>
      </c>
      <c r="U314">
        <v>133.30000000000001</v>
      </c>
      <c r="V314">
        <v>6034</v>
      </c>
      <c r="W314">
        <v>74</v>
      </c>
      <c r="X314">
        <v>35.04</v>
      </c>
      <c r="Y314">
        <v>0</v>
      </c>
    </row>
    <row r="315" spans="1:25" x14ac:dyDescent="0.25">
      <c r="A315" t="s">
        <v>41</v>
      </c>
      <c r="B315">
        <f>_xlfn.XLOOKUP(Table4[[#This Row],[country]],Table2[country],Table2[country_id],FALSE)</f>
        <v>7</v>
      </c>
      <c r="C315" t="s">
        <v>32</v>
      </c>
      <c r="D315">
        <v>2018</v>
      </c>
      <c r="E315">
        <f>_xlfn.XLOOKUP(Table4[[#This Row],[year]],Table1[year],Table1[year_id])</f>
        <v>9</v>
      </c>
      <c r="F315" t="s">
        <v>29</v>
      </c>
      <c r="G315" t="s">
        <v>28</v>
      </c>
      <c r="H315" cm="1">
        <f t="array" ref="H315">_xlfn.XLOOKUP(Table4[[#This Row],[vehicle_segment]]&amp;Table4[[#This Row],[powertrain_type]],Table3[vehicle_segment]&amp;Table3[powertrain_type],Table3[vehicle_id])</f>
        <v>2</v>
      </c>
      <c r="I315">
        <v>28072</v>
      </c>
      <c r="J315">
        <v>1124294</v>
      </c>
      <c r="K315">
        <v>153313</v>
      </c>
      <c r="L315">
        <v>1305679</v>
      </c>
      <c r="M315">
        <v>2.15</v>
      </c>
      <c r="N315">
        <v>23412</v>
      </c>
      <c r="O315">
        <v>9.3000000000000007</v>
      </c>
      <c r="P315">
        <v>263</v>
      </c>
      <c r="Q315">
        <v>1.5</v>
      </c>
      <c r="R315">
        <v>0.19</v>
      </c>
      <c r="S315">
        <v>39804</v>
      </c>
      <c r="T315">
        <v>80.2</v>
      </c>
      <c r="U315">
        <v>133.30000000000001</v>
      </c>
      <c r="V315">
        <v>6034</v>
      </c>
      <c r="W315">
        <v>74</v>
      </c>
      <c r="X315">
        <v>32.380000000000003</v>
      </c>
      <c r="Y315">
        <v>0</v>
      </c>
    </row>
    <row r="316" spans="1:25" x14ac:dyDescent="0.25">
      <c r="A316" t="s">
        <v>41</v>
      </c>
      <c r="B316">
        <f>_xlfn.XLOOKUP(Table4[[#This Row],[country]],Table2[country],Table2[country_id],FALSE)</f>
        <v>7</v>
      </c>
      <c r="C316" t="s">
        <v>32</v>
      </c>
      <c r="D316">
        <v>2018</v>
      </c>
      <c r="E316">
        <f>_xlfn.XLOOKUP(Table4[[#This Row],[year]],Table1[year],Table1[year_id])</f>
        <v>9</v>
      </c>
      <c r="F316" t="s">
        <v>30</v>
      </c>
      <c r="G316" t="s">
        <v>28</v>
      </c>
      <c r="H316" cm="1">
        <f t="array" ref="H316">_xlfn.XLOOKUP(Table4[[#This Row],[vehicle_segment]]&amp;Table4[[#This Row],[powertrain_type]],Table3[vehicle_segment]&amp;Table3[powertrain_type],Table3[vehicle_id])</f>
        <v>3</v>
      </c>
      <c r="I316">
        <v>17140</v>
      </c>
      <c r="J316">
        <v>490059</v>
      </c>
      <c r="K316">
        <v>42614</v>
      </c>
      <c r="L316">
        <v>549813</v>
      </c>
      <c r="M316">
        <v>3.12</v>
      </c>
      <c r="N316">
        <v>23412</v>
      </c>
      <c r="O316">
        <v>9.3000000000000007</v>
      </c>
      <c r="P316">
        <v>263</v>
      </c>
      <c r="Q316">
        <v>1.5</v>
      </c>
      <c r="R316">
        <v>0.19</v>
      </c>
      <c r="S316">
        <v>39804</v>
      </c>
      <c r="T316">
        <v>80.2</v>
      </c>
      <c r="U316">
        <v>133.30000000000001</v>
      </c>
      <c r="V316">
        <v>6034</v>
      </c>
      <c r="W316">
        <v>74</v>
      </c>
      <c r="X316">
        <v>35.049999999999997</v>
      </c>
      <c r="Y316">
        <v>0</v>
      </c>
    </row>
    <row r="317" spans="1:25" x14ac:dyDescent="0.25">
      <c r="A317" t="s">
        <v>41</v>
      </c>
      <c r="B317">
        <f>_xlfn.XLOOKUP(Table4[[#This Row],[country]],Table2[country],Table2[country_id],FALSE)</f>
        <v>7</v>
      </c>
      <c r="C317" t="s">
        <v>32</v>
      </c>
      <c r="D317">
        <v>2019</v>
      </c>
      <c r="E317">
        <f>_xlfn.XLOOKUP(Table4[[#This Row],[year]],Table1[year],Table1[year_id])</f>
        <v>10</v>
      </c>
      <c r="F317" t="s">
        <v>27</v>
      </c>
      <c r="G317" t="s">
        <v>28</v>
      </c>
      <c r="H317" cm="1">
        <f t="array" ref="H317">_xlfn.XLOOKUP(Table4[[#This Row],[vehicle_segment]]&amp;Table4[[#This Row],[powertrain_type]],Table3[vehicle_segment]&amp;Table3[powertrain_type],Table3[vehicle_id])</f>
        <v>1</v>
      </c>
      <c r="I317">
        <v>3339</v>
      </c>
      <c r="J317">
        <v>204628</v>
      </c>
      <c r="K317">
        <v>136418</v>
      </c>
      <c r="L317">
        <v>344385</v>
      </c>
      <c r="M317">
        <v>0.97</v>
      </c>
      <c r="N317">
        <v>30154</v>
      </c>
      <c r="O317">
        <v>9.6999999999999993</v>
      </c>
      <c r="P317">
        <v>293</v>
      </c>
      <c r="Q317">
        <v>1.587</v>
      </c>
      <c r="R317">
        <v>0.19700000000000001</v>
      </c>
      <c r="S317">
        <v>40313</v>
      </c>
      <c r="T317">
        <v>80</v>
      </c>
      <c r="U317">
        <v>126.7</v>
      </c>
      <c r="V317">
        <v>5855</v>
      </c>
      <c r="W317">
        <v>77</v>
      </c>
      <c r="X317">
        <v>36.01</v>
      </c>
      <c r="Y317">
        <v>0</v>
      </c>
    </row>
    <row r="318" spans="1:25" x14ac:dyDescent="0.25">
      <c r="A318" t="s">
        <v>41</v>
      </c>
      <c r="B318">
        <f>_xlfn.XLOOKUP(Table4[[#This Row],[country]],Table2[country],Table2[country_id],FALSE)</f>
        <v>7</v>
      </c>
      <c r="C318" t="s">
        <v>32</v>
      </c>
      <c r="D318">
        <v>2019</v>
      </c>
      <c r="E318">
        <f>_xlfn.XLOOKUP(Table4[[#This Row],[year]],Table1[year],Table1[year_id])</f>
        <v>10</v>
      </c>
      <c r="F318" t="s">
        <v>29</v>
      </c>
      <c r="G318" t="s">
        <v>28</v>
      </c>
      <c r="H318" cm="1">
        <f t="array" ref="H318">_xlfn.XLOOKUP(Table4[[#This Row],[vehicle_segment]]&amp;Table4[[#This Row],[powertrain_type]],Table3[vehicle_segment]&amp;Table3[powertrain_type],Table3[vehicle_id])</f>
        <v>2</v>
      </c>
      <c r="I318">
        <v>38454</v>
      </c>
      <c r="J318">
        <v>1187806</v>
      </c>
      <c r="K318">
        <v>161973</v>
      </c>
      <c r="L318">
        <v>1388233</v>
      </c>
      <c r="M318">
        <v>2.77</v>
      </c>
      <c r="N318">
        <v>30154</v>
      </c>
      <c r="O318">
        <v>9.6999999999999993</v>
      </c>
      <c r="P318">
        <v>293</v>
      </c>
      <c r="Q318">
        <v>1.587</v>
      </c>
      <c r="R318">
        <v>0.19700000000000001</v>
      </c>
      <c r="S318">
        <v>40313</v>
      </c>
      <c r="T318">
        <v>80</v>
      </c>
      <c r="U318">
        <v>126.7</v>
      </c>
      <c r="V318">
        <v>5855</v>
      </c>
      <c r="W318">
        <v>77</v>
      </c>
      <c r="X318">
        <v>36.979999999999997</v>
      </c>
      <c r="Y318">
        <v>0</v>
      </c>
    </row>
    <row r="319" spans="1:25" x14ac:dyDescent="0.25">
      <c r="A319" t="s">
        <v>41</v>
      </c>
      <c r="B319">
        <f>_xlfn.XLOOKUP(Table4[[#This Row],[country]],Table2[country],Table2[country_id],FALSE)</f>
        <v>7</v>
      </c>
      <c r="C319" t="s">
        <v>32</v>
      </c>
      <c r="D319">
        <v>2019</v>
      </c>
      <c r="E319">
        <f>_xlfn.XLOOKUP(Table4[[#This Row],[year]],Table1[year],Table1[year_id])</f>
        <v>10</v>
      </c>
      <c r="F319" t="s">
        <v>30</v>
      </c>
      <c r="G319" t="s">
        <v>28</v>
      </c>
      <c r="H319" cm="1">
        <f t="array" ref="H319">_xlfn.XLOOKUP(Table4[[#This Row],[vehicle_segment]]&amp;Table4[[#This Row],[powertrain_type]],Table3[vehicle_segment]&amp;Table3[powertrain_type],Table3[vehicle_id])</f>
        <v>3</v>
      </c>
      <c r="I319">
        <v>22775</v>
      </c>
      <c r="J319">
        <v>500721</v>
      </c>
      <c r="K319">
        <v>43541</v>
      </c>
      <c r="L319">
        <v>567037</v>
      </c>
      <c r="M319">
        <v>4.0199999999999996</v>
      </c>
      <c r="N319">
        <v>30154</v>
      </c>
      <c r="O319">
        <v>9.6999999999999993</v>
      </c>
      <c r="P319">
        <v>293</v>
      </c>
      <c r="Q319">
        <v>1.587</v>
      </c>
      <c r="R319">
        <v>0.19700000000000001</v>
      </c>
      <c r="S319">
        <v>40313</v>
      </c>
      <c r="T319">
        <v>80</v>
      </c>
      <c r="U319">
        <v>126.7</v>
      </c>
      <c r="V319">
        <v>5855</v>
      </c>
      <c r="W319">
        <v>77</v>
      </c>
      <c r="X319">
        <v>32.880000000000003</v>
      </c>
      <c r="Y319">
        <v>0</v>
      </c>
    </row>
    <row r="320" spans="1:25" x14ac:dyDescent="0.25">
      <c r="A320" t="s">
        <v>41</v>
      </c>
      <c r="B320">
        <f>_xlfn.XLOOKUP(Table4[[#This Row],[country]],Table2[country],Table2[country_id],FALSE)</f>
        <v>7</v>
      </c>
      <c r="C320" t="s">
        <v>32</v>
      </c>
      <c r="D320">
        <v>2020</v>
      </c>
      <c r="E320">
        <f>_xlfn.XLOOKUP(Table4[[#This Row],[year]],Table1[year],Table1[year_id])</f>
        <v>11</v>
      </c>
      <c r="F320" t="s">
        <v>27</v>
      </c>
      <c r="G320" t="s">
        <v>28</v>
      </c>
      <c r="H320" cm="1">
        <f t="array" ref="H320">_xlfn.XLOOKUP(Table4[[#This Row],[vehicle_segment]]&amp;Table4[[#This Row],[powertrain_type]],Table3[vehicle_segment]&amp;Table3[powertrain_type],Table3[vehicle_id])</f>
        <v>1</v>
      </c>
      <c r="I320">
        <v>10541</v>
      </c>
      <c r="J320">
        <v>139642</v>
      </c>
      <c r="K320">
        <v>93094</v>
      </c>
      <c r="L320">
        <v>243277</v>
      </c>
      <c r="M320">
        <v>4.33</v>
      </c>
      <c r="N320">
        <v>45766</v>
      </c>
      <c r="O320">
        <v>11.1</v>
      </c>
      <c r="P320">
        <v>344</v>
      </c>
      <c r="Q320">
        <v>1.7070000000000001</v>
      </c>
      <c r="R320">
        <v>0.20100000000000001</v>
      </c>
      <c r="S320">
        <v>40154</v>
      </c>
      <c r="T320">
        <v>81.099999999999994</v>
      </c>
      <c r="U320">
        <v>119.1</v>
      </c>
      <c r="V320">
        <v>6985</v>
      </c>
      <c r="W320">
        <v>78.5</v>
      </c>
      <c r="X320">
        <v>215.69</v>
      </c>
      <c r="Y320">
        <v>0</v>
      </c>
    </row>
    <row r="321" spans="1:25" x14ac:dyDescent="0.25">
      <c r="A321" t="s">
        <v>41</v>
      </c>
      <c r="B321">
        <f>_xlfn.XLOOKUP(Table4[[#This Row],[country]],Table2[country],Table2[country_id],FALSE)</f>
        <v>7</v>
      </c>
      <c r="C321" t="s">
        <v>32</v>
      </c>
      <c r="D321">
        <v>2020</v>
      </c>
      <c r="E321">
        <f>_xlfn.XLOOKUP(Table4[[#This Row],[year]],Table1[year],Table1[year_id])</f>
        <v>11</v>
      </c>
      <c r="F321" t="s">
        <v>29</v>
      </c>
      <c r="G321" t="s">
        <v>28</v>
      </c>
      <c r="H321" cm="1">
        <f t="array" ref="H321">_xlfn.XLOOKUP(Table4[[#This Row],[vehicle_segment]]&amp;Table4[[#This Row],[powertrain_type]],Table3[vehicle_segment]&amp;Table3[powertrain_type],Table3[vehicle_id])</f>
        <v>2</v>
      </c>
      <c r="I321">
        <v>121288</v>
      </c>
      <c r="J321">
        <v>755408</v>
      </c>
      <c r="K321">
        <v>103010</v>
      </c>
      <c r="L321">
        <v>979706</v>
      </c>
      <c r="M321">
        <v>12.38</v>
      </c>
      <c r="N321">
        <v>45766</v>
      </c>
      <c r="O321">
        <v>11.1</v>
      </c>
      <c r="P321">
        <v>344</v>
      </c>
      <c r="Q321">
        <v>1.7070000000000001</v>
      </c>
      <c r="R321">
        <v>0.20100000000000001</v>
      </c>
      <c r="S321">
        <v>40154</v>
      </c>
      <c r="T321">
        <v>81.099999999999994</v>
      </c>
      <c r="U321">
        <v>119.1</v>
      </c>
      <c r="V321">
        <v>6985</v>
      </c>
      <c r="W321">
        <v>78.5</v>
      </c>
      <c r="X321">
        <v>215.41</v>
      </c>
      <c r="Y321">
        <v>0</v>
      </c>
    </row>
    <row r="322" spans="1:25" x14ac:dyDescent="0.25">
      <c r="A322" t="s">
        <v>41</v>
      </c>
      <c r="B322">
        <f>_xlfn.XLOOKUP(Table4[[#This Row],[country]],Table2[country],Table2[country_id],FALSE)</f>
        <v>7</v>
      </c>
      <c r="C322" t="s">
        <v>32</v>
      </c>
      <c r="D322">
        <v>2020</v>
      </c>
      <c r="E322">
        <f>_xlfn.XLOOKUP(Table4[[#This Row],[year]],Table1[year],Table1[year_id])</f>
        <v>11</v>
      </c>
      <c r="F322" t="s">
        <v>30</v>
      </c>
      <c r="G322" t="s">
        <v>28</v>
      </c>
      <c r="H322" cm="1">
        <f t="array" ref="H322">_xlfn.XLOOKUP(Table4[[#This Row],[vehicle_segment]]&amp;Table4[[#This Row],[powertrain_type]],Table3[vehicle_segment]&amp;Table3[powertrain_type],Table3[vehicle_id])</f>
        <v>3</v>
      </c>
      <c r="I322">
        <v>71591</v>
      </c>
      <c r="J322">
        <v>301045</v>
      </c>
      <c r="K322">
        <v>26178</v>
      </c>
      <c r="L322">
        <v>398814</v>
      </c>
      <c r="M322">
        <v>17.95</v>
      </c>
      <c r="N322">
        <v>45766</v>
      </c>
      <c r="O322">
        <v>11.1</v>
      </c>
      <c r="P322">
        <v>344</v>
      </c>
      <c r="Q322">
        <v>1.7070000000000001</v>
      </c>
      <c r="R322">
        <v>0.20100000000000001</v>
      </c>
      <c r="S322">
        <v>40154</v>
      </c>
      <c r="T322">
        <v>81.099999999999994</v>
      </c>
      <c r="U322">
        <v>119.1</v>
      </c>
      <c r="V322">
        <v>6985</v>
      </c>
      <c r="W322">
        <v>78.5</v>
      </c>
      <c r="X322">
        <v>214.34</v>
      </c>
      <c r="Y322">
        <v>0</v>
      </c>
    </row>
    <row r="323" spans="1:25" x14ac:dyDescent="0.25">
      <c r="A323" t="s">
        <v>41</v>
      </c>
      <c r="B323">
        <f>_xlfn.XLOOKUP(Table4[[#This Row],[country]],Table2[country],Table2[country_id],FALSE)</f>
        <v>7</v>
      </c>
      <c r="C323" t="s">
        <v>32</v>
      </c>
      <c r="D323">
        <v>2021</v>
      </c>
      <c r="E323">
        <f>_xlfn.XLOOKUP(Table4[[#This Row],[year]],Table1[year],Table1[year_id])</f>
        <v>12</v>
      </c>
      <c r="F323" t="s">
        <v>27</v>
      </c>
      <c r="G323" t="s">
        <v>28</v>
      </c>
      <c r="H323" cm="1">
        <f t="array" ref="H323">_xlfn.XLOOKUP(Table4[[#This Row],[vehicle_segment]]&amp;Table4[[#This Row],[powertrain_type]],Table3[vehicle_segment]&amp;Table3[powertrain_type],Table3[vehicle_id])</f>
        <v>1</v>
      </c>
      <c r="I323">
        <v>15680</v>
      </c>
      <c r="J323">
        <v>136916</v>
      </c>
      <c r="K323">
        <v>91278</v>
      </c>
      <c r="L323">
        <v>243874</v>
      </c>
      <c r="M323">
        <v>6.43</v>
      </c>
      <c r="N323">
        <v>52476</v>
      </c>
      <c r="O323">
        <v>12.9</v>
      </c>
      <c r="P323">
        <v>360</v>
      </c>
      <c r="Q323">
        <v>1.893</v>
      </c>
      <c r="R323">
        <v>0.20899999999999999</v>
      </c>
      <c r="S323">
        <v>41488</v>
      </c>
      <c r="T323">
        <v>81</v>
      </c>
      <c r="U323">
        <v>114.8</v>
      </c>
      <c r="V323">
        <v>6537</v>
      </c>
      <c r="W323">
        <v>81.2</v>
      </c>
      <c r="X323">
        <v>48.75</v>
      </c>
      <c r="Y323">
        <v>0</v>
      </c>
    </row>
    <row r="324" spans="1:25" x14ac:dyDescent="0.25">
      <c r="A324" t="s">
        <v>41</v>
      </c>
      <c r="B324">
        <f>_xlfn.XLOOKUP(Table4[[#This Row],[country]],Table2[country],Table2[country_id],FALSE)</f>
        <v>7</v>
      </c>
      <c r="C324" t="s">
        <v>32</v>
      </c>
      <c r="D324">
        <v>2021</v>
      </c>
      <c r="E324">
        <f>_xlfn.XLOOKUP(Table4[[#This Row],[year]],Table1[year],Table1[year_id])</f>
        <v>12</v>
      </c>
      <c r="F324" t="s">
        <v>29</v>
      </c>
      <c r="G324" t="s">
        <v>28</v>
      </c>
      <c r="H324" cm="1">
        <f t="array" ref="H324">_xlfn.XLOOKUP(Table4[[#This Row],[vehicle_segment]]&amp;Table4[[#This Row],[powertrain_type]],Table3[vehicle_segment]&amp;Table3[powertrain_type],Table3[vehicle_id])</f>
        <v>2</v>
      </c>
      <c r="I324">
        <v>179712</v>
      </c>
      <c r="J324">
        <v>702747</v>
      </c>
      <c r="K324">
        <v>95829</v>
      </c>
      <c r="L324">
        <v>978288</v>
      </c>
      <c r="M324">
        <v>18.37</v>
      </c>
      <c r="N324">
        <v>52476</v>
      </c>
      <c r="O324">
        <v>12.9</v>
      </c>
      <c r="P324">
        <v>360</v>
      </c>
      <c r="Q324">
        <v>1.893</v>
      </c>
      <c r="R324">
        <v>0.20899999999999999</v>
      </c>
      <c r="S324">
        <v>41488</v>
      </c>
      <c r="T324">
        <v>81</v>
      </c>
      <c r="U324">
        <v>114.8</v>
      </c>
      <c r="V324">
        <v>6537</v>
      </c>
      <c r="W324">
        <v>81.2</v>
      </c>
      <c r="X324">
        <v>48.17</v>
      </c>
      <c r="Y324">
        <v>0</v>
      </c>
    </row>
    <row r="325" spans="1:25" x14ac:dyDescent="0.25">
      <c r="A325" t="s">
        <v>41</v>
      </c>
      <c r="B325">
        <f>_xlfn.XLOOKUP(Table4[[#This Row],[country]],Table2[country],Table2[country_id],FALSE)</f>
        <v>7</v>
      </c>
      <c r="C325" t="s">
        <v>32</v>
      </c>
      <c r="D325">
        <v>2021</v>
      </c>
      <c r="E325">
        <f>_xlfn.XLOOKUP(Table4[[#This Row],[year]],Table1[year],Table1[year_id])</f>
        <v>12</v>
      </c>
      <c r="F325" t="s">
        <v>30</v>
      </c>
      <c r="G325" t="s">
        <v>28</v>
      </c>
      <c r="H325" cm="1">
        <f t="array" ref="H325">_xlfn.XLOOKUP(Table4[[#This Row],[vehicle_segment]]&amp;Table4[[#This Row],[powertrain_type]],Table3[vehicle_segment]&amp;Table3[powertrain_type],Table3[vehicle_id])</f>
        <v>3</v>
      </c>
      <c r="I325">
        <v>109212</v>
      </c>
      <c r="J325">
        <v>276732</v>
      </c>
      <c r="K325">
        <v>24064</v>
      </c>
      <c r="L325">
        <v>410008</v>
      </c>
      <c r="M325">
        <v>26.64</v>
      </c>
      <c r="N325">
        <v>52476</v>
      </c>
      <c r="O325">
        <v>12.9</v>
      </c>
      <c r="P325">
        <v>360</v>
      </c>
      <c r="Q325">
        <v>1.893</v>
      </c>
      <c r="R325">
        <v>0.20899999999999999</v>
      </c>
      <c r="S325">
        <v>41488</v>
      </c>
      <c r="T325">
        <v>81</v>
      </c>
      <c r="U325">
        <v>114.8</v>
      </c>
      <c r="V325">
        <v>6537</v>
      </c>
      <c r="W325">
        <v>81.2</v>
      </c>
      <c r="X325">
        <v>52.55</v>
      </c>
      <c r="Y325">
        <v>0</v>
      </c>
    </row>
    <row r="326" spans="1:25" x14ac:dyDescent="0.25">
      <c r="A326" t="s">
        <v>41</v>
      </c>
      <c r="B326">
        <f>_xlfn.XLOOKUP(Table4[[#This Row],[country]],Table2[country],Table2[country_id],FALSE)</f>
        <v>7</v>
      </c>
      <c r="C326" t="s">
        <v>32</v>
      </c>
      <c r="D326">
        <v>2022</v>
      </c>
      <c r="E326">
        <f>_xlfn.XLOOKUP(Table4[[#This Row],[year]],Table1[year],Table1[year_id])</f>
        <v>13</v>
      </c>
      <c r="F326" t="s">
        <v>27</v>
      </c>
      <c r="G326" t="s">
        <v>28</v>
      </c>
      <c r="H326" cm="1">
        <f t="array" ref="H326">_xlfn.XLOOKUP(Table4[[#This Row],[vehicle_segment]]&amp;Table4[[#This Row],[powertrain_type]],Table3[vehicle_segment]&amp;Table3[powertrain_type],Table3[vehicle_id])</f>
        <v>1</v>
      </c>
      <c r="I326">
        <v>17823</v>
      </c>
      <c r="J326">
        <v>129909</v>
      </c>
      <c r="K326">
        <v>86606</v>
      </c>
      <c r="L326">
        <v>234338</v>
      </c>
      <c r="M326">
        <v>7.61</v>
      </c>
      <c r="N326">
        <v>79878</v>
      </c>
      <c r="O326">
        <v>15.5</v>
      </c>
      <c r="P326">
        <v>400</v>
      </c>
      <c r="Q326">
        <v>1.97</v>
      </c>
      <c r="R326">
        <v>0.218</v>
      </c>
      <c r="S326">
        <v>41146</v>
      </c>
      <c r="T326">
        <v>81.3</v>
      </c>
      <c r="U326">
        <v>116.9</v>
      </c>
      <c r="V326">
        <v>6079</v>
      </c>
      <c r="W326">
        <v>82.6</v>
      </c>
      <c r="X326">
        <v>13.67</v>
      </c>
      <c r="Y326">
        <v>0</v>
      </c>
    </row>
    <row r="327" spans="1:25" x14ac:dyDescent="0.25">
      <c r="A327" t="s">
        <v>41</v>
      </c>
      <c r="B327">
        <f>_xlfn.XLOOKUP(Table4[[#This Row],[country]],Table2[country],Table2[country_id],FALSE)</f>
        <v>7</v>
      </c>
      <c r="C327" t="s">
        <v>32</v>
      </c>
      <c r="D327">
        <v>2022</v>
      </c>
      <c r="E327">
        <f>_xlfn.XLOOKUP(Table4[[#This Row],[year]],Table1[year],Table1[year_id])</f>
        <v>13</v>
      </c>
      <c r="F327" t="s">
        <v>29</v>
      </c>
      <c r="G327" t="s">
        <v>28</v>
      </c>
      <c r="H327" cm="1">
        <f t="array" ref="H327">_xlfn.XLOOKUP(Table4[[#This Row],[vehicle_segment]]&amp;Table4[[#This Row],[powertrain_type]],Table3[vehicle_segment]&amp;Table3[powertrain_type],Table3[vehicle_id])</f>
        <v>2</v>
      </c>
      <c r="I327">
        <v>204996</v>
      </c>
      <c r="J327">
        <v>649775</v>
      </c>
      <c r="K327">
        <v>88606</v>
      </c>
      <c r="L327">
        <v>943377</v>
      </c>
      <c r="M327">
        <v>21.73</v>
      </c>
      <c r="N327">
        <v>79878</v>
      </c>
      <c r="O327">
        <v>15.5</v>
      </c>
      <c r="P327">
        <v>400</v>
      </c>
      <c r="Q327">
        <v>1.97</v>
      </c>
      <c r="R327">
        <v>0.218</v>
      </c>
      <c r="S327">
        <v>41146</v>
      </c>
      <c r="T327">
        <v>81.3</v>
      </c>
      <c r="U327">
        <v>116.9</v>
      </c>
      <c r="V327">
        <v>6079</v>
      </c>
      <c r="W327">
        <v>82.6</v>
      </c>
      <c r="X327">
        <v>14.07</v>
      </c>
      <c r="Y327">
        <v>0</v>
      </c>
    </row>
    <row r="328" spans="1:25" x14ac:dyDescent="0.25">
      <c r="A328" t="s">
        <v>41</v>
      </c>
      <c r="B328">
        <f>_xlfn.XLOOKUP(Table4[[#This Row],[country]],Table2[country],Table2[country_id],FALSE)</f>
        <v>7</v>
      </c>
      <c r="C328" t="s">
        <v>32</v>
      </c>
      <c r="D328">
        <v>2022</v>
      </c>
      <c r="E328">
        <f>_xlfn.XLOOKUP(Table4[[#This Row],[year]],Table1[year],Table1[year_id])</f>
        <v>13</v>
      </c>
      <c r="F328" t="s">
        <v>30</v>
      </c>
      <c r="G328" t="s">
        <v>28</v>
      </c>
      <c r="H328" cm="1">
        <f t="array" ref="H328">_xlfn.XLOOKUP(Table4[[#This Row],[vehicle_segment]]&amp;Table4[[#This Row],[powertrain_type]],Table3[vehicle_segment]&amp;Table3[powertrain_type],Table3[vehicle_id])</f>
        <v>3</v>
      </c>
      <c r="I328">
        <v>124817</v>
      </c>
      <c r="J328">
        <v>249614</v>
      </c>
      <c r="K328">
        <v>21706</v>
      </c>
      <c r="L328">
        <v>396137</v>
      </c>
      <c r="M328">
        <v>31.51</v>
      </c>
      <c r="N328">
        <v>79878</v>
      </c>
      <c r="O328">
        <v>15.5</v>
      </c>
      <c r="P328">
        <v>400</v>
      </c>
      <c r="Q328">
        <v>1.97</v>
      </c>
      <c r="R328">
        <v>0.218</v>
      </c>
      <c r="S328">
        <v>41146</v>
      </c>
      <c r="T328">
        <v>81.3</v>
      </c>
      <c r="U328">
        <v>116.9</v>
      </c>
      <c r="V328">
        <v>6079</v>
      </c>
      <c r="W328">
        <v>82.6</v>
      </c>
      <c r="X328">
        <v>14.29</v>
      </c>
      <c r="Y328">
        <v>0</v>
      </c>
    </row>
    <row r="329" spans="1:25" x14ac:dyDescent="0.25">
      <c r="A329" t="s">
        <v>41</v>
      </c>
      <c r="B329">
        <f>_xlfn.XLOOKUP(Table4[[#This Row],[country]],Table2[country],Table2[country_id],FALSE)</f>
        <v>7</v>
      </c>
      <c r="C329" t="s">
        <v>32</v>
      </c>
      <c r="D329">
        <v>2023</v>
      </c>
      <c r="E329">
        <f>_xlfn.XLOOKUP(Table4[[#This Row],[year]],Table1[year],Table1[year_id])</f>
        <v>14</v>
      </c>
      <c r="F329" t="s">
        <v>27</v>
      </c>
      <c r="G329" t="s">
        <v>28</v>
      </c>
      <c r="H329" cm="1">
        <f t="array" ref="H329">_xlfn.XLOOKUP(Table4[[#This Row],[vehicle_segment]]&amp;Table4[[#This Row],[powertrain_type]],Table3[vehicle_segment]&amp;Table3[powertrain_type],Table3[vehicle_id])</f>
        <v>1</v>
      </c>
      <c r="I329">
        <v>20625</v>
      </c>
      <c r="J329">
        <v>147760</v>
      </c>
      <c r="K329">
        <v>98506</v>
      </c>
      <c r="L329">
        <v>266891</v>
      </c>
      <c r="M329">
        <v>7.73</v>
      </c>
      <c r="N329">
        <v>126194</v>
      </c>
      <c r="O329">
        <v>17.5</v>
      </c>
      <c r="P329">
        <v>427</v>
      </c>
      <c r="Q329">
        <v>1.9830000000000001</v>
      </c>
      <c r="R329">
        <v>0.23</v>
      </c>
      <c r="S329">
        <v>42556</v>
      </c>
      <c r="T329">
        <v>81.3</v>
      </c>
      <c r="U329">
        <v>115.7</v>
      </c>
      <c r="V329">
        <v>5468</v>
      </c>
      <c r="W329">
        <v>86.5</v>
      </c>
      <c r="X329">
        <v>15.72</v>
      </c>
      <c r="Y329">
        <v>0</v>
      </c>
    </row>
    <row r="330" spans="1:25" x14ac:dyDescent="0.25">
      <c r="A330" t="s">
        <v>41</v>
      </c>
      <c r="B330">
        <f>_xlfn.XLOOKUP(Table4[[#This Row],[country]],Table2[country],Table2[country_id],FALSE)</f>
        <v>7</v>
      </c>
      <c r="C330" t="s">
        <v>32</v>
      </c>
      <c r="D330">
        <v>2023</v>
      </c>
      <c r="E330">
        <f>_xlfn.XLOOKUP(Table4[[#This Row],[year]],Table1[year],Table1[year_id])</f>
        <v>14</v>
      </c>
      <c r="F330" t="s">
        <v>29</v>
      </c>
      <c r="G330" t="s">
        <v>28</v>
      </c>
      <c r="H330" cm="1">
        <f t="array" ref="H330">_xlfn.XLOOKUP(Table4[[#This Row],[vehicle_segment]]&amp;Table4[[#This Row],[powertrain_type]],Table3[vehicle_segment]&amp;Table3[powertrain_type],Table3[vehicle_id])</f>
        <v>2</v>
      </c>
      <c r="I330">
        <v>232594</v>
      </c>
      <c r="J330">
        <v>722322</v>
      </c>
      <c r="K330">
        <v>98499</v>
      </c>
      <c r="L330">
        <v>1053415</v>
      </c>
      <c r="M330">
        <v>22.08</v>
      </c>
      <c r="N330">
        <v>126194</v>
      </c>
      <c r="O330">
        <v>17.5</v>
      </c>
      <c r="P330">
        <v>427</v>
      </c>
      <c r="Q330">
        <v>1.9830000000000001</v>
      </c>
      <c r="R330">
        <v>0.23</v>
      </c>
      <c r="S330">
        <v>42556</v>
      </c>
      <c r="T330">
        <v>81.3</v>
      </c>
      <c r="U330">
        <v>115.7</v>
      </c>
      <c r="V330">
        <v>5468</v>
      </c>
      <c r="W330">
        <v>86.5</v>
      </c>
      <c r="X330">
        <v>13.46</v>
      </c>
      <c r="Y330">
        <v>0</v>
      </c>
    </row>
    <row r="331" spans="1:25" x14ac:dyDescent="0.25">
      <c r="A331" t="s">
        <v>41</v>
      </c>
      <c r="B331">
        <f>_xlfn.XLOOKUP(Table4[[#This Row],[country]],Table2[country],Table2[country_id],FALSE)</f>
        <v>7</v>
      </c>
      <c r="C331" t="s">
        <v>32</v>
      </c>
      <c r="D331">
        <v>2023</v>
      </c>
      <c r="E331">
        <f>_xlfn.XLOOKUP(Table4[[#This Row],[year]],Table1[year],Table1[year_id])</f>
        <v>14</v>
      </c>
      <c r="F331" t="s">
        <v>30</v>
      </c>
      <c r="G331" t="s">
        <v>28</v>
      </c>
      <c r="H331" cm="1">
        <f t="array" ref="H331">_xlfn.XLOOKUP(Table4[[#This Row],[vehicle_segment]]&amp;Table4[[#This Row],[powertrain_type]],Table3[vehicle_segment]&amp;Table3[powertrain_type],Table3[vehicle_id])</f>
        <v>3</v>
      </c>
      <c r="I331">
        <v>140065</v>
      </c>
      <c r="J331">
        <v>273625</v>
      </c>
      <c r="K331">
        <v>23794</v>
      </c>
      <c r="L331">
        <v>437484</v>
      </c>
      <c r="M331">
        <v>32.020000000000003</v>
      </c>
      <c r="N331">
        <v>126194</v>
      </c>
      <c r="O331">
        <v>17.5</v>
      </c>
      <c r="P331">
        <v>427</v>
      </c>
      <c r="Q331">
        <v>1.9830000000000001</v>
      </c>
      <c r="R331">
        <v>0.23</v>
      </c>
      <c r="S331">
        <v>42556</v>
      </c>
      <c r="T331">
        <v>81.3</v>
      </c>
      <c r="U331">
        <v>115.7</v>
      </c>
      <c r="V331">
        <v>5468</v>
      </c>
      <c r="W331">
        <v>86.5</v>
      </c>
      <c r="X331">
        <v>12.22</v>
      </c>
      <c r="Y331">
        <v>0</v>
      </c>
    </row>
    <row r="332" spans="1:25" x14ac:dyDescent="0.25">
      <c r="A332" t="s">
        <v>41</v>
      </c>
      <c r="B332">
        <f>_xlfn.XLOOKUP(Table4[[#This Row],[country]],Table2[country],Table2[country_id],FALSE)</f>
        <v>7</v>
      </c>
      <c r="C332" t="s">
        <v>32</v>
      </c>
      <c r="D332">
        <v>2024</v>
      </c>
      <c r="E332">
        <f>_xlfn.XLOOKUP(Table4[[#This Row],[year]],Table1[year],Table1[year_id])</f>
        <v>15</v>
      </c>
      <c r="F332" t="s">
        <v>27</v>
      </c>
      <c r="G332" t="s">
        <v>28</v>
      </c>
      <c r="H332" cm="1">
        <f t="array" ref="H332">_xlfn.XLOOKUP(Table4[[#This Row],[vehicle_segment]]&amp;Table4[[#This Row],[powertrain_type]],Table3[vehicle_segment]&amp;Table3[powertrain_type],Table3[vehicle_id])</f>
        <v>1</v>
      </c>
      <c r="I332">
        <v>24008</v>
      </c>
      <c r="J332">
        <v>151886</v>
      </c>
      <c r="K332">
        <v>101257</v>
      </c>
      <c r="L332">
        <v>277151</v>
      </c>
      <c r="M332">
        <v>8.66</v>
      </c>
      <c r="N332">
        <v>152618</v>
      </c>
      <c r="O332">
        <v>19.7</v>
      </c>
      <c r="P332">
        <v>464</v>
      </c>
      <c r="Q332">
        <v>1.9</v>
      </c>
      <c r="R332">
        <v>0.24</v>
      </c>
      <c r="S332">
        <v>44045</v>
      </c>
      <c r="T332">
        <v>81.3</v>
      </c>
      <c r="U332">
        <v>113.6</v>
      </c>
      <c r="V332">
        <v>5020</v>
      </c>
      <c r="W332">
        <v>87.9</v>
      </c>
      <c r="X332">
        <v>16.399999999999999</v>
      </c>
      <c r="Y332">
        <v>0</v>
      </c>
    </row>
    <row r="333" spans="1:25" x14ac:dyDescent="0.25">
      <c r="A333" t="s">
        <v>41</v>
      </c>
      <c r="B333">
        <f>_xlfn.XLOOKUP(Table4[[#This Row],[country]],Table2[country],Table2[country_id],FALSE)</f>
        <v>7</v>
      </c>
      <c r="C333" t="s">
        <v>32</v>
      </c>
      <c r="D333">
        <v>2024</v>
      </c>
      <c r="E333">
        <f>_xlfn.XLOOKUP(Table4[[#This Row],[year]],Table1[year],Table1[year_id])</f>
        <v>15</v>
      </c>
      <c r="F333" t="s">
        <v>29</v>
      </c>
      <c r="G333" t="s">
        <v>28</v>
      </c>
      <c r="H333" cm="1">
        <f t="array" ref="H333">_xlfn.XLOOKUP(Table4[[#This Row],[vehicle_segment]]&amp;Table4[[#This Row],[powertrain_type]],Table3[vehicle_segment]&amp;Table3[powertrain_type],Table3[vehicle_id])</f>
        <v>2</v>
      </c>
      <c r="I333">
        <v>274535</v>
      </c>
      <c r="J333">
        <v>734533</v>
      </c>
      <c r="K333">
        <v>100164</v>
      </c>
      <c r="L333">
        <v>1109232</v>
      </c>
      <c r="M333">
        <v>24.75</v>
      </c>
      <c r="N333">
        <v>152618</v>
      </c>
      <c r="O333">
        <v>19.7</v>
      </c>
      <c r="P333">
        <v>464</v>
      </c>
      <c r="Q333">
        <v>1.9</v>
      </c>
      <c r="R333">
        <v>0.24</v>
      </c>
      <c r="S333">
        <v>44045</v>
      </c>
      <c r="T333">
        <v>81.3</v>
      </c>
      <c r="U333">
        <v>113.6</v>
      </c>
      <c r="V333">
        <v>5020</v>
      </c>
      <c r="W333">
        <v>87.9</v>
      </c>
      <c r="X333">
        <v>18.03</v>
      </c>
      <c r="Y333">
        <v>0</v>
      </c>
    </row>
    <row r="334" spans="1:25" x14ac:dyDescent="0.25">
      <c r="A334" t="s">
        <v>41</v>
      </c>
      <c r="B334">
        <f>_xlfn.XLOOKUP(Table4[[#This Row],[country]],Table2[country],Table2[country_id],FALSE)</f>
        <v>7</v>
      </c>
      <c r="C334" t="s">
        <v>32</v>
      </c>
      <c r="D334">
        <v>2024</v>
      </c>
      <c r="E334">
        <f>_xlfn.XLOOKUP(Table4[[#This Row],[year]],Table1[year],Table1[year_id])</f>
        <v>15</v>
      </c>
      <c r="F334" t="s">
        <v>30</v>
      </c>
      <c r="G334" t="s">
        <v>28</v>
      </c>
      <c r="H334" cm="1">
        <f t="array" ref="H334">_xlfn.XLOOKUP(Table4[[#This Row],[vehicle_segment]]&amp;Table4[[#This Row],[powertrain_type]],Table3[vehicle_segment]&amp;Table3[powertrain_type],Table3[vehicle_id])</f>
        <v>3</v>
      </c>
      <c r="I334">
        <v>162489</v>
      </c>
      <c r="J334">
        <v>267061</v>
      </c>
      <c r="K334">
        <v>23223</v>
      </c>
      <c r="L334">
        <v>452773</v>
      </c>
      <c r="M334">
        <v>35.89</v>
      </c>
      <c r="N334">
        <v>152618</v>
      </c>
      <c r="O334">
        <v>19.7</v>
      </c>
      <c r="P334">
        <v>464</v>
      </c>
      <c r="Q334">
        <v>1.9</v>
      </c>
      <c r="R334">
        <v>0.24</v>
      </c>
      <c r="S334">
        <v>44045</v>
      </c>
      <c r="T334">
        <v>81.3</v>
      </c>
      <c r="U334">
        <v>113.6</v>
      </c>
      <c r="V334">
        <v>5020</v>
      </c>
      <c r="W334">
        <v>87.9</v>
      </c>
      <c r="X334">
        <v>16.010000000000002</v>
      </c>
      <c r="Y334">
        <v>0</v>
      </c>
    </row>
    <row r="335" spans="1:25" x14ac:dyDescent="0.25">
      <c r="A335" t="s">
        <v>41</v>
      </c>
      <c r="B335">
        <f>_xlfn.XLOOKUP(Table4[[#This Row],[country]],Table2[country],Table2[country_id],FALSE)</f>
        <v>7</v>
      </c>
      <c r="C335" t="s">
        <v>32</v>
      </c>
      <c r="D335">
        <v>2025</v>
      </c>
      <c r="E335">
        <f>_xlfn.XLOOKUP(Table4[[#This Row],[year]],Table1[year],Table1[year_id])</f>
        <v>16</v>
      </c>
      <c r="F335" t="s">
        <v>27</v>
      </c>
      <c r="G335" t="s">
        <v>28</v>
      </c>
      <c r="H335" cm="1">
        <f t="array" ref="H335">_xlfn.XLOOKUP(Table4[[#This Row],[vehicle_segment]]&amp;Table4[[#This Row],[powertrain_type]],Table3[vehicle_segment]&amp;Table3[powertrain_type],Table3[vehicle_id])</f>
        <v>1</v>
      </c>
      <c r="I335">
        <v>25621</v>
      </c>
      <c r="J335">
        <v>155665</v>
      </c>
      <c r="K335">
        <v>103776</v>
      </c>
      <c r="L335">
        <v>285062</v>
      </c>
      <c r="M335">
        <v>8.99</v>
      </c>
      <c r="N335">
        <v>171174</v>
      </c>
      <c r="O335">
        <v>20.399999999999999</v>
      </c>
      <c r="P335">
        <v>483</v>
      </c>
      <c r="Q335">
        <v>1.84</v>
      </c>
      <c r="R335">
        <v>0.251</v>
      </c>
      <c r="S335">
        <v>46571</v>
      </c>
      <c r="T335">
        <v>81.400000000000006</v>
      </c>
      <c r="U335">
        <v>112.4</v>
      </c>
      <c r="V335">
        <v>3998</v>
      </c>
      <c r="W335">
        <v>89</v>
      </c>
      <c r="X335">
        <v>6.72</v>
      </c>
      <c r="Y335">
        <v>0</v>
      </c>
    </row>
    <row r="336" spans="1:25" x14ac:dyDescent="0.25">
      <c r="A336" t="s">
        <v>41</v>
      </c>
      <c r="B336">
        <f>_xlfn.XLOOKUP(Table4[[#This Row],[country]],Table2[country],Table2[country_id],FALSE)</f>
        <v>7</v>
      </c>
      <c r="C336" t="s">
        <v>32</v>
      </c>
      <c r="D336">
        <v>2025</v>
      </c>
      <c r="E336">
        <f>_xlfn.XLOOKUP(Table4[[#This Row],[year]],Table1[year],Table1[year_id])</f>
        <v>16</v>
      </c>
      <c r="F336" t="s">
        <v>29</v>
      </c>
      <c r="G336" t="s">
        <v>28</v>
      </c>
      <c r="H336" cm="1">
        <f t="array" ref="H336">_xlfn.XLOOKUP(Table4[[#This Row],[vehicle_segment]]&amp;Table4[[#This Row],[powertrain_type]],Table3[vehicle_segment]&amp;Table3[powertrain_type],Table3[vehicle_id])</f>
        <v>2</v>
      </c>
      <c r="I336">
        <v>297573</v>
      </c>
      <c r="J336">
        <v>757858</v>
      </c>
      <c r="K336">
        <v>103344</v>
      </c>
      <c r="L336">
        <v>1158775</v>
      </c>
      <c r="M336">
        <v>25.68</v>
      </c>
      <c r="N336">
        <v>171174</v>
      </c>
      <c r="O336">
        <v>20.399999999999999</v>
      </c>
      <c r="P336">
        <v>483</v>
      </c>
      <c r="Q336">
        <v>1.84</v>
      </c>
      <c r="R336">
        <v>0.251</v>
      </c>
      <c r="S336">
        <v>46571</v>
      </c>
      <c r="T336">
        <v>81.400000000000006</v>
      </c>
      <c r="U336">
        <v>112.4</v>
      </c>
      <c r="V336">
        <v>3998</v>
      </c>
      <c r="W336">
        <v>89</v>
      </c>
      <c r="X336">
        <v>8.39</v>
      </c>
      <c r="Y336">
        <v>0</v>
      </c>
    </row>
    <row r="337" spans="1:25" x14ac:dyDescent="0.25">
      <c r="A337" t="s">
        <v>41</v>
      </c>
      <c r="B337">
        <f>_xlfn.XLOOKUP(Table4[[#This Row],[country]],Table2[country],Table2[country_id],FALSE)</f>
        <v>7</v>
      </c>
      <c r="C337" t="s">
        <v>32</v>
      </c>
      <c r="D337">
        <v>2025</v>
      </c>
      <c r="E337">
        <f>_xlfn.XLOOKUP(Table4[[#This Row],[year]],Table1[year],Table1[year_id])</f>
        <v>16</v>
      </c>
      <c r="F337" t="s">
        <v>30</v>
      </c>
      <c r="G337" t="s">
        <v>28</v>
      </c>
      <c r="H337" cm="1">
        <f t="array" ref="H337">_xlfn.XLOOKUP(Table4[[#This Row],[vehicle_segment]]&amp;Table4[[#This Row],[powertrain_type]],Table3[vehicle_segment]&amp;Table3[powertrain_type],Table3[vehicle_id])</f>
        <v>3</v>
      </c>
      <c r="I337">
        <v>179243</v>
      </c>
      <c r="J337">
        <v>277956</v>
      </c>
      <c r="K337">
        <v>24170</v>
      </c>
      <c r="L337">
        <v>481369</v>
      </c>
      <c r="M337">
        <v>37.24</v>
      </c>
      <c r="N337">
        <v>171174</v>
      </c>
      <c r="O337">
        <v>20.399999999999999</v>
      </c>
      <c r="P337">
        <v>483</v>
      </c>
      <c r="Q337">
        <v>1.84</v>
      </c>
      <c r="R337">
        <v>0.251</v>
      </c>
      <c r="S337">
        <v>46571</v>
      </c>
      <c r="T337">
        <v>81.400000000000006</v>
      </c>
      <c r="U337">
        <v>112.4</v>
      </c>
      <c r="V337">
        <v>3998</v>
      </c>
      <c r="W337">
        <v>89</v>
      </c>
      <c r="X337">
        <v>10.31</v>
      </c>
      <c r="Y337">
        <v>0</v>
      </c>
    </row>
    <row r="338" spans="1:25" x14ac:dyDescent="0.25">
      <c r="A338" t="s">
        <v>42</v>
      </c>
      <c r="B338">
        <f>_xlfn.XLOOKUP(Table4[[#This Row],[country]],Table2[country],Table2[country_id],FALSE)</f>
        <v>8</v>
      </c>
      <c r="C338" t="s">
        <v>32</v>
      </c>
      <c r="D338">
        <v>2010</v>
      </c>
      <c r="E338">
        <f>_xlfn.XLOOKUP(Table4[[#This Row],[year]],Table1[year],Table1[year_id])</f>
        <v>1</v>
      </c>
      <c r="F338" t="s">
        <v>27</v>
      </c>
      <c r="G338" t="s">
        <v>28</v>
      </c>
      <c r="H338" cm="1">
        <f t="array" ref="H338">_xlfn.XLOOKUP(Table4[[#This Row],[vehicle_segment]]&amp;Table4[[#This Row],[powertrain_type]],Table3[vehicle_segment]&amp;Table3[powertrain_type],Table3[vehicle_id])</f>
        <v>1</v>
      </c>
      <c r="I338">
        <v>15</v>
      </c>
      <c r="J338">
        <v>264089</v>
      </c>
      <c r="K338">
        <v>176060</v>
      </c>
      <c r="L338">
        <v>440164</v>
      </c>
      <c r="M338">
        <v>0</v>
      </c>
      <c r="N338">
        <v>207</v>
      </c>
      <c r="O338">
        <v>3</v>
      </c>
      <c r="P338">
        <v>131</v>
      </c>
      <c r="Q338">
        <v>1.52</v>
      </c>
      <c r="R338">
        <v>0.27</v>
      </c>
      <c r="S338">
        <v>41778</v>
      </c>
      <c r="T338">
        <v>73.8</v>
      </c>
      <c r="U338">
        <v>155</v>
      </c>
      <c r="V338">
        <v>0</v>
      </c>
      <c r="W338">
        <v>54.6</v>
      </c>
      <c r="X338">
        <v>0</v>
      </c>
      <c r="Y338">
        <v>0</v>
      </c>
    </row>
    <row r="339" spans="1:25" x14ac:dyDescent="0.25">
      <c r="A339" t="s">
        <v>42</v>
      </c>
      <c r="B339">
        <f>_xlfn.XLOOKUP(Table4[[#This Row],[country]],Table2[country],Table2[country_id],FALSE)</f>
        <v>8</v>
      </c>
      <c r="C339" t="s">
        <v>32</v>
      </c>
      <c r="D339">
        <v>2010</v>
      </c>
      <c r="E339">
        <f>_xlfn.XLOOKUP(Table4[[#This Row],[year]],Table1[year],Table1[year_id])</f>
        <v>1</v>
      </c>
      <c r="F339" t="s">
        <v>29</v>
      </c>
      <c r="G339" t="s">
        <v>28</v>
      </c>
      <c r="H339" cm="1">
        <f t="array" ref="H339">_xlfn.XLOOKUP(Table4[[#This Row],[vehicle_segment]]&amp;Table4[[#This Row],[powertrain_type]],Table3[vehicle_segment]&amp;Table3[powertrain_type],Table3[vehicle_id])</f>
        <v>2</v>
      </c>
      <c r="I339">
        <v>173</v>
      </c>
      <c r="J339">
        <v>1518311</v>
      </c>
      <c r="K339">
        <v>207042</v>
      </c>
      <c r="L339">
        <v>1725526</v>
      </c>
      <c r="M339">
        <v>0.01</v>
      </c>
      <c r="N339">
        <v>207</v>
      </c>
      <c r="O339">
        <v>3</v>
      </c>
      <c r="P339">
        <v>131</v>
      </c>
      <c r="Q339">
        <v>1.52</v>
      </c>
      <c r="R339">
        <v>0.27</v>
      </c>
      <c r="S339">
        <v>41778</v>
      </c>
      <c r="T339">
        <v>73.8</v>
      </c>
      <c r="U339">
        <v>155</v>
      </c>
      <c r="V339">
        <v>0</v>
      </c>
      <c r="W339">
        <v>54.6</v>
      </c>
      <c r="X339">
        <v>0</v>
      </c>
      <c r="Y339">
        <v>0</v>
      </c>
    </row>
    <row r="340" spans="1:25" x14ac:dyDescent="0.25">
      <c r="A340" t="s">
        <v>42</v>
      </c>
      <c r="B340">
        <f>_xlfn.XLOOKUP(Table4[[#This Row],[country]],Table2[country],Table2[country_id],FALSE)</f>
        <v>8</v>
      </c>
      <c r="C340" t="s">
        <v>32</v>
      </c>
      <c r="D340">
        <v>2010</v>
      </c>
      <c r="E340">
        <f>_xlfn.XLOOKUP(Table4[[#This Row],[year]],Table1[year],Table1[year_id])</f>
        <v>1</v>
      </c>
      <c r="F340" t="s">
        <v>30</v>
      </c>
      <c r="G340" t="s">
        <v>28</v>
      </c>
      <c r="H340" cm="1">
        <f t="array" ref="H340">_xlfn.XLOOKUP(Table4[[#This Row],[vehicle_segment]]&amp;Table4[[#This Row],[powertrain_type]],Table3[vehicle_segment]&amp;Table3[powertrain_type],Table3[vehicle_id])</f>
        <v>3</v>
      </c>
      <c r="I340">
        <v>105</v>
      </c>
      <c r="J340">
        <v>668018</v>
      </c>
      <c r="K340">
        <v>58088</v>
      </c>
      <c r="L340">
        <v>726211</v>
      </c>
      <c r="M340">
        <v>0.01</v>
      </c>
      <c r="N340">
        <v>207</v>
      </c>
      <c r="O340">
        <v>3</v>
      </c>
      <c r="P340">
        <v>131</v>
      </c>
      <c r="Q340">
        <v>1.52</v>
      </c>
      <c r="R340">
        <v>0.27</v>
      </c>
      <c r="S340">
        <v>41778</v>
      </c>
      <c r="T340">
        <v>73.8</v>
      </c>
      <c r="U340">
        <v>155</v>
      </c>
      <c r="V340">
        <v>0</v>
      </c>
      <c r="W340">
        <v>54.6</v>
      </c>
      <c r="X340">
        <v>0</v>
      </c>
      <c r="Y340">
        <v>0</v>
      </c>
    </row>
    <row r="341" spans="1:25" x14ac:dyDescent="0.25">
      <c r="A341" t="s">
        <v>42</v>
      </c>
      <c r="B341">
        <f>_xlfn.XLOOKUP(Table4[[#This Row],[country]],Table2[country],Table2[country_id],FALSE)</f>
        <v>8</v>
      </c>
      <c r="C341" t="s">
        <v>32</v>
      </c>
      <c r="D341">
        <v>2011</v>
      </c>
      <c r="E341">
        <f>_xlfn.XLOOKUP(Table4[[#This Row],[year]],Table1[year],Table1[year_id])</f>
        <v>2</v>
      </c>
      <c r="F341" t="s">
        <v>27</v>
      </c>
      <c r="G341" t="s">
        <v>28</v>
      </c>
      <c r="H341" cm="1">
        <f t="array" ref="H341">_xlfn.XLOOKUP(Table4[[#This Row],[vehicle_segment]]&amp;Table4[[#This Row],[powertrain_type]],Table3[vehicle_segment]&amp;Table3[powertrain_type],Table3[vehicle_id])</f>
        <v>1</v>
      </c>
      <c r="I341">
        <v>90</v>
      </c>
      <c r="J341">
        <v>258133</v>
      </c>
      <c r="K341">
        <v>172088</v>
      </c>
      <c r="L341">
        <v>430311</v>
      </c>
      <c r="M341">
        <v>0.02</v>
      </c>
      <c r="N341">
        <v>797</v>
      </c>
      <c r="O341">
        <v>4.0999999999999996</v>
      </c>
      <c r="P341">
        <v>142</v>
      </c>
      <c r="Q341">
        <v>1.5169999999999999</v>
      </c>
      <c r="R341">
        <v>0.27600000000000002</v>
      </c>
      <c r="S341">
        <v>41787</v>
      </c>
      <c r="T341">
        <v>74.2</v>
      </c>
      <c r="U341">
        <v>155.19999999999999</v>
      </c>
      <c r="V341">
        <v>662</v>
      </c>
      <c r="W341">
        <v>56.2</v>
      </c>
      <c r="X341">
        <v>300</v>
      </c>
      <c r="Y341">
        <v>0</v>
      </c>
    </row>
    <row r="342" spans="1:25" x14ac:dyDescent="0.25">
      <c r="A342" t="s">
        <v>42</v>
      </c>
      <c r="B342">
        <f>_xlfn.XLOOKUP(Table4[[#This Row],[country]],Table2[country],Table2[country_id],FALSE)</f>
        <v>8</v>
      </c>
      <c r="C342" t="s">
        <v>32</v>
      </c>
      <c r="D342">
        <v>2011</v>
      </c>
      <c r="E342">
        <f>_xlfn.XLOOKUP(Table4[[#This Row],[year]],Table1[year],Table1[year_id])</f>
        <v>2</v>
      </c>
      <c r="F342" t="s">
        <v>29</v>
      </c>
      <c r="G342" t="s">
        <v>28</v>
      </c>
      <c r="H342" cm="1">
        <f t="array" ref="H342">_xlfn.XLOOKUP(Table4[[#This Row],[vehicle_segment]]&amp;Table4[[#This Row],[powertrain_type]],Table3[vehicle_segment]&amp;Table3[powertrain_type],Table3[vehicle_id])</f>
        <v>2</v>
      </c>
      <c r="I342">
        <v>1046</v>
      </c>
      <c r="J342">
        <v>1533576</v>
      </c>
      <c r="K342">
        <v>209124</v>
      </c>
      <c r="L342">
        <v>1743746</v>
      </c>
      <c r="M342">
        <v>0.06</v>
      </c>
      <c r="N342">
        <v>797</v>
      </c>
      <c r="O342">
        <v>4.0999999999999996</v>
      </c>
      <c r="P342">
        <v>142</v>
      </c>
      <c r="Q342">
        <v>1.5169999999999999</v>
      </c>
      <c r="R342">
        <v>0.27600000000000002</v>
      </c>
      <c r="S342">
        <v>41787</v>
      </c>
      <c r="T342">
        <v>74.2</v>
      </c>
      <c r="U342">
        <v>155.19999999999999</v>
      </c>
      <c r="V342">
        <v>662</v>
      </c>
      <c r="W342">
        <v>56.2</v>
      </c>
      <c r="X342">
        <v>300</v>
      </c>
      <c r="Y342">
        <v>0</v>
      </c>
    </row>
    <row r="343" spans="1:25" x14ac:dyDescent="0.25">
      <c r="A343" t="s">
        <v>42</v>
      </c>
      <c r="B343">
        <f>_xlfn.XLOOKUP(Table4[[#This Row],[country]],Table2[country],Table2[country_id],FALSE)</f>
        <v>8</v>
      </c>
      <c r="C343" t="s">
        <v>32</v>
      </c>
      <c r="D343">
        <v>2011</v>
      </c>
      <c r="E343">
        <f>_xlfn.XLOOKUP(Table4[[#This Row],[year]],Table1[year],Table1[year_id])</f>
        <v>2</v>
      </c>
      <c r="F343" t="s">
        <v>30</v>
      </c>
      <c r="G343" t="s">
        <v>28</v>
      </c>
      <c r="H343" cm="1">
        <f t="array" ref="H343">_xlfn.XLOOKUP(Table4[[#This Row],[vehicle_segment]]&amp;Table4[[#This Row],[powertrain_type]],Table3[vehicle_segment]&amp;Table3[powertrain_type],Table3[vehicle_id])</f>
        <v>3</v>
      </c>
      <c r="I343">
        <v>626</v>
      </c>
      <c r="J343">
        <v>660981</v>
      </c>
      <c r="K343">
        <v>57477</v>
      </c>
      <c r="L343">
        <v>719084</v>
      </c>
      <c r="M343">
        <v>0.09</v>
      </c>
      <c r="N343">
        <v>797</v>
      </c>
      <c r="O343">
        <v>4.0999999999999996</v>
      </c>
      <c r="P343">
        <v>142</v>
      </c>
      <c r="Q343">
        <v>1.5169999999999999</v>
      </c>
      <c r="R343">
        <v>0.27600000000000002</v>
      </c>
      <c r="S343">
        <v>41787</v>
      </c>
      <c r="T343">
        <v>74.2</v>
      </c>
      <c r="U343">
        <v>155.19999999999999</v>
      </c>
      <c r="V343">
        <v>662</v>
      </c>
      <c r="W343">
        <v>56.2</v>
      </c>
      <c r="X343">
        <v>300</v>
      </c>
      <c r="Y343">
        <v>0</v>
      </c>
    </row>
    <row r="344" spans="1:25" x14ac:dyDescent="0.25">
      <c r="A344" t="s">
        <v>42</v>
      </c>
      <c r="B344">
        <f>_xlfn.XLOOKUP(Table4[[#This Row],[country]],Table2[country],Table2[country_id],FALSE)</f>
        <v>8</v>
      </c>
      <c r="C344" t="s">
        <v>32</v>
      </c>
      <c r="D344">
        <v>2012</v>
      </c>
      <c r="E344">
        <f>_xlfn.XLOOKUP(Table4[[#This Row],[year]],Table1[year],Table1[year_id])</f>
        <v>3</v>
      </c>
      <c r="F344" t="s">
        <v>27</v>
      </c>
      <c r="G344" t="s">
        <v>28</v>
      </c>
      <c r="H344" cm="1">
        <f t="array" ref="H344">_xlfn.XLOOKUP(Table4[[#This Row],[vehicle_segment]]&amp;Table4[[#This Row],[powertrain_type]],Table3[vehicle_segment]&amp;Table3[powertrain_type],Table3[vehicle_id])</f>
        <v>1</v>
      </c>
      <c r="I344">
        <v>153</v>
      </c>
      <c r="J344">
        <v>261435</v>
      </c>
      <c r="K344">
        <v>174290</v>
      </c>
      <c r="L344">
        <v>435878</v>
      </c>
      <c r="M344">
        <v>0.04</v>
      </c>
      <c r="N344">
        <v>1454</v>
      </c>
      <c r="O344">
        <v>5.5</v>
      </c>
      <c r="P344">
        <v>151</v>
      </c>
      <c r="Q344">
        <v>1.5129999999999999</v>
      </c>
      <c r="R344">
        <v>0.28299999999999997</v>
      </c>
      <c r="S344">
        <v>41677</v>
      </c>
      <c r="T344">
        <v>74.900000000000006</v>
      </c>
      <c r="U344">
        <v>155.5</v>
      </c>
      <c r="V344">
        <v>1322</v>
      </c>
      <c r="W344">
        <v>58.9</v>
      </c>
      <c r="X344">
        <v>219.37</v>
      </c>
      <c r="Y344">
        <v>0</v>
      </c>
    </row>
    <row r="345" spans="1:25" x14ac:dyDescent="0.25">
      <c r="A345" t="s">
        <v>42</v>
      </c>
      <c r="B345">
        <f>_xlfn.XLOOKUP(Table4[[#This Row],[country]],Table2[country],Table2[country_id],FALSE)</f>
        <v>8</v>
      </c>
      <c r="C345" t="s">
        <v>32</v>
      </c>
      <c r="D345">
        <v>2012</v>
      </c>
      <c r="E345">
        <f>_xlfn.XLOOKUP(Table4[[#This Row],[year]],Table1[year],Table1[year_id])</f>
        <v>3</v>
      </c>
      <c r="F345" t="s">
        <v>29</v>
      </c>
      <c r="G345" t="s">
        <v>28</v>
      </c>
      <c r="H345" cm="1">
        <f t="array" ref="H345">_xlfn.XLOOKUP(Table4[[#This Row],[vehicle_segment]]&amp;Table4[[#This Row],[powertrain_type]],Table3[vehicle_segment]&amp;Table3[powertrain_type],Table3[vehicle_id])</f>
        <v>2</v>
      </c>
      <c r="I345">
        <v>1746</v>
      </c>
      <c r="J345">
        <v>1535278</v>
      </c>
      <c r="K345">
        <v>209356</v>
      </c>
      <c r="L345">
        <v>1746380</v>
      </c>
      <c r="M345">
        <v>0.1</v>
      </c>
      <c r="N345">
        <v>1454</v>
      </c>
      <c r="O345">
        <v>5.5</v>
      </c>
      <c r="P345">
        <v>151</v>
      </c>
      <c r="Q345">
        <v>1.5129999999999999</v>
      </c>
      <c r="R345">
        <v>0.28299999999999997</v>
      </c>
      <c r="S345">
        <v>41677</v>
      </c>
      <c r="T345">
        <v>74.900000000000006</v>
      </c>
      <c r="U345">
        <v>155.5</v>
      </c>
      <c r="V345">
        <v>1322</v>
      </c>
      <c r="W345">
        <v>58.9</v>
      </c>
      <c r="X345">
        <v>66.92</v>
      </c>
      <c r="Y345">
        <v>0</v>
      </c>
    </row>
    <row r="346" spans="1:25" x14ac:dyDescent="0.25">
      <c r="A346" t="s">
        <v>42</v>
      </c>
      <c r="B346">
        <f>_xlfn.XLOOKUP(Table4[[#This Row],[country]],Table2[country],Table2[country_id],FALSE)</f>
        <v>8</v>
      </c>
      <c r="C346" t="s">
        <v>32</v>
      </c>
      <c r="D346">
        <v>2012</v>
      </c>
      <c r="E346">
        <f>_xlfn.XLOOKUP(Table4[[#This Row],[year]],Table1[year],Table1[year_id])</f>
        <v>3</v>
      </c>
      <c r="F346" t="s">
        <v>30</v>
      </c>
      <c r="G346" t="s">
        <v>28</v>
      </c>
      <c r="H346" cm="1">
        <f t="array" ref="H346">_xlfn.XLOOKUP(Table4[[#This Row],[vehicle_segment]]&amp;Table4[[#This Row],[powertrain_type]],Table3[vehicle_segment]&amp;Table3[powertrain_type],Table3[vehicle_id])</f>
        <v>3</v>
      </c>
      <c r="I346">
        <v>1060</v>
      </c>
      <c r="J346">
        <v>671728</v>
      </c>
      <c r="K346">
        <v>58411</v>
      </c>
      <c r="L346">
        <v>731199</v>
      </c>
      <c r="M346">
        <v>0.14000000000000001</v>
      </c>
      <c r="N346">
        <v>1454</v>
      </c>
      <c r="O346">
        <v>5.5</v>
      </c>
      <c r="P346">
        <v>151</v>
      </c>
      <c r="Q346">
        <v>1.5129999999999999</v>
      </c>
      <c r="R346">
        <v>0.28299999999999997</v>
      </c>
      <c r="S346">
        <v>41677</v>
      </c>
      <c r="T346">
        <v>74.900000000000006</v>
      </c>
      <c r="U346">
        <v>155.5</v>
      </c>
      <c r="V346">
        <v>1322</v>
      </c>
      <c r="W346">
        <v>58.9</v>
      </c>
      <c r="X346">
        <v>69.33</v>
      </c>
      <c r="Y346">
        <v>0</v>
      </c>
    </row>
    <row r="347" spans="1:25" x14ac:dyDescent="0.25">
      <c r="A347" t="s">
        <v>42</v>
      </c>
      <c r="B347">
        <f>_xlfn.XLOOKUP(Table4[[#This Row],[country]],Table2[country],Table2[country_id],FALSE)</f>
        <v>8</v>
      </c>
      <c r="C347" t="s">
        <v>32</v>
      </c>
      <c r="D347">
        <v>2013</v>
      </c>
      <c r="E347">
        <f>_xlfn.XLOOKUP(Table4[[#This Row],[year]],Table1[year],Table1[year_id])</f>
        <v>4</v>
      </c>
      <c r="F347" t="s">
        <v>27</v>
      </c>
      <c r="G347" t="s">
        <v>28</v>
      </c>
      <c r="H347" cm="1">
        <f t="array" ref="H347">_xlfn.XLOOKUP(Table4[[#This Row],[vehicle_segment]]&amp;Table4[[#This Row],[powertrain_type]],Table3[vehicle_segment]&amp;Table3[powertrain_type],Table3[vehicle_id])</f>
        <v>1</v>
      </c>
      <c r="I347">
        <v>400</v>
      </c>
      <c r="J347">
        <v>263615</v>
      </c>
      <c r="K347">
        <v>175743</v>
      </c>
      <c r="L347">
        <v>439758</v>
      </c>
      <c r="M347">
        <v>0.09</v>
      </c>
      <c r="N347">
        <v>1939</v>
      </c>
      <c r="O347">
        <v>6</v>
      </c>
      <c r="P347">
        <v>147</v>
      </c>
      <c r="Q347">
        <v>1.4870000000000001</v>
      </c>
      <c r="R347">
        <v>0.28999999999999998</v>
      </c>
      <c r="S347">
        <v>41903</v>
      </c>
      <c r="T347">
        <v>74.599999999999994</v>
      </c>
      <c r="U347">
        <v>156.4</v>
      </c>
      <c r="V347">
        <v>2010</v>
      </c>
      <c r="W347">
        <v>62.6</v>
      </c>
      <c r="X347">
        <v>161.44</v>
      </c>
      <c r="Y347">
        <v>0</v>
      </c>
    </row>
    <row r="348" spans="1:25" x14ac:dyDescent="0.25">
      <c r="A348" t="s">
        <v>42</v>
      </c>
      <c r="B348">
        <f>_xlfn.XLOOKUP(Table4[[#This Row],[country]],Table2[country],Table2[country_id],FALSE)</f>
        <v>8</v>
      </c>
      <c r="C348" t="s">
        <v>32</v>
      </c>
      <c r="D348">
        <v>2013</v>
      </c>
      <c r="E348">
        <f>_xlfn.XLOOKUP(Table4[[#This Row],[year]],Table1[year],Table1[year_id])</f>
        <v>4</v>
      </c>
      <c r="F348" t="s">
        <v>29</v>
      </c>
      <c r="G348" t="s">
        <v>28</v>
      </c>
      <c r="H348" cm="1">
        <f t="array" ref="H348">_xlfn.XLOOKUP(Table4[[#This Row],[vehicle_segment]]&amp;Table4[[#This Row],[powertrain_type]],Table3[vehicle_segment]&amp;Table3[powertrain_type],Table3[vehicle_id])</f>
        <v>2</v>
      </c>
      <c r="I348">
        <v>4565</v>
      </c>
      <c r="J348">
        <v>1541170</v>
      </c>
      <c r="K348">
        <v>210159</v>
      </c>
      <c r="L348">
        <v>1755894</v>
      </c>
      <c r="M348">
        <v>0.26</v>
      </c>
      <c r="N348">
        <v>1939</v>
      </c>
      <c r="O348">
        <v>6</v>
      </c>
      <c r="P348">
        <v>147</v>
      </c>
      <c r="Q348">
        <v>1.4870000000000001</v>
      </c>
      <c r="R348">
        <v>0.28999999999999998</v>
      </c>
      <c r="S348">
        <v>41903</v>
      </c>
      <c r="T348">
        <v>74.599999999999994</v>
      </c>
      <c r="U348">
        <v>156.4</v>
      </c>
      <c r="V348">
        <v>2010</v>
      </c>
      <c r="W348">
        <v>62.6</v>
      </c>
      <c r="X348">
        <v>161.44999999999999</v>
      </c>
      <c r="Y348">
        <v>0</v>
      </c>
    </row>
    <row r="349" spans="1:25" x14ac:dyDescent="0.25">
      <c r="A349" t="s">
        <v>42</v>
      </c>
      <c r="B349">
        <f>_xlfn.XLOOKUP(Table4[[#This Row],[country]],Table2[country],Table2[country_id],FALSE)</f>
        <v>8</v>
      </c>
      <c r="C349" t="s">
        <v>32</v>
      </c>
      <c r="D349">
        <v>2013</v>
      </c>
      <c r="E349">
        <f>_xlfn.XLOOKUP(Table4[[#This Row],[year]],Table1[year],Table1[year_id])</f>
        <v>4</v>
      </c>
      <c r="F349" t="s">
        <v>30</v>
      </c>
      <c r="G349" t="s">
        <v>28</v>
      </c>
      <c r="H349" cm="1">
        <f t="array" ref="H349">_xlfn.XLOOKUP(Table4[[#This Row],[vehicle_segment]]&amp;Table4[[#This Row],[powertrain_type]],Table3[vehicle_segment]&amp;Table3[powertrain_type],Table3[vehicle_id])</f>
        <v>3</v>
      </c>
      <c r="I349">
        <v>2738</v>
      </c>
      <c r="J349">
        <v>665628</v>
      </c>
      <c r="K349">
        <v>57881</v>
      </c>
      <c r="L349">
        <v>726247</v>
      </c>
      <c r="M349">
        <v>0.38</v>
      </c>
      <c r="N349">
        <v>1939</v>
      </c>
      <c r="O349">
        <v>6</v>
      </c>
      <c r="P349">
        <v>147</v>
      </c>
      <c r="Q349">
        <v>1.4870000000000001</v>
      </c>
      <c r="R349">
        <v>0.28999999999999998</v>
      </c>
      <c r="S349">
        <v>41903</v>
      </c>
      <c r="T349">
        <v>74.599999999999994</v>
      </c>
      <c r="U349">
        <v>156.4</v>
      </c>
      <c r="V349">
        <v>2010</v>
      </c>
      <c r="W349">
        <v>62.6</v>
      </c>
      <c r="X349">
        <v>158.30000000000001</v>
      </c>
      <c r="Y349">
        <v>0</v>
      </c>
    </row>
    <row r="350" spans="1:25" x14ac:dyDescent="0.25">
      <c r="A350" t="s">
        <v>42</v>
      </c>
      <c r="B350">
        <f>_xlfn.XLOOKUP(Table4[[#This Row],[country]],Table2[country],Table2[country_id],FALSE)</f>
        <v>8</v>
      </c>
      <c r="C350" t="s">
        <v>32</v>
      </c>
      <c r="D350">
        <v>2014</v>
      </c>
      <c r="E350">
        <f>_xlfn.XLOOKUP(Table4[[#This Row],[year]],Table1[year],Table1[year_id])</f>
        <v>5</v>
      </c>
      <c r="F350" t="s">
        <v>27</v>
      </c>
      <c r="G350" t="s">
        <v>28</v>
      </c>
      <c r="H350" cm="1">
        <f t="array" ref="H350">_xlfn.XLOOKUP(Table4[[#This Row],[vehicle_segment]]&amp;Table4[[#This Row],[powertrain_type]],Table3[vehicle_segment]&amp;Table3[powertrain_type],Table3[vehicle_id])</f>
        <v>1</v>
      </c>
      <c r="I350">
        <v>718</v>
      </c>
      <c r="J350">
        <v>273249</v>
      </c>
      <c r="K350">
        <v>182166</v>
      </c>
      <c r="L350">
        <v>456133</v>
      </c>
      <c r="M350">
        <v>0.16</v>
      </c>
      <c r="N350">
        <v>3925</v>
      </c>
      <c r="O350">
        <v>6.4</v>
      </c>
      <c r="P350">
        <v>166</v>
      </c>
      <c r="Q350">
        <v>1.45</v>
      </c>
      <c r="R350">
        <v>0.29799999999999999</v>
      </c>
      <c r="S350">
        <v>41929</v>
      </c>
      <c r="T350">
        <v>74.7</v>
      </c>
      <c r="U350">
        <v>157.1</v>
      </c>
      <c r="V350">
        <v>2667</v>
      </c>
      <c r="W350">
        <v>62.9</v>
      </c>
      <c r="X350">
        <v>79.5</v>
      </c>
      <c r="Y350">
        <v>0</v>
      </c>
    </row>
    <row r="351" spans="1:25" x14ac:dyDescent="0.25">
      <c r="A351" t="s">
        <v>42</v>
      </c>
      <c r="B351">
        <f>_xlfn.XLOOKUP(Table4[[#This Row],[country]],Table2[country],Table2[country_id],FALSE)</f>
        <v>8</v>
      </c>
      <c r="C351" t="s">
        <v>32</v>
      </c>
      <c r="D351">
        <v>2014</v>
      </c>
      <c r="E351">
        <f>_xlfn.XLOOKUP(Table4[[#This Row],[year]],Table1[year],Table1[year_id])</f>
        <v>5</v>
      </c>
      <c r="F351" t="s">
        <v>29</v>
      </c>
      <c r="G351" t="s">
        <v>28</v>
      </c>
      <c r="H351" cm="1">
        <f t="array" ref="H351">_xlfn.XLOOKUP(Table4[[#This Row],[vehicle_segment]]&amp;Table4[[#This Row],[powertrain_type]],Table3[vehicle_segment]&amp;Table3[powertrain_type],Table3[vehicle_id])</f>
        <v>2</v>
      </c>
      <c r="I351">
        <v>8131</v>
      </c>
      <c r="J351">
        <v>1582841</v>
      </c>
      <c r="K351">
        <v>215842</v>
      </c>
      <c r="L351">
        <v>1806814</v>
      </c>
      <c r="M351">
        <v>0.45</v>
      </c>
      <c r="N351">
        <v>3925</v>
      </c>
      <c r="O351">
        <v>6.4</v>
      </c>
      <c r="P351">
        <v>166</v>
      </c>
      <c r="Q351">
        <v>1.45</v>
      </c>
      <c r="R351">
        <v>0.29799999999999999</v>
      </c>
      <c r="S351">
        <v>41929</v>
      </c>
      <c r="T351">
        <v>74.7</v>
      </c>
      <c r="U351">
        <v>157.1</v>
      </c>
      <c r="V351">
        <v>2667</v>
      </c>
      <c r="W351">
        <v>62.9</v>
      </c>
      <c r="X351">
        <v>78.12</v>
      </c>
      <c r="Y351">
        <v>0</v>
      </c>
    </row>
    <row r="352" spans="1:25" x14ac:dyDescent="0.25">
      <c r="A352" t="s">
        <v>42</v>
      </c>
      <c r="B352">
        <f>_xlfn.XLOOKUP(Table4[[#This Row],[country]],Table2[country],Table2[country_id],FALSE)</f>
        <v>8</v>
      </c>
      <c r="C352" t="s">
        <v>32</v>
      </c>
      <c r="D352">
        <v>2014</v>
      </c>
      <c r="E352">
        <f>_xlfn.XLOOKUP(Table4[[#This Row],[year]],Table1[year],Table1[year_id])</f>
        <v>5</v>
      </c>
      <c r="F352" t="s">
        <v>30</v>
      </c>
      <c r="G352" t="s">
        <v>28</v>
      </c>
      <c r="H352" cm="1">
        <f t="array" ref="H352">_xlfn.XLOOKUP(Table4[[#This Row],[vehicle_segment]]&amp;Table4[[#This Row],[powertrain_type]],Table3[vehicle_segment]&amp;Table3[powertrain_type],Table3[vehicle_id])</f>
        <v>3</v>
      </c>
      <c r="I352">
        <v>4953</v>
      </c>
      <c r="J352">
        <v>693852</v>
      </c>
      <c r="K352">
        <v>60335</v>
      </c>
      <c r="L352">
        <v>759140</v>
      </c>
      <c r="M352">
        <v>0.65</v>
      </c>
      <c r="N352">
        <v>3925</v>
      </c>
      <c r="O352">
        <v>6.4</v>
      </c>
      <c r="P352">
        <v>166</v>
      </c>
      <c r="Q352">
        <v>1.45</v>
      </c>
      <c r="R352">
        <v>0.29799999999999999</v>
      </c>
      <c r="S352">
        <v>41929</v>
      </c>
      <c r="T352">
        <v>74.7</v>
      </c>
      <c r="U352">
        <v>157.1</v>
      </c>
      <c r="V352">
        <v>2667</v>
      </c>
      <c r="W352">
        <v>62.9</v>
      </c>
      <c r="X352">
        <v>80.900000000000006</v>
      </c>
      <c r="Y352">
        <v>0</v>
      </c>
    </row>
    <row r="353" spans="1:25" x14ac:dyDescent="0.25">
      <c r="A353" t="s">
        <v>42</v>
      </c>
      <c r="B353">
        <f>_xlfn.XLOOKUP(Table4[[#This Row],[country]],Table2[country],Table2[country_id],FALSE)</f>
        <v>8</v>
      </c>
      <c r="C353" t="s">
        <v>32</v>
      </c>
      <c r="D353">
        <v>2015</v>
      </c>
      <c r="E353">
        <f>_xlfn.XLOOKUP(Table4[[#This Row],[year]],Table1[year],Table1[year_id])</f>
        <v>6</v>
      </c>
      <c r="F353" t="s">
        <v>27</v>
      </c>
      <c r="G353" t="s">
        <v>28</v>
      </c>
      <c r="H353" cm="1">
        <f t="array" ref="H353">_xlfn.XLOOKUP(Table4[[#This Row],[vehicle_segment]]&amp;Table4[[#This Row],[powertrain_type]],Table3[vehicle_segment]&amp;Table3[powertrain_type],Table3[vehicle_id])</f>
        <v>1</v>
      </c>
      <c r="I353">
        <v>954</v>
      </c>
      <c r="J353">
        <v>281524</v>
      </c>
      <c r="K353">
        <v>187683</v>
      </c>
      <c r="L353">
        <v>470161</v>
      </c>
      <c r="M353">
        <v>0.2</v>
      </c>
      <c r="N353">
        <v>5744</v>
      </c>
      <c r="O353">
        <v>7.9</v>
      </c>
      <c r="P353">
        <v>178</v>
      </c>
      <c r="Q353">
        <v>1.44</v>
      </c>
      <c r="R353">
        <v>0.30399999999999999</v>
      </c>
      <c r="S353">
        <v>41618</v>
      </c>
      <c r="T353">
        <v>75</v>
      </c>
      <c r="U353">
        <v>160.5</v>
      </c>
      <c r="V353">
        <v>3376</v>
      </c>
      <c r="W353">
        <v>64.599999999999994</v>
      </c>
      <c r="X353">
        <v>32.869999999999997</v>
      </c>
      <c r="Y353">
        <v>0</v>
      </c>
    </row>
    <row r="354" spans="1:25" x14ac:dyDescent="0.25">
      <c r="A354" t="s">
        <v>42</v>
      </c>
      <c r="B354">
        <f>_xlfn.XLOOKUP(Table4[[#This Row],[country]],Table2[country],Table2[country_id],FALSE)</f>
        <v>8</v>
      </c>
      <c r="C354" t="s">
        <v>32</v>
      </c>
      <c r="D354">
        <v>2015</v>
      </c>
      <c r="E354">
        <f>_xlfn.XLOOKUP(Table4[[#This Row],[year]],Table1[year],Table1[year_id])</f>
        <v>6</v>
      </c>
      <c r="F354" t="s">
        <v>29</v>
      </c>
      <c r="G354" t="s">
        <v>28</v>
      </c>
      <c r="H354" cm="1">
        <f t="array" ref="H354">_xlfn.XLOOKUP(Table4[[#This Row],[vehicle_segment]]&amp;Table4[[#This Row],[powertrain_type]],Table3[vehicle_segment]&amp;Table3[powertrain_type],Table3[vehicle_id])</f>
        <v>2</v>
      </c>
      <c r="I354">
        <v>11100</v>
      </c>
      <c r="J354">
        <v>1674438</v>
      </c>
      <c r="K354">
        <v>228333</v>
      </c>
      <c r="L354">
        <v>1913871</v>
      </c>
      <c r="M354">
        <v>0.57999999999999996</v>
      </c>
      <c r="N354">
        <v>5744</v>
      </c>
      <c r="O354">
        <v>7.9</v>
      </c>
      <c r="P354">
        <v>178</v>
      </c>
      <c r="Q354">
        <v>1.44</v>
      </c>
      <c r="R354">
        <v>0.30399999999999999</v>
      </c>
      <c r="S354">
        <v>41618</v>
      </c>
      <c r="T354">
        <v>75</v>
      </c>
      <c r="U354">
        <v>160.5</v>
      </c>
      <c r="V354">
        <v>3376</v>
      </c>
      <c r="W354">
        <v>64.599999999999994</v>
      </c>
      <c r="X354">
        <v>36.51</v>
      </c>
      <c r="Y354">
        <v>0</v>
      </c>
    </row>
    <row r="355" spans="1:25" x14ac:dyDescent="0.25">
      <c r="A355" t="s">
        <v>42</v>
      </c>
      <c r="B355">
        <f>_xlfn.XLOOKUP(Table4[[#This Row],[country]],Table2[country],Table2[country_id],FALSE)</f>
        <v>8</v>
      </c>
      <c r="C355" t="s">
        <v>32</v>
      </c>
      <c r="D355">
        <v>2015</v>
      </c>
      <c r="E355">
        <f>_xlfn.XLOOKUP(Table4[[#This Row],[year]],Table1[year],Table1[year_id])</f>
        <v>6</v>
      </c>
      <c r="F355" t="s">
        <v>30</v>
      </c>
      <c r="G355" t="s">
        <v>28</v>
      </c>
      <c r="H355" cm="1">
        <f t="array" ref="H355">_xlfn.XLOOKUP(Table4[[#This Row],[vehicle_segment]]&amp;Table4[[#This Row],[powertrain_type]],Table3[vehicle_segment]&amp;Table3[powertrain_type],Table3[vehicle_id])</f>
        <v>3</v>
      </c>
      <c r="I355">
        <v>6727</v>
      </c>
      <c r="J355">
        <v>729681</v>
      </c>
      <c r="K355">
        <v>63451</v>
      </c>
      <c r="L355">
        <v>799859</v>
      </c>
      <c r="M355">
        <v>0.84</v>
      </c>
      <c r="N355">
        <v>5744</v>
      </c>
      <c r="O355">
        <v>7.9</v>
      </c>
      <c r="P355">
        <v>178</v>
      </c>
      <c r="Q355">
        <v>1.44</v>
      </c>
      <c r="R355">
        <v>0.30399999999999999</v>
      </c>
      <c r="S355">
        <v>41618</v>
      </c>
      <c r="T355">
        <v>75</v>
      </c>
      <c r="U355">
        <v>160.5</v>
      </c>
      <c r="V355">
        <v>3376</v>
      </c>
      <c r="W355">
        <v>64.599999999999994</v>
      </c>
      <c r="X355">
        <v>35.82</v>
      </c>
      <c r="Y355">
        <v>0</v>
      </c>
    </row>
    <row r="356" spans="1:25" x14ac:dyDescent="0.25">
      <c r="A356" t="s">
        <v>42</v>
      </c>
      <c r="B356">
        <f>_xlfn.XLOOKUP(Table4[[#This Row],[country]],Table2[country],Table2[country_id],FALSE)</f>
        <v>8</v>
      </c>
      <c r="C356" t="s">
        <v>32</v>
      </c>
      <c r="D356">
        <v>2016</v>
      </c>
      <c r="E356">
        <f>_xlfn.XLOOKUP(Table4[[#This Row],[year]],Table1[year],Table1[year_id])</f>
        <v>7</v>
      </c>
      <c r="F356" t="s">
        <v>27</v>
      </c>
      <c r="G356" t="s">
        <v>28</v>
      </c>
      <c r="H356" cm="1">
        <f t="array" ref="H356">_xlfn.XLOOKUP(Table4[[#This Row],[vehicle_segment]]&amp;Table4[[#This Row],[powertrain_type]],Table3[vehicle_segment]&amp;Table3[powertrain_type],Table3[vehicle_id])</f>
        <v>1</v>
      </c>
      <c r="I356">
        <v>1277</v>
      </c>
      <c r="J356">
        <v>299091</v>
      </c>
      <c r="K356">
        <v>199394</v>
      </c>
      <c r="L356">
        <v>499762</v>
      </c>
      <c r="M356">
        <v>0.26</v>
      </c>
      <c r="N356">
        <v>9544</v>
      </c>
      <c r="O356">
        <v>10.1</v>
      </c>
      <c r="P356">
        <v>203</v>
      </c>
      <c r="Q356">
        <v>1.427</v>
      </c>
      <c r="R356">
        <v>0.308</v>
      </c>
      <c r="S356">
        <v>43358</v>
      </c>
      <c r="T356">
        <v>75.7</v>
      </c>
      <c r="U356">
        <v>163.80000000000001</v>
      </c>
      <c r="V356">
        <v>4026</v>
      </c>
      <c r="W356">
        <v>66.400000000000006</v>
      </c>
      <c r="X356">
        <v>33.86</v>
      </c>
      <c r="Y356">
        <v>0</v>
      </c>
    </row>
    <row r="357" spans="1:25" x14ac:dyDescent="0.25">
      <c r="A357" t="s">
        <v>42</v>
      </c>
      <c r="B357">
        <f>_xlfn.XLOOKUP(Table4[[#This Row],[country]],Table2[country],Table2[country_id],FALSE)</f>
        <v>8</v>
      </c>
      <c r="C357" t="s">
        <v>32</v>
      </c>
      <c r="D357">
        <v>2016</v>
      </c>
      <c r="E357">
        <f>_xlfn.XLOOKUP(Table4[[#This Row],[year]],Table1[year],Table1[year_id])</f>
        <v>7</v>
      </c>
      <c r="F357" t="s">
        <v>29</v>
      </c>
      <c r="G357" t="s">
        <v>28</v>
      </c>
      <c r="H357" cm="1">
        <f t="array" ref="H357">_xlfn.XLOOKUP(Table4[[#This Row],[vehicle_segment]]&amp;Table4[[#This Row],[powertrain_type]],Table3[vehicle_segment]&amp;Table3[powertrain_type],Table3[vehicle_id])</f>
        <v>2</v>
      </c>
      <c r="I357">
        <v>14829</v>
      </c>
      <c r="J357">
        <v>1774612</v>
      </c>
      <c r="K357">
        <v>241992</v>
      </c>
      <c r="L357">
        <v>2031433</v>
      </c>
      <c r="M357">
        <v>0.73</v>
      </c>
      <c r="N357">
        <v>9544</v>
      </c>
      <c r="O357">
        <v>10.1</v>
      </c>
      <c r="P357">
        <v>203</v>
      </c>
      <c r="Q357">
        <v>1.427</v>
      </c>
      <c r="R357">
        <v>0.308</v>
      </c>
      <c r="S357">
        <v>43358</v>
      </c>
      <c r="T357">
        <v>75.7</v>
      </c>
      <c r="U357">
        <v>163.80000000000001</v>
      </c>
      <c r="V357">
        <v>4026</v>
      </c>
      <c r="W357">
        <v>66.400000000000006</v>
      </c>
      <c r="X357">
        <v>33.590000000000003</v>
      </c>
      <c r="Y357">
        <v>0</v>
      </c>
    </row>
    <row r="358" spans="1:25" x14ac:dyDescent="0.25">
      <c r="A358" t="s">
        <v>42</v>
      </c>
      <c r="B358">
        <f>_xlfn.XLOOKUP(Table4[[#This Row],[country]],Table2[country],Table2[country_id],FALSE)</f>
        <v>8</v>
      </c>
      <c r="C358" t="s">
        <v>32</v>
      </c>
      <c r="D358">
        <v>2016</v>
      </c>
      <c r="E358">
        <f>_xlfn.XLOOKUP(Table4[[#This Row],[year]],Table1[year],Table1[year_id])</f>
        <v>7</v>
      </c>
      <c r="F358" t="s">
        <v>30</v>
      </c>
      <c r="G358" t="s">
        <v>28</v>
      </c>
      <c r="H358" cm="1">
        <f t="array" ref="H358">_xlfn.XLOOKUP(Table4[[#This Row],[vehicle_segment]]&amp;Table4[[#This Row],[powertrain_type]],Table3[vehicle_segment]&amp;Table3[powertrain_type],Table3[vehicle_id])</f>
        <v>3</v>
      </c>
      <c r="I358">
        <v>8984</v>
      </c>
      <c r="J358">
        <v>772587</v>
      </c>
      <c r="K358">
        <v>67182</v>
      </c>
      <c r="L358">
        <v>848753</v>
      </c>
      <c r="M358">
        <v>1.06</v>
      </c>
      <c r="N358">
        <v>9544</v>
      </c>
      <c r="O358">
        <v>10.1</v>
      </c>
      <c r="P358">
        <v>203</v>
      </c>
      <c r="Q358">
        <v>1.427</v>
      </c>
      <c r="R358">
        <v>0.308</v>
      </c>
      <c r="S358">
        <v>43358</v>
      </c>
      <c r="T358">
        <v>75.7</v>
      </c>
      <c r="U358">
        <v>163.80000000000001</v>
      </c>
      <c r="V358">
        <v>4026</v>
      </c>
      <c r="W358">
        <v>66.400000000000006</v>
      </c>
      <c r="X358">
        <v>33.549999999999997</v>
      </c>
      <c r="Y358">
        <v>0</v>
      </c>
    </row>
    <row r="359" spans="1:25" x14ac:dyDescent="0.25">
      <c r="A359" t="s">
        <v>42</v>
      </c>
      <c r="B359">
        <f>_xlfn.XLOOKUP(Table4[[#This Row],[country]],Table2[country],Table2[country_id],FALSE)</f>
        <v>8</v>
      </c>
      <c r="C359" t="s">
        <v>32</v>
      </c>
      <c r="D359">
        <v>2017</v>
      </c>
      <c r="E359">
        <f>_xlfn.XLOOKUP(Table4[[#This Row],[year]],Table1[year],Table1[year_id])</f>
        <v>8</v>
      </c>
      <c r="F359" t="s">
        <v>27</v>
      </c>
      <c r="G359" t="s">
        <v>28</v>
      </c>
      <c r="H359" cm="1">
        <f t="array" ref="H359">_xlfn.XLOOKUP(Table4[[#This Row],[vehicle_segment]]&amp;Table4[[#This Row],[powertrain_type]],Table3[vehicle_segment]&amp;Table3[powertrain_type],Table3[vehicle_id])</f>
        <v>1</v>
      </c>
      <c r="I359">
        <v>2405</v>
      </c>
      <c r="J359">
        <v>318143</v>
      </c>
      <c r="K359">
        <v>212096</v>
      </c>
      <c r="L359">
        <v>532644</v>
      </c>
      <c r="M359">
        <v>0.45</v>
      </c>
      <c r="N359">
        <v>13550</v>
      </c>
      <c r="O359">
        <v>10</v>
      </c>
      <c r="P359">
        <v>230</v>
      </c>
      <c r="Q359">
        <v>1.427</v>
      </c>
      <c r="R359">
        <v>0.317</v>
      </c>
      <c r="S359">
        <v>43778</v>
      </c>
      <c r="T359">
        <v>76.3</v>
      </c>
      <c r="U359">
        <v>166.9</v>
      </c>
      <c r="V359">
        <v>4670</v>
      </c>
      <c r="W359">
        <v>70.7</v>
      </c>
      <c r="X359">
        <v>88.33</v>
      </c>
      <c r="Y359">
        <v>0</v>
      </c>
    </row>
    <row r="360" spans="1:25" x14ac:dyDescent="0.25">
      <c r="A360" t="s">
        <v>42</v>
      </c>
      <c r="B360">
        <f>_xlfn.XLOOKUP(Table4[[#This Row],[country]],Table2[country],Table2[country_id],FALSE)</f>
        <v>8</v>
      </c>
      <c r="C360" t="s">
        <v>32</v>
      </c>
      <c r="D360">
        <v>2017</v>
      </c>
      <c r="E360">
        <f>_xlfn.XLOOKUP(Table4[[#This Row],[year]],Table1[year],Table1[year_id])</f>
        <v>8</v>
      </c>
      <c r="F360" t="s">
        <v>29</v>
      </c>
      <c r="G360" t="s">
        <v>28</v>
      </c>
      <c r="H360" cm="1">
        <f t="array" ref="H360">_xlfn.XLOOKUP(Table4[[#This Row],[vehicle_segment]]&amp;Table4[[#This Row],[powertrain_type]],Table3[vehicle_segment]&amp;Table3[powertrain_type],Table3[vehicle_id])</f>
        <v>2</v>
      </c>
      <c r="I360">
        <v>27265</v>
      </c>
      <c r="J360">
        <v>1835925</v>
      </c>
      <c r="K360">
        <v>250353</v>
      </c>
      <c r="L360">
        <v>2113543</v>
      </c>
      <c r="M360">
        <v>1.29</v>
      </c>
      <c r="N360">
        <v>13550</v>
      </c>
      <c r="O360">
        <v>10</v>
      </c>
      <c r="P360">
        <v>230</v>
      </c>
      <c r="Q360">
        <v>1.427</v>
      </c>
      <c r="R360">
        <v>0.317</v>
      </c>
      <c r="S360">
        <v>43778</v>
      </c>
      <c r="T360">
        <v>76.3</v>
      </c>
      <c r="U360">
        <v>166.9</v>
      </c>
      <c r="V360">
        <v>4670</v>
      </c>
      <c r="W360">
        <v>70.7</v>
      </c>
      <c r="X360">
        <v>83.86</v>
      </c>
      <c r="Y360">
        <v>0</v>
      </c>
    </row>
    <row r="361" spans="1:25" x14ac:dyDescent="0.25">
      <c r="A361" t="s">
        <v>42</v>
      </c>
      <c r="B361">
        <f>_xlfn.XLOOKUP(Table4[[#This Row],[country]],Table2[country],Table2[country_id],FALSE)</f>
        <v>8</v>
      </c>
      <c r="C361" t="s">
        <v>32</v>
      </c>
      <c r="D361">
        <v>2017</v>
      </c>
      <c r="E361">
        <f>_xlfn.XLOOKUP(Table4[[#This Row],[year]],Table1[year],Table1[year_id])</f>
        <v>8</v>
      </c>
      <c r="F361" t="s">
        <v>30</v>
      </c>
      <c r="G361" t="s">
        <v>28</v>
      </c>
      <c r="H361" cm="1">
        <f t="array" ref="H361">_xlfn.XLOOKUP(Table4[[#This Row],[vehicle_segment]]&amp;Table4[[#This Row],[powertrain_type]],Table3[vehicle_segment]&amp;Table3[powertrain_type],Table3[vehicle_id])</f>
        <v>3</v>
      </c>
      <c r="I361">
        <v>16927</v>
      </c>
      <c r="J361">
        <v>816972</v>
      </c>
      <c r="K361">
        <v>71041</v>
      </c>
      <c r="L361">
        <v>904940</v>
      </c>
      <c r="M361">
        <v>1.87</v>
      </c>
      <c r="N361">
        <v>13550</v>
      </c>
      <c r="O361">
        <v>10</v>
      </c>
      <c r="P361">
        <v>230</v>
      </c>
      <c r="Q361">
        <v>1.427</v>
      </c>
      <c r="R361">
        <v>0.317</v>
      </c>
      <c r="S361">
        <v>43778</v>
      </c>
      <c r="T361">
        <v>76.3</v>
      </c>
      <c r="U361">
        <v>166.9</v>
      </c>
      <c r="V361">
        <v>4670</v>
      </c>
      <c r="W361">
        <v>70.7</v>
      </c>
      <c r="X361">
        <v>88.41</v>
      </c>
      <c r="Y361">
        <v>0</v>
      </c>
    </row>
    <row r="362" spans="1:25" x14ac:dyDescent="0.25">
      <c r="A362" t="s">
        <v>42</v>
      </c>
      <c r="B362">
        <f>_xlfn.XLOOKUP(Table4[[#This Row],[country]],Table2[country],Table2[country_id],FALSE)</f>
        <v>8</v>
      </c>
      <c r="C362" t="s">
        <v>32</v>
      </c>
      <c r="D362">
        <v>2018</v>
      </c>
      <c r="E362">
        <f>_xlfn.XLOOKUP(Table4[[#This Row],[year]],Table1[year],Table1[year_id])</f>
        <v>9</v>
      </c>
      <c r="F362" t="s">
        <v>27</v>
      </c>
      <c r="G362" t="s">
        <v>28</v>
      </c>
      <c r="H362" cm="1">
        <f t="array" ref="H362">_xlfn.XLOOKUP(Table4[[#This Row],[vehicle_segment]]&amp;Table4[[#This Row],[powertrain_type]],Table3[vehicle_segment]&amp;Table3[powertrain_type],Table3[vehicle_id])</f>
        <v>1</v>
      </c>
      <c r="I362">
        <v>3437</v>
      </c>
      <c r="J362">
        <v>323507</v>
      </c>
      <c r="K362">
        <v>215671</v>
      </c>
      <c r="L362">
        <v>542615</v>
      </c>
      <c r="M362">
        <v>0.63</v>
      </c>
      <c r="N362">
        <v>22949</v>
      </c>
      <c r="O362">
        <v>12.7</v>
      </c>
      <c r="P362">
        <v>259</v>
      </c>
      <c r="Q362">
        <v>1.44</v>
      </c>
      <c r="R362">
        <v>0.32500000000000001</v>
      </c>
      <c r="S362">
        <v>45142</v>
      </c>
      <c r="T362">
        <v>76.3</v>
      </c>
      <c r="U362">
        <v>166.5</v>
      </c>
      <c r="V362">
        <v>5353</v>
      </c>
      <c r="W362">
        <v>72.7</v>
      </c>
      <c r="X362">
        <v>42.91</v>
      </c>
      <c r="Y362">
        <v>0</v>
      </c>
    </row>
    <row r="363" spans="1:25" x14ac:dyDescent="0.25">
      <c r="A363" t="s">
        <v>42</v>
      </c>
      <c r="B363">
        <f>_xlfn.XLOOKUP(Table4[[#This Row],[country]],Table2[country],Table2[country_id],FALSE)</f>
        <v>8</v>
      </c>
      <c r="C363" t="s">
        <v>32</v>
      </c>
      <c r="D363">
        <v>2018</v>
      </c>
      <c r="E363">
        <f>_xlfn.XLOOKUP(Table4[[#This Row],[year]],Table1[year],Table1[year_id])</f>
        <v>9</v>
      </c>
      <c r="F363" t="s">
        <v>29</v>
      </c>
      <c r="G363" t="s">
        <v>28</v>
      </c>
      <c r="H363" cm="1">
        <f t="array" ref="H363">_xlfn.XLOOKUP(Table4[[#This Row],[vehicle_segment]]&amp;Table4[[#This Row],[powertrain_type]],Table3[vehicle_segment]&amp;Table3[powertrain_type],Table3[vehicle_id])</f>
        <v>2</v>
      </c>
      <c r="I363">
        <v>38831</v>
      </c>
      <c r="J363">
        <v>1853742</v>
      </c>
      <c r="K363">
        <v>252783</v>
      </c>
      <c r="L363">
        <v>2145356</v>
      </c>
      <c r="M363">
        <v>1.81</v>
      </c>
      <c r="N363">
        <v>22949</v>
      </c>
      <c r="O363">
        <v>12.7</v>
      </c>
      <c r="P363">
        <v>259</v>
      </c>
      <c r="Q363">
        <v>1.44</v>
      </c>
      <c r="R363">
        <v>0.32500000000000001</v>
      </c>
      <c r="S363">
        <v>45142</v>
      </c>
      <c r="T363">
        <v>76.3</v>
      </c>
      <c r="U363">
        <v>166.5</v>
      </c>
      <c r="V363">
        <v>5353</v>
      </c>
      <c r="W363">
        <v>72.7</v>
      </c>
      <c r="X363">
        <v>42.42</v>
      </c>
      <c r="Y363">
        <v>0</v>
      </c>
    </row>
    <row r="364" spans="1:25" x14ac:dyDescent="0.25">
      <c r="A364" t="s">
        <v>42</v>
      </c>
      <c r="B364">
        <f>_xlfn.XLOOKUP(Table4[[#This Row],[country]],Table2[country],Table2[country_id],FALSE)</f>
        <v>8</v>
      </c>
      <c r="C364" t="s">
        <v>32</v>
      </c>
      <c r="D364">
        <v>2018</v>
      </c>
      <c r="E364">
        <f>_xlfn.XLOOKUP(Table4[[#This Row],[year]],Table1[year],Table1[year_id])</f>
        <v>9</v>
      </c>
      <c r="F364" t="s">
        <v>30</v>
      </c>
      <c r="G364" t="s">
        <v>28</v>
      </c>
      <c r="H364" cm="1">
        <f t="array" ref="H364">_xlfn.XLOOKUP(Table4[[#This Row],[vehicle_segment]]&amp;Table4[[#This Row],[powertrain_type]],Table3[vehicle_segment]&amp;Table3[powertrain_type],Table3[vehicle_id])</f>
        <v>3</v>
      </c>
      <c r="I364">
        <v>23306</v>
      </c>
      <c r="J364">
        <v>795541</v>
      </c>
      <c r="K364">
        <v>69177</v>
      </c>
      <c r="L364">
        <v>888024</v>
      </c>
      <c r="M364">
        <v>2.62</v>
      </c>
      <c r="N364">
        <v>22949</v>
      </c>
      <c r="O364">
        <v>12.7</v>
      </c>
      <c r="P364">
        <v>259</v>
      </c>
      <c r="Q364">
        <v>1.44</v>
      </c>
      <c r="R364">
        <v>0.32500000000000001</v>
      </c>
      <c r="S364">
        <v>45142</v>
      </c>
      <c r="T364">
        <v>76.3</v>
      </c>
      <c r="U364">
        <v>166.5</v>
      </c>
      <c r="V364">
        <v>5353</v>
      </c>
      <c r="W364">
        <v>72.7</v>
      </c>
      <c r="X364">
        <v>37.69</v>
      </c>
      <c r="Y364">
        <v>0</v>
      </c>
    </row>
    <row r="365" spans="1:25" x14ac:dyDescent="0.25">
      <c r="A365" t="s">
        <v>42</v>
      </c>
      <c r="B365">
        <f>_xlfn.XLOOKUP(Table4[[#This Row],[country]],Table2[country],Table2[country_id],FALSE)</f>
        <v>8</v>
      </c>
      <c r="C365" t="s">
        <v>32</v>
      </c>
      <c r="D365">
        <v>2019</v>
      </c>
      <c r="E365">
        <f>_xlfn.XLOOKUP(Table4[[#This Row],[year]],Table1[year],Table1[year_id])</f>
        <v>10</v>
      </c>
      <c r="F365" t="s">
        <v>27</v>
      </c>
      <c r="G365" t="s">
        <v>28</v>
      </c>
      <c r="H365" cm="1">
        <f t="array" ref="H365">_xlfn.XLOOKUP(Table4[[#This Row],[vehicle_segment]]&amp;Table4[[#This Row],[powertrain_type]],Table3[vehicle_segment]&amp;Table3[powertrain_type],Table3[vehicle_id])</f>
        <v>1</v>
      </c>
      <c r="I365">
        <v>5577</v>
      </c>
      <c r="J365">
        <v>313246</v>
      </c>
      <c r="K365">
        <v>208830</v>
      </c>
      <c r="L365">
        <v>527653</v>
      </c>
      <c r="M365">
        <v>1.06</v>
      </c>
      <c r="N365">
        <v>32917</v>
      </c>
      <c r="O365">
        <v>14.7</v>
      </c>
      <c r="P365">
        <v>304</v>
      </c>
      <c r="Q365">
        <v>1.5429999999999999</v>
      </c>
      <c r="R365">
        <v>0.33800000000000002</v>
      </c>
      <c r="S365">
        <v>46222</v>
      </c>
      <c r="T365">
        <v>76.8</v>
      </c>
      <c r="U365">
        <v>159.4</v>
      </c>
      <c r="V365">
        <v>5938</v>
      </c>
      <c r="W365">
        <v>74.8</v>
      </c>
      <c r="X365">
        <v>62.26</v>
      </c>
      <c r="Y365">
        <v>0</v>
      </c>
    </row>
    <row r="366" spans="1:25" x14ac:dyDescent="0.25">
      <c r="A366" t="s">
        <v>42</v>
      </c>
      <c r="B366">
        <f>_xlfn.XLOOKUP(Table4[[#This Row],[country]],Table2[country],Table2[country_id],FALSE)</f>
        <v>8</v>
      </c>
      <c r="C366" t="s">
        <v>32</v>
      </c>
      <c r="D366">
        <v>2019</v>
      </c>
      <c r="E366">
        <f>_xlfn.XLOOKUP(Table4[[#This Row],[year]],Table1[year],Table1[year_id])</f>
        <v>10</v>
      </c>
      <c r="F366" t="s">
        <v>29</v>
      </c>
      <c r="G366" t="s">
        <v>28</v>
      </c>
      <c r="H366" cm="1">
        <f t="array" ref="H366">_xlfn.XLOOKUP(Table4[[#This Row],[vehicle_segment]]&amp;Table4[[#This Row],[powertrain_type]],Table3[vehicle_segment]&amp;Table3[powertrain_type],Table3[vehicle_id])</f>
        <v>2</v>
      </c>
      <c r="I366">
        <v>63521</v>
      </c>
      <c r="J366">
        <v>1795042</v>
      </c>
      <c r="K366">
        <v>244779</v>
      </c>
      <c r="L366">
        <v>2103342</v>
      </c>
      <c r="M366">
        <v>3.02</v>
      </c>
      <c r="N366">
        <v>32917</v>
      </c>
      <c r="O366">
        <v>14.7</v>
      </c>
      <c r="P366">
        <v>304</v>
      </c>
      <c r="Q366">
        <v>1.5429999999999999</v>
      </c>
      <c r="R366">
        <v>0.33800000000000002</v>
      </c>
      <c r="S366">
        <v>46222</v>
      </c>
      <c r="T366">
        <v>76.8</v>
      </c>
      <c r="U366">
        <v>159.4</v>
      </c>
      <c r="V366">
        <v>5938</v>
      </c>
      <c r="W366">
        <v>74.8</v>
      </c>
      <c r="X366">
        <v>63.58</v>
      </c>
      <c r="Y366">
        <v>0</v>
      </c>
    </row>
    <row r="367" spans="1:25" x14ac:dyDescent="0.25">
      <c r="A367" t="s">
        <v>42</v>
      </c>
      <c r="B367">
        <f>_xlfn.XLOOKUP(Table4[[#This Row],[country]],Table2[country],Table2[country_id],FALSE)</f>
        <v>8</v>
      </c>
      <c r="C367" t="s">
        <v>32</v>
      </c>
      <c r="D367">
        <v>2019</v>
      </c>
      <c r="E367">
        <f>_xlfn.XLOOKUP(Table4[[#This Row],[year]],Table1[year],Table1[year_id])</f>
        <v>10</v>
      </c>
      <c r="F367" t="s">
        <v>30</v>
      </c>
      <c r="G367" t="s">
        <v>28</v>
      </c>
      <c r="H367" cm="1">
        <f t="array" ref="H367">_xlfn.XLOOKUP(Table4[[#This Row],[vehicle_segment]]&amp;Table4[[#This Row],[powertrain_type]],Table3[vehicle_segment]&amp;Table3[powertrain_type],Table3[vehicle_id])</f>
        <v>3</v>
      </c>
      <c r="I367">
        <v>38679</v>
      </c>
      <c r="J367">
        <v>777041</v>
      </c>
      <c r="K367">
        <v>67569</v>
      </c>
      <c r="L367">
        <v>883289</v>
      </c>
      <c r="M367">
        <v>4.38</v>
      </c>
      <c r="N367">
        <v>32917</v>
      </c>
      <c r="O367">
        <v>14.7</v>
      </c>
      <c r="P367">
        <v>304</v>
      </c>
      <c r="Q367">
        <v>1.5429999999999999</v>
      </c>
      <c r="R367">
        <v>0.33800000000000002</v>
      </c>
      <c r="S367">
        <v>46222</v>
      </c>
      <c r="T367">
        <v>76.8</v>
      </c>
      <c r="U367">
        <v>159.4</v>
      </c>
      <c r="V367">
        <v>5938</v>
      </c>
      <c r="W367">
        <v>74.8</v>
      </c>
      <c r="X367">
        <v>65.959999999999994</v>
      </c>
      <c r="Y367">
        <v>0</v>
      </c>
    </row>
    <row r="368" spans="1:25" x14ac:dyDescent="0.25">
      <c r="A368" t="s">
        <v>42</v>
      </c>
      <c r="B368">
        <f>_xlfn.XLOOKUP(Table4[[#This Row],[country]],Table2[country],Table2[country_id],FALSE)</f>
        <v>8</v>
      </c>
      <c r="C368" t="s">
        <v>32</v>
      </c>
      <c r="D368">
        <v>2020</v>
      </c>
      <c r="E368">
        <f>_xlfn.XLOOKUP(Table4[[#This Row],[year]],Table1[year],Table1[year_id])</f>
        <v>11</v>
      </c>
      <c r="F368" t="s">
        <v>27</v>
      </c>
      <c r="G368" t="s">
        <v>28</v>
      </c>
      <c r="H368" cm="1">
        <f t="array" ref="H368">_xlfn.XLOOKUP(Table4[[#This Row],[vehicle_segment]]&amp;Table4[[#This Row],[powertrain_type]],Table3[vehicle_segment]&amp;Table3[powertrain_type],Table3[vehicle_id])</f>
        <v>1</v>
      </c>
      <c r="I368">
        <v>20289</v>
      </c>
      <c r="J368">
        <v>252120</v>
      </c>
      <c r="K368">
        <v>168080</v>
      </c>
      <c r="L368">
        <v>440489</v>
      </c>
      <c r="M368">
        <v>4.6100000000000003</v>
      </c>
      <c r="N368">
        <v>44062</v>
      </c>
      <c r="O368">
        <v>14.8</v>
      </c>
      <c r="P368">
        <v>360</v>
      </c>
      <c r="Q368">
        <v>1.7030000000000001</v>
      </c>
      <c r="R368">
        <v>0.35699999999999998</v>
      </c>
      <c r="S368">
        <v>47086</v>
      </c>
      <c r="T368">
        <v>77.5</v>
      </c>
      <c r="U368">
        <v>155.80000000000001</v>
      </c>
      <c r="V368">
        <v>8952</v>
      </c>
      <c r="W368">
        <v>79.3</v>
      </c>
      <c r="X368">
        <v>263.8</v>
      </c>
      <c r="Y368">
        <v>0</v>
      </c>
    </row>
    <row r="369" spans="1:25" x14ac:dyDescent="0.25">
      <c r="A369" t="s">
        <v>42</v>
      </c>
      <c r="B369">
        <f>_xlfn.XLOOKUP(Table4[[#This Row],[country]],Table2[country],Table2[country_id],FALSE)</f>
        <v>8</v>
      </c>
      <c r="C369" t="s">
        <v>32</v>
      </c>
      <c r="D369">
        <v>2020</v>
      </c>
      <c r="E369">
        <f>_xlfn.XLOOKUP(Table4[[#This Row],[year]],Table1[year],Table1[year_id])</f>
        <v>11</v>
      </c>
      <c r="F369" t="s">
        <v>29</v>
      </c>
      <c r="G369" t="s">
        <v>28</v>
      </c>
      <c r="H369" cm="1">
        <f t="array" ref="H369">_xlfn.XLOOKUP(Table4[[#This Row],[vehicle_segment]]&amp;Table4[[#This Row],[powertrain_type]],Table3[vehicle_segment]&amp;Table3[powertrain_type],Table3[vehicle_id])</f>
        <v>2</v>
      </c>
      <c r="I369">
        <v>230506</v>
      </c>
      <c r="J369">
        <v>1338535</v>
      </c>
      <c r="K369">
        <v>182527</v>
      </c>
      <c r="L369">
        <v>1751568</v>
      </c>
      <c r="M369">
        <v>13.16</v>
      </c>
      <c r="N369">
        <v>44062</v>
      </c>
      <c r="O369">
        <v>14.8</v>
      </c>
      <c r="P369">
        <v>360</v>
      </c>
      <c r="Q369">
        <v>1.7030000000000001</v>
      </c>
      <c r="R369">
        <v>0.35699999999999998</v>
      </c>
      <c r="S369">
        <v>47086</v>
      </c>
      <c r="T369">
        <v>77.5</v>
      </c>
      <c r="U369">
        <v>155.80000000000001</v>
      </c>
      <c r="V369">
        <v>8952</v>
      </c>
      <c r="W369">
        <v>79.3</v>
      </c>
      <c r="X369">
        <v>262.88</v>
      </c>
      <c r="Y369">
        <v>0</v>
      </c>
    </row>
    <row r="370" spans="1:25" x14ac:dyDescent="0.25">
      <c r="A370" t="s">
        <v>42</v>
      </c>
      <c r="B370">
        <f>_xlfn.XLOOKUP(Table4[[#This Row],[country]],Table2[country],Table2[country_id],FALSE)</f>
        <v>8</v>
      </c>
      <c r="C370" t="s">
        <v>32</v>
      </c>
      <c r="D370">
        <v>2020</v>
      </c>
      <c r="E370">
        <f>_xlfn.XLOOKUP(Table4[[#This Row],[year]],Table1[year],Table1[year_id])</f>
        <v>11</v>
      </c>
      <c r="F370" t="s">
        <v>30</v>
      </c>
      <c r="G370" t="s">
        <v>28</v>
      </c>
      <c r="H370" cm="1">
        <f t="array" ref="H370">_xlfn.XLOOKUP(Table4[[#This Row],[vehicle_segment]]&amp;Table4[[#This Row],[powertrain_type]],Table3[vehicle_segment]&amp;Table3[powertrain_type],Table3[vehicle_id])</f>
        <v>3</v>
      </c>
      <c r="I370">
        <v>138036</v>
      </c>
      <c r="J370">
        <v>538520</v>
      </c>
      <c r="K370">
        <v>46828</v>
      </c>
      <c r="L370">
        <v>723384</v>
      </c>
      <c r="M370">
        <v>19.079999999999998</v>
      </c>
      <c r="N370">
        <v>44062</v>
      </c>
      <c r="O370">
        <v>14.8</v>
      </c>
      <c r="P370">
        <v>360</v>
      </c>
      <c r="Q370">
        <v>1.7030000000000001</v>
      </c>
      <c r="R370">
        <v>0.35699999999999998</v>
      </c>
      <c r="S370">
        <v>47086</v>
      </c>
      <c r="T370">
        <v>77.5</v>
      </c>
      <c r="U370">
        <v>155.80000000000001</v>
      </c>
      <c r="V370">
        <v>8952</v>
      </c>
      <c r="W370">
        <v>79.3</v>
      </c>
      <c r="X370">
        <v>256.88</v>
      </c>
      <c r="Y370">
        <v>0</v>
      </c>
    </row>
    <row r="371" spans="1:25" x14ac:dyDescent="0.25">
      <c r="A371" t="s">
        <v>42</v>
      </c>
      <c r="B371">
        <f>_xlfn.XLOOKUP(Table4[[#This Row],[country]],Table2[country],Table2[country_id],FALSE)</f>
        <v>8</v>
      </c>
      <c r="C371" t="s">
        <v>32</v>
      </c>
      <c r="D371">
        <v>2021</v>
      </c>
      <c r="E371">
        <f>_xlfn.XLOOKUP(Table4[[#This Row],[year]],Table1[year],Table1[year_id])</f>
        <v>12</v>
      </c>
      <c r="F371" t="s">
        <v>27</v>
      </c>
      <c r="G371" t="s">
        <v>28</v>
      </c>
      <c r="H371" cm="1">
        <f t="array" ref="H371">_xlfn.XLOOKUP(Table4[[#This Row],[vehicle_segment]]&amp;Table4[[#This Row],[powertrain_type]],Table3[vehicle_segment]&amp;Table3[powertrain_type],Table3[vehicle_id])</f>
        <v>1</v>
      </c>
      <c r="I371">
        <v>35700</v>
      </c>
      <c r="J371">
        <v>213782</v>
      </c>
      <c r="K371">
        <v>142522</v>
      </c>
      <c r="L371">
        <v>392004</v>
      </c>
      <c r="M371">
        <v>9.11</v>
      </c>
      <c r="N371">
        <v>52606</v>
      </c>
      <c r="O371">
        <v>17.8</v>
      </c>
      <c r="P371">
        <v>370</v>
      </c>
      <c r="Q371">
        <v>1.887</v>
      </c>
      <c r="R371">
        <v>0.376</v>
      </c>
      <c r="S371">
        <v>48190</v>
      </c>
      <c r="T371">
        <v>77.7</v>
      </c>
      <c r="U371">
        <v>151.1</v>
      </c>
      <c r="V371">
        <v>7584</v>
      </c>
      <c r="W371">
        <v>80.5</v>
      </c>
      <c r="X371">
        <v>75.959999999999994</v>
      </c>
      <c r="Y371">
        <v>0</v>
      </c>
    </row>
    <row r="372" spans="1:25" x14ac:dyDescent="0.25">
      <c r="A372" t="s">
        <v>42</v>
      </c>
      <c r="B372">
        <f>_xlfn.XLOOKUP(Table4[[#This Row],[country]],Table2[country],Table2[country_id],FALSE)</f>
        <v>8</v>
      </c>
      <c r="C372" t="s">
        <v>32</v>
      </c>
      <c r="D372">
        <v>2021</v>
      </c>
      <c r="E372">
        <f>_xlfn.XLOOKUP(Table4[[#This Row],[year]],Table1[year],Table1[year_id])</f>
        <v>12</v>
      </c>
      <c r="F372" t="s">
        <v>29</v>
      </c>
      <c r="G372" t="s">
        <v>28</v>
      </c>
      <c r="H372" cm="1">
        <f t="array" ref="H372">_xlfn.XLOOKUP(Table4[[#This Row],[vehicle_segment]]&amp;Table4[[#This Row],[powertrain_type]],Table3[vehicle_segment]&amp;Table3[powertrain_type],Table3[vehicle_id])</f>
        <v>2</v>
      </c>
      <c r="I372">
        <v>402316</v>
      </c>
      <c r="J372">
        <v>1006599</v>
      </c>
      <c r="K372">
        <v>137264</v>
      </c>
      <c r="L372">
        <v>1546179</v>
      </c>
      <c r="M372">
        <v>26.02</v>
      </c>
      <c r="N372">
        <v>52606</v>
      </c>
      <c r="O372">
        <v>17.8</v>
      </c>
      <c r="P372">
        <v>370</v>
      </c>
      <c r="Q372">
        <v>1.887</v>
      </c>
      <c r="R372">
        <v>0.376</v>
      </c>
      <c r="S372">
        <v>48190</v>
      </c>
      <c r="T372">
        <v>77.7</v>
      </c>
      <c r="U372">
        <v>151.1</v>
      </c>
      <c r="V372">
        <v>7584</v>
      </c>
      <c r="W372">
        <v>80.5</v>
      </c>
      <c r="X372">
        <v>74.540000000000006</v>
      </c>
      <c r="Y372">
        <v>0</v>
      </c>
    </row>
    <row r="373" spans="1:25" x14ac:dyDescent="0.25">
      <c r="A373" t="s">
        <v>42</v>
      </c>
      <c r="B373">
        <f>_xlfn.XLOOKUP(Table4[[#This Row],[country]],Table2[country],Table2[country_id],FALSE)</f>
        <v>8</v>
      </c>
      <c r="C373" t="s">
        <v>32</v>
      </c>
      <c r="D373">
        <v>2021</v>
      </c>
      <c r="E373">
        <f>_xlfn.XLOOKUP(Table4[[#This Row],[year]],Table1[year],Table1[year_id])</f>
        <v>12</v>
      </c>
      <c r="F373" t="s">
        <v>30</v>
      </c>
      <c r="G373" t="s">
        <v>28</v>
      </c>
      <c r="H373" cm="1">
        <f t="array" ref="H373">_xlfn.XLOOKUP(Table4[[#This Row],[vehicle_segment]]&amp;Table4[[#This Row],[powertrain_type]],Table3[vehicle_segment]&amp;Table3[powertrain_type],Table3[vehicle_id])</f>
        <v>3</v>
      </c>
      <c r="I373">
        <v>248912</v>
      </c>
      <c r="J373">
        <v>377958</v>
      </c>
      <c r="K373">
        <v>32866</v>
      </c>
      <c r="L373">
        <v>659736</v>
      </c>
      <c r="M373">
        <v>37.729999999999997</v>
      </c>
      <c r="N373">
        <v>52606</v>
      </c>
      <c r="O373">
        <v>17.8</v>
      </c>
      <c r="P373">
        <v>370</v>
      </c>
      <c r="Q373">
        <v>1.887</v>
      </c>
      <c r="R373">
        <v>0.376</v>
      </c>
      <c r="S373">
        <v>48190</v>
      </c>
      <c r="T373">
        <v>77.7</v>
      </c>
      <c r="U373">
        <v>151.1</v>
      </c>
      <c r="V373">
        <v>7584</v>
      </c>
      <c r="W373">
        <v>80.5</v>
      </c>
      <c r="X373">
        <v>80.319999999999993</v>
      </c>
      <c r="Y373">
        <v>0</v>
      </c>
    </row>
    <row r="374" spans="1:25" x14ac:dyDescent="0.25">
      <c r="A374" t="s">
        <v>42</v>
      </c>
      <c r="B374">
        <f>_xlfn.XLOOKUP(Table4[[#This Row],[country]],Table2[country],Table2[country_id],FALSE)</f>
        <v>8</v>
      </c>
      <c r="C374" t="s">
        <v>32</v>
      </c>
      <c r="D374">
        <v>2022</v>
      </c>
      <c r="E374">
        <f>_xlfn.XLOOKUP(Table4[[#This Row],[year]],Table1[year],Table1[year_id])</f>
        <v>13</v>
      </c>
      <c r="F374" t="s">
        <v>27</v>
      </c>
      <c r="G374" t="s">
        <v>28</v>
      </c>
      <c r="H374" cm="1">
        <f t="array" ref="H374">_xlfn.XLOOKUP(Table4[[#This Row],[vehicle_segment]]&amp;Table4[[#This Row],[powertrain_type]],Table3[vehicle_segment]&amp;Table3[powertrain_type],Table3[vehicle_id])</f>
        <v>1</v>
      </c>
      <c r="I374">
        <v>41741</v>
      </c>
      <c r="J374">
        <v>209795</v>
      </c>
      <c r="K374">
        <v>139863</v>
      </c>
      <c r="L374">
        <v>391399</v>
      </c>
      <c r="M374">
        <v>10.66</v>
      </c>
      <c r="N374">
        <v>85692</v>
      </c>
      <c r="O374">
        <v>17.3</v>
      </c>
      <c r="P374">
        <v>404</v>
      </c>
      <c r="Q374">
        <v>1.99</v>
      </c>
      <c r="R374">
        <v>0.37903999999999999</v>
      </c>
      <c r="S374">
        <v>48110</v>
      </c>
      <c r="T374">
        <v>78.2</v>
      </c>
      <c r="U374">
        <v>150.9</v>
      </c>
      <c r="V374">
        <v>6000</v>
      </c>
      <c r="W374">
        <v>82</v>
      </c>
      <c r="X374">
        <v>16.920000000000002</v>
      </c>
      <c r="Y374">
        <v>0</v>
      </c>
    </row>
    <row r="375" spans="1:25" x14ac:dyDescent="0.25">
      <c r="A375" t="s">
        <v>42</v>
      </c>
      <c r="B375">
        <f>_xlfn.XLOOKUP(Table4[[#This Row],[country]],Table2[country],Table2[country_id],FALSE)</f>
        <v>8</v>
      </c>
      <c r="C375" t="s">
        <v>32</v>
      </c>
      <c r="D375">
        <v>2022</v>
      </c>
      <c r="E375">
        <f>_xlfn.XLOOKUP(Table4[[#This Row],[year]],Table1[year],Table1[year_id])</f>
        <v>13</v>
      </c>
      <c r="F375" t="s">
        <v>29</v>
      </c>
      <c r="G375" t="s">
        <v>28</v>
      </c>
      <c r="H375" cm="1">
        <f t="array" ref="H375">_xlfn.XLOOKUP(Table4[[#This Row],[vehicle_segment]]&amp;Table4[[#This Row],[powertrain_type]],Table3[vehicle_segment]&amp;Table3[powertrain_type],Table3[vehicle_id])</f>
        <v>2</v>
      </c>
      <c r="I375">
        <v>482805</v>
      </c>
      <c r="J375">
        <v>969514</v>
      </c>
      <c r="K375">
        <v>132207</v>
      </c>
      <c r="L375">
        <v>1584526</v>
      </c>
      <c r="M375">
        <v>30.47</v>
      </c>
      <c r="N375">
        <v>85692</v>
      </c>
      <c r="O375">
        <v>17.3</v>
      </c>
      <c r="P375">
        <v>404</v>
      </c>
      <c r="Q375">
        <v>1.99</v>
      </c>
      <c r="R375">
        <v>0.37903999999999999</v>
      </c>
      <c r="S375">
        <v>48110</v>
      </c>
      <c r="T375">
        <v>78.2</v>
      </c>
      <c r="U375">
        <v>150.9</v>
      </c>
      <c r="V375">
        <v>6000</v>
      </c>
      <c r="W375">
        <v>82</v>
      </c>
      <c r="X375">
        <v>20.010000000000002</v>
      </c>
      <c r="Y375">
        <v>0</v>
      </c>
    </row>
    <row r="376" spans="1:25" x14ac:dyDescent="0.25">
      <c r="A376" t="s">
        <v>42</v>
      </c>
      <c r="B376">
        <f>_xlfn.XLOOKUP(Table4[[#This Row],[country]],Table2[country],Table2[country_id],FALSE)</f>
        <v>8</v>
      </c>
      <c r="C376" t="s">
        <v>32</v>
      </c>
      <c r="D376">
        <v>2022</v>
      </c>
      <c r="E376">
        <f>_xlfn.XLOOKUP(Table4[[#This Row],[year]],Table1[year],Table1[year_id])</f>
        <v>13</v>
      </c>
      <c r="F376" t="s">
        <v>30</v>
      </c>
      <c r="G376" t="s">
        <v>34</v>
      </c>
      <c r="H376" cm="1">
        <f t="array" ref="H376">_xlfn.XLOOKUP(Table4[[#This Row],[vehicle_segment]]&amp;Table4[[#This Row],[powertrain_type]],Table3[vehicle_segment]&amp;Table3[powertrain_type],Table3[vehicle_id])</f>
        <v>4</v>
      </c>
      <c r="I376">
        <v>289692</v>
      </c>
      <c r="J376">
        <v>336714</v>
      </c>
      <c r="K376">
        <v>29280</v>
      </c>
      <c r="L376">
        <v>655686</v>
      </c>
      <c r="M376">
        <v>44.18</v>
      </c>
      <c r="N376">
        <v>85692</v>
      </c>
      <c r="O376">
        <v>17.3</v>
      </c>
      <c r="P376">
        <v>404</v>
      </c>
      <c r="Q376">
        <v>1.99</v>
      </c>
      <c r="R376">
        <v>0.37903999999999999</v>
      </c>
      <c r="S376">
        <v>48110</v>
      </c>
      <c r="T376">
        <v>78.2</v>
      </c>
      <c r="U376">
        <v>150.9</v>
      </c>
      <c r="V376">
        <v>6000</v>
      </c>
      <c r="W376">
        <v>82</v>
      </c>
      <c r="X376">
        <v>16.38</v>
      </c>
      <c r="Y376">
        <v>0</v>
      </c>
    </row>
    <row r="377" spans="1:25" x14ac:dyDescent="0.25">
      <c r="A377" t="s">
        <v>42</v>
      </c>
      <c r="B377">
        <f>_xlfn.XLOOKUP(Table4[[#This Row],[country]],Table2[country],Table2[country_id],FALSE)</f>
        <v>8</v>
      </c>
      <c r="C377" t="s">
        <v>32</v>
      </c>
      <c r="D377">
        <v>2023</v>
      </c>
      <c r="E377">
        <f>_xlfn.XLOOKUP(Table4[[#This Row],[year]],Table1[year],Table1[year_id])</f>
        <v>14</v>
      </c>
      <c r="F377" t="s">
        <v>27</v>
      </c>
      <c r="G377" t="s">
        <v>28</v>
      </c>
      <c r="H377" cm="1">
        <f t="array" ref="H377">_xlfn.XLOOKUP(Table4[[#This Row],[vehicle_segment]]&amp;Table4[[#This Row],[powertrain_type]],Table3[vehicle_segment]&amp;Table3[powertrain_type],Table3[vehicle_id])</f>
        <v>1</v>
      </c>
      <c r="I377">
        <v>40750</v>
      </c>
      <c r="J377">
        <v>238665</v>
      </c>
      <c r="K377">
        <v>159110</v>
      </c>
      <c r="L377">
        <v>438525</v>
      </c>
      <c r="M377">
        <v>9.2899999999999991</v>
      </c>
      <c r="N377">
        <v>125189</v>
      </c>
      <c r="O377">
        <v>20.5</v>
      </c>
      <c r="P377">
        <v>439</v>
      </c>
      <c r="Q377">
        <v>2.0070000000000001</v>
      </c>
      <c r="R377">
        <v>0.37903999999999999</v>
      </c>
      <c r="S377">
        <v>50125</v>
      </c>
      <c r="T377">
        <v>77.7</v>
      </c>
      <c r="U377">
        <v>145.69999999999999</v>
      </c>
      <c r="V377">
        <v>4586</v>
      </c>
      <c r="W377">
        <v>85.9</v>
      </c>
      <c r="X377">
        <v>-2.37</v>
      </c>
      <c r="Y377">
        <v>0</v>
      </c>
    </row>
    <row r="378" spans="1:25" x14ac:dyDescent="0.25">
      <c r="A378" t="s">
        <v>42</v>
      </c>
      <c r="B378">
        <f>_xlfn.XLOOKUP(Table4[[#This Row],[country]],Table2[country],Table2[country_id],FALSE)</f>
        <v>8</v>
      </c>
      <c r="C378" t="s">
        <v>32</v>
      </c>
      <c r="D378">
        <v>2023</v>
      </c>
      <c r="E378">
        <f>_xlfn.XLOOKUP(Table4[[#This Row],[year]],Table1[year],Table1[year_id])</f>
        <v>14</v>
      </c>
      <c r="F378" t="s">
        <v>29</v>
      </c>
      <c r="G378" t="s">
        <v>28</v>
      </c>
      <c r="H378" cm="1">
        <f t="array" ref="H378">_xlfn.XLOOKUP(Table4[[#This Row],[vehicle_segment]]&amp;Table4[[#This Row],[powertrain_type]],Table3[vehicle_segment]&amp;Table3[powertrain_type],Table3[vehicle_id])</f>
        <v>2</v>
      </c>
      <c r="I378">
        <v>514967</v>
      </c>
      <c r="J378">
        <v>1105943</v>
      </c>
      <c r="K378">
        <v>156676</v>
      </c>
      <c r="L378">
        <v>1777586</v>
      </c>
      <c r="M378">
        <v>28.97</v>
      </c>
      <c r="N378">
        <v>125189</v>
      </c>
      <c r="O378">
        <v>20.5</v>
      </c>
      <c r="P378">
        <v>439</v>
      </c>
      <c r="Q378">
        <v>2.0070000000000001</v>
      </c>
      <c r="R378">
        <v>0.37903999999999999</v>
      </c>
      <c r="S378">
        <v>50125</v>
      </c>
      <c r="T378">
        <v>77.7</v>
      </c>
      <c r="U378">
        <v>145.69999999999999</v>
      </c>
      <c r="V378">
        <v>4586</v>
      </c>
      <c r="W378">
        <v>85.9</v>
      </c>
      <c r="X378">
        <v>6.66</v>
      </c>
      <c r="Y378">
        <v>0</v>
      </c>
    </row>
    <row r="379" spans="1:25" x14ac:dyDescent="0.25">
      <c r="A379" t="s">
        <v>42</v>
      </c>
      <c r="B379">
        <f>_xlfn.XLOOKUP(Table4[[#This Row],[country]],Table2[country],Table2[country_id],FALSE)</f>
        <v>8</v>
      </c>
      <c r="C379" t="s">
        <v>32</v>
      </c>
      <c r="D379">
        <v>2023</v>
      </c>
      <c r="E379">
        <f>_xlfn.XLOOKUP(Table4[[#This Row],[year]],Table1[year],Table1[year_id])</f>
        <v>14</v>
      </c>
      <c r="F379" t="s">
        <v>30</v>
      </c>
      <c r="G379" t="s">
        <v>34</v>
      </c>
      <c r="H379" cm="1">
        <f t="array" ref="H379">_xlfn.XLOOKUP(Table4[[#This Row],[vehicle_segment]]&amp;Table4[[#This Row],[powertrain_type]],Table3[vehicle_segment]&amp;Table3[powertrain_type],Table3[vehicle_id])</f>
        <v>4</v>
      </c>
      <c r="I379">
        <v>305853</v>
      </c>
      <c r="J379">
        <v>375507</v>
      </c>
      <c r="K379">
        <v>35259</v>
      </c>
      <c r="L379">
        <v>716619</v>
      </c>
      <c r="M379">
        <v>42.68</v>
      </c>
      <c r="N379">
        <v>125189</v>
      </c>
      <c r="O379">
        <v>20.5</v>
      </c>
      <c r="P379">
        <v>439</v>
      </c>
      <c r="Q379">
        <v>2.0070000000000001</v>
      </c>
      <c r="R379">
        <v>0.37903999999999999</v>
      </c>
      <c r="S379">
        <v>50125</v>
      </c>
      <c r="T379">
        <v>77.7</v>
      </c>
      <c r="U379">
        <v>145.69999999999999</v>
      </c>
      <c r="V379">
        <v>4586</v>
      </c>
      <c r="W379">
        <v>85.9</v>
      </c>
      <c r="X379">
        <v>5.58</v>
      </c>
      <c r="Y379">
        <v>0</v>
      </c>
    </row>
    <row r="380" spans="1:25" x14ac:dyDescent="0.25">
      <c r="A380" t="s">
        <v>42</v>
      </c>
      <c r="B380">
        <f>_xlfn.XLOOKUP(Table4[[#This Row],[country]],Table2[country],Table2[country_id],FALSE)</f>
        <v>8</v>
      </c>
      <c r="C380" t="s">
        <v>32</v>
      </c>
      <c r="D380">
        <v>2024</v>
      </c>
      <c r="E380">
        <f>_xlfn.XLOOKUP(Table4[[#This Row],[year]],Table1[year],Table1[year_id])</f>
        <v>15</v>
      </c>
      <c r="F380" t="s">
        <v>27</v>
      </c>
      <c r="G380" t="s">
        <v>28</v>
      </c>
      <c r="H380" cm="1">
        <f t="array" ref="H380">_xlfn.XLOOKUP(Table4[[#This Row],[vehicle_segment]]&amp;Table4[[#This Row],[powertrain_type]],Table3[vehicle_segment]&amp;Table3[powertrain_type],Table3[vehicle_id])</f>
        <v>1</v>
      </c>
      <c r="I380">
        <v>44989</v>
      </c>
      <c r="J380">
        <v>221956</v>
      </c>
      <c r="K380">
        <v>147971</v>
      </c>
      <c r="L380">
        <v>414916</v>
      </c>
      <c r="M380">
        <v>10.84</v>
      </c>
      <c r="N380">
        <v>147077</v>
      </c>
      <c r="O380">
        <v>21.3</v>
      </c>
      <c r="P380">
        <v>465</v>
      </c>
      <c r="Q380">
        <v>1.9330000000000001</v>
      </c>
      <c r="R380">
        <v>0.379</v>
      </c>
      <c r="S380">
        <v>52064</v>
      </c>
      <c r="T380">
        <v>78.3</v>
      </c>
      <c r="U380">
        <v>141</v>
      </c>
      <c r="V380">
        <v>0</v>
      </c>
      <c r="W380">
        <v>87.1</v>
      </c>
      <c r="X380">
        <v>10.4</v>
      </c>
      <c r="Y380">
        <v>0</v>
      </c>
    </row>
    <row r="381" spans="1:25" x14ac:dyDescent="0.25">
      <c r="A381" t="s">
        <v>42</v>
      </c>
      <c r="B381">
        <f>_xlfn.XLOOKUP(Table4[[#This Row],[country]],Table2[country],Table2[country_id],FALSE)</f>
        <v>8</v>
      </c>
      <c r="C381" t="s">
        <v>32</v>
      </c>
      <c r="D381">
        <v>2024</v>
      </c>
      <c r="E381">
        <f>_xlfn.XLOOKUP(Table4[[#This Row],[year]],Table1[year],Table1[year_id])</f>
        <v>15</v>
      </c>
      <c r="F381" t="s">
        <v>29</v>
      </c>
      <c r="G381" t="s">
        <v>28</v>
      </c>
      <c r="H381" cm="1">
        <f t="array" ref="H381">_xlfn.XLOOKUP(Table4[[#This Row],[vehicle_segment]]&amp;Table4[[#This Row],[powertrain_type]],Table3[vehicle_segment]&amp;Table3[powertrain_type],Table3[vehicle_id])</f>
        <v>2</v>
      </c>
      <c r="I381">
        <v>516118</v>
      </c>
      <c r="J381">
        <v>1011872</v>
      </c>
      <c r="K381">
        <v>137982</v>
      </c>
      <c r="L381">
        <v>1665972</v>
      </c>
      <c r="M381">
        <v>30.98</v>
      </c>
      <c r="N381">
        <v>147077</v>
      </c>
      <c r="O381">
        <v>21.3</v>
      </c>
      <c r="P381">
        <v>465</v>
      </c>
      <c r="Q381">
        <v>1.9330000000000001</v>
      </c>
      <c r="R381">
        <v>0.379</v>
      </c>
      <c r="S381">
        <v>52064</v>
      </c>
      <c r="T381">
        <v>78.3</v>
      </c>
      <c r="U381">
        <v>141</v>
      </c>
      <c r="V381">
        <v>0</v>
      </c>
      <c r="W381">
        <v>87.1</v>
      </c>
      <c r="X381">
        <v>0.22</v>
      </c>
      <c r="Y381">
        <v>0</v>
      </c>
    </row>
    <row r="382" spans="1:25" x14ac:dyDescent="0.25">
      <c r="A382" t="s">
        <v>42</v>
      </c>
      <c r="B382">
        <f>_xlfn.XLOOKUP(Table4[[#This Row],[country]],Table2[country],Table2[country_id],FALSE)</f>
        <v>8</v>
      </c>
      <c r="C382" t="s">
        <v>32</v>
      </c>
      <c r="D382">
        <v>2024</v>
      </c>
      <c r="E382">
        <f>_xlfn.XLOOKUP(Table4[[#This Row],[year]],Table1[year],Table1[year_id])</f>
        <v>15</v>
      </c>
      <c r="F382" t="s">
        <v>30</v>
      </c>
      <c r="G382" t="s">
        <v>34</v>
      </c>
      <c r="H382" cm="1">
        <f t="array" ref="H382">_xlfn.XLOOKUP(Table4[[#This Row],[vehicle_segment]]&amp;Table4[[#This Row],[powertrain_type]],Table3[vehicle_segment]&amp;Table3[powertrain_type],Table3[vehicle_id])</f>
        <v>4</v>
      </c>
      <c r="I382">
        <v>311491</v>
      </c>
      <c r="J382">
        <v>351375</v>
      </c>
      <c r="K382">
        <v>30554</v>
      </c>
      <c r="L382">
        <v>693420</v>
      </c>
      <c r="M382">
        <v>44.92</v>
      </c>
      <c r="N382">
        <v>147077</v>
      </c>
      <c r="O382">
        <v>21.3</v>
      </c>
      <c r="P382">
        <v>465</v>
      </c>
      <c r="Q382">
        <v>1.9330000000000001</v>
      </c>
      <c r="R382">
        <v>0.379</v>
      </c>
      <c r="S382">
        <v>52064</v>
      </c>
      <c r="T382">
        <v>78.3</v>
      </c>
      <c r="U382">
        <v>141</v>
      </c>
      <c r="V382">
        <v>0</v>
      </c>
      <c r="W382">
        <v>87.1</v>
      </c>
      <c r="X382">
        <v>1.84</v>
      </c>
      <c r="Y382">
        <v>0</v>
      </c>
    </row>
    <row r="383" spans="1:25" x14ac:dyDescent="0.25">
      <c r="A383" t="s">
        <v>42</v>
      </c>
      <c r="B383">
        <f>_xlfn.XLOOKUP(Table4[[#This Row],[country]],Table2[country],Table2[country_id],FALSE)</f>
        <v>8</v>
      </c>
      <c r="C383" t="s">
        <v>32</v>
      </c>
      <c r="D383">
        <v>2025</v>
      </c>
      <c r="E383">
        <f>_xlfn.XLOOKUP(Table4[[#This Row],[year]],Table1[year],Table1[year_id])</f>
        <v>16</v>
      </c>
      <c r="F383" t="s">
        <v>27</v>
      </c>
      <c r="G383" t="s">
        <v>28</v>
      </c>
      <c r="H383" cm="1">
        <f t="array" ref="H383">_xlfn.XLOOKUP(Table4[[#This Row],[vehicle_segment]]&amp;Table4[[#This Row],[powertrain_type]],Table3[vehicle_segment]&amp;Table3[powertrain_type],Table3[vehicle_id])</f>
        <v>1</v>
      </c>
      <c r="I383">
        <v>48491</v>
      </c>
      <c r="J383">
        <v>230839</v>
      </c>
      <c r="K383">
        <v>153893</v>
      </c>
      <c r="L383">
        <v>433223</v>
      </c>
      <c r="M383">
        <v>11.19</v>
      </c>
      <c r="N383">
        <v>185439</v>
      </c>
      <c r="O383">
        <v>24.6</v>
      </c>
      <c r="P383">
        <v>486</v>
      </c>
      <c r="Q383">
        <v>1.85</v>
      </c>
      <c r="R383">
        <v>0.373</v>
      </c>
      <c r="S383">
        <v>54204</v>
      </c>
      <c r="T383">
        <v>78.099999999999994</v>
      </c>
      <c r="U383">
        <v>136.5</v>
      </c>
      <c r="V383">
        <v>0</v>
      </c>
      <c r="W383">
        <v>90</v>
      </c>
      <c r="X383">
        <v>7.78</v>
      </c>
      <c r="Y383">
        <v>0</v>
      </c>
    </row>
    <row r="384" spans="1:25" x14ac:dyDescent="0.25">
      <c r="A384" t="s">
        <v>42</v>
      </c>
      <c r="B384">
        <f>_xlfn.XLOOKUP(Table4[[#This Row],[country]],Table2[country],Table2[country_id],FALSE)</f>
        <v>8</v>
      </c>
      <c r="C384" t="s">
        <v>32</v>
      </c>
      <c r="D384">
        <v>2025</v>
      </c>
      <c r="E384">
        <f>_xlfn.XLOOKUP(Table4[[#This Row],[year]],Table1[year],Table1[year_id])</f>
        <v>16</v>
      </c>
      <c r="F384" t="s">
        <v>29</v>
      </c>
      <c r="G384" t="s">
        <v>28</v>
      </c>
      <c r="H384" cm="1">
        <f t="array" ref="H384">_xlfn.XLOOKUP(Table4[[#This Row],[vehicle_segment]]&amp;Table4[[#This Row],[powertrain_type]],Table3[vehicle_segment]&amp;Table3[powertrain_type],Table3[vehicle_id])</f>
        <v>2</v>
      </c>
      <c r="I384">
        <v>549850</v>
      </c>
      <c r="J384">
        <v>1029166</v>
      </c>
      <c r="K384">
        <v>140341</v>
      </c>
      <c r="L384">
        <v>1719357</v>
      </c>
      <c r="M384">
        <v>31.98</v>
      </c>
      <c r="N384">
        <v>185439</v>
      </c>
      <c r="O384">
        <v>24.6</v>
      </c>
      <c r="P384">
        <v>486</v>
      </c>
      <c r="Q384">
        <v>1.85</v>
      </c>
      <c r="R384">
        <v>0.373</v>
      </c>
      <c r="S384">
        <v>54204</v>
      </c>
      <c r="T384">
        <v>78.099999999999994</v>
      </c>
      <c r="U384">
        <v>136.5</v>
      </c>
      <c r="V384">
        <v>0</v>
      </c>
      <c r="W384">
        <v>90</v>
      </c>
      <c r="X384">
        <v>6.54</v>
      </c>
      <c r="Y384">
        <v>0</v>
      </c>
    </row>
    <row r="385" spans="1:25" x14ac:dyDescent="0.25">
      <c r="A385" t="s">
        <v>42</v>
      </c>
      <c r="B385">
        <f>_xlfn.XLOOKUP(Table4[[#This Row],[country]],Table2[country],Table2[country_id],FALSE)</f>
        <v>8</v>
      </c>
      <c r="C385" t="s">
        <v>32</v>
      </c>
      <c r="D385">
        <v>2025</v>
      </c>
      <c r="E385">
        <f>_xlfn.XLOOKUP(Table4[[#This Row],[year]],Table1[year],Table1[year_id])</f>
        <v>16</v>
      </c>
      <c r="F385" t="s">
        <v>30</v>
      </c>
      <c r="G385" t="s">
        <v>34</v>
      </c>
      <c r="H385" cm="1">
        <f t="array" ref="H385">_xlfn.XLOOKUP(Table4[[#This Row],[vehicle_segment]]&amp;Table4[[#This Row],[powertrain_type]],Table3[vehicle_segment]&amp;Table3[powertrain_type],Table3[vehicle_id])</f>
        <v>4</v>
      </c>
      <c r="I385">
        <v>335891</v>
      </c>
      <c r="J385">
        <v>357387</v>
      </c>
      <c r="K385">
        <v>31077</v>
      </c>
      <c r="L385">
        <v>724355</v>
      </c>
      <c r="M385">
        <v>46.37</v>
      </c>
      <c r="N385">
        <v>185439</v>
      </c>
      <c r="O385">
        <v>24.6</v>
      </c>
      <c r="P385">
        <v>486</v>
      </c>
      <c r="Q385">
        <v>1.85</v>
      </c>
      <c r="R385">
        <v>0.373</v>
      </c>
      <c r="S385">
        <v>54204</v>
      </c>
      <c r="T385">
        <v>78.099999999999994</v>
      </c>
      <c r="U385">
        <v>136.5</v>
      </c>
      <c r="V385">
        <v>0</v>
      </c>
      <c r="W385">
        <v>90</v>
      </c>
      <c r="X385">
        <v>7.83</v>
      </c>
      <c r="Y385">
        <v>0</v>
      </c>
    </row>
    <row r="386" spans="1:25" x14ac:dyDescent="0.25">
      <c r="A386" t="s">
        <v>43</v>
      </c>
      <c r="B386">
        <f>_xlfn.XLOOKUP(Table4[[#This Row],[country]],Table2[country],Table2[country_id],FALSE)</f>
        <v>9</v>
      </c>
      <c r="C386" t="s">
        <v>40</v>
      </c>
      <c r="D386">
        <v>2010</v>
      </c>
      <c r="E386">
        <f>_xlfn.XLOOKUP(Table4[[#This Row],[year]],Table1[year],Table1[year_id])</f>
        <v>1</v>
      </c>
      <c r="F386" t="s">
        <v>27</v>
      </c>
      <c r="G386" t="s">
        <v>28</v>
      </c>
      <c r="H386" cm="1">
        <f t="array" ref="H386">_xlfn.XLOOKUP(Table4[[#This Row],[vehicle_segment]]&amp;Table4[[#This Row],[powertrain_type]],Table3[vehicle_segment]&amp;Table3[powertrain_type],Table3[vehicle_id])</f>
        <v>1</v>
      </c>
      <c r="I386">
        <v>6</v>
      </c>
      <c r="J386">
        <v>272921</v>
      </c>
      <c r="K386">
        <v>181951</v>
      </c>
      <c r="L386">
        <v>454878</v>
      </c>
      <c r="M386">
        <v>0</v>
      </c>
      <c r="N386">
        <v>0</v>
      </c>
      <c r="O386">
        <v>0</v>
      </c>
      <c r="P386">
        <v>107</v>
      </c>
      <c r="Q386">
        <v>0.77</v>
      </c>
      <c r="R386">
        <v>6.7000000000000004E-2</v>
      </c>
      <c r="S386">
        <v>1359</v>
      </c>
      <c r="T386">
        <v>30.9</v>
      </c>
      <c r="U386">
        <v>166.9</v>
      </c>
      <c r="V386">
        <v>0</v>
      </c>
      <c r="W386">
        <v>19.484000000000002</v>
      </c>
      <c r="X386">
        <v>0</v>
      </c>
      <c r="Y386">
        <v>0</v>
      </c>
    </row>
    <row r="387" spans="1:25" x14ac:dyDescent="0.25">
      <c r="A387" t="s">
        <v>43</v>
      </c>
      <c r="B387">
        <f>_xlfn.XLOOKUP(Table4[[#This Row],[country]],Table2[country],Table2[country_id],FALSE)</f>
        <v>9</v>
      </c>
      <c r="C387" t="s">
        <v>40</v>
      </c>
      <c r="D387">
        <v>2010</v>
      </c>
      <c r="E387">
        <f>_xlfn.XLOOKUP(Table4[[#This Row],[year]],Table1[year],Table1[year_id])</f>
        <v>1</v>
      </c>
      <c r="F387" t="s">
        <v>29</v>
      </c>
      <c r="G387" t="s">
        <v>28</v>
      </c>
      <c r="H387" cm="1">
        <f t="array" ref="H387">_xlfn.XLOOKUP(Table4[[#This Row],[vehicle_segment]]&amp;Table4[[#This Row],[powertrain_type]],Table3[vehicle_segment]&amp;Table3[powertrain_type],Table3[vehicle_id])</f>
        <v>2</v>
      </c>
      <c r="I387">
        <v>79</v>
      </c>
      <c r="J387">
        <v>1574664</v>
      </c>
      <c r="K387">
        <v>214738</v>
      </c>
      <c r="L387">
        <v>1789481</v>
      </c>
      <c r="M387">
        <v>0</v>
      </c>
      <c r="N387">
        <v>0</v>
      </c>
      <c r="O387">
        <v>0</v>
      </c>
      <c r="P387">
        <v>107</v>
      </c>
      <c r="Q387">
        <v>0.77</v>
      </c>
      <c r="R387">
        <v>6.7000000000000004E-2</v>
      </c>
      <c r="S387">
        <v>1359</v>
      </c>
      <c r="T387">
        <v>30.9</v>
      </c>
      <c r="U387">
        <v>166.9</v>
      </c>
      <c r="V387">
        <v>0</v>
      </c>
      <c r="W387">
        <v>19.484000000000002</v>
      </c>
      <c r="X387">
        <v>0</v>
      </c>
      <c r="Y387">
        <v>0</v>
      </c>
    </row>
    <row r="388" spans="1:25" x14ac:dyDescent="0.25">
      <c r="A388" t="s">
        <v>43</v>
      </c>
      <c r="B388">
        <f>_xlfn.XLOOKUP(Table4[[#This Row],[country]],Table2[country],Table2[country_id],FALSE)</f>
        <v>9</v>
      </c>
      <c r="C388" t="s">
        <v>40</v>
      </c>
      <c r="D388">
        <v>2010</v>
      </c>
      <c r="E388">
        <f>_xlfn.XLOOKUP(Table4[[#This Row],[year]],Table1[year],Table1[year_id])</f>
        <v>1</v>
      </c>
      <c r="F388" t="s">
        <v>30</v>
      </c>
      <c r="G388" t="s">
        <v>28</v>
      </c>
      <c r="H388" cm="1">
        <f t="array" ref="H388">_xlfn.XLOOKUP(Table4[[#This Row],[vehicle_segment]]&amp;Table4[[#This Row],[powertrain_type]],Table3[vehicle_segment]&amp;Table3[powertrain_type],Table3[vehicle_id])</f>
        <v>3</v>
      </c>
      <c r="I388">
        <v>51</v>
      </c>
      <c r="J388">
        <v>688207</v>
      </c>
      <c r="K388">
        <v>59848</v>
      </c>
      <c r="L388">
        <v>748106</v>
      </c>
      <c r="M388">
        <v>0.01</v>
      </c>
      <c r="N388">
        <v>0</v>
      </c>
      <c r="O388">
        <v>0</v>
      </c>
      <c r="P388">
        <v>107</v>
      </c>
      <c r="Q388">
        <v>0.77</v>
      </c>
      <c r="R388">
        <v>6.7000000000000004E-2</v>
      </c>
      <c r="S388">
        <v>1359</v>
      </c>
      <c r="T388">
        <v>30.9</v>
      </c>
      <c r="U388">
        <v>166.9</v>
      </c>
      <c r="V388">
        <v>0</v>
      </c>
      <c r="W388">
        <v>19.484000000000002</v>
      </c>
      <c r="X388">
        <v>0</v>
      </c>
      <c r="Y388">
        <v>0</v>
      </c>
    </row>
    <row r="389" spans="1:25" x14ac:dyDescent="0.25">
      <c r="A389" t="s">
        <v>43</v>
      </c>
      <c r="B389">
        <f>_xlfn.XLOOKUP(Table4[[#This Row],[country]],Table2[country],Table2[country_id],FALSE)</f>
        <v>9</v>
      </c>
      <c r="C389" t="s">
        <v>40</v>
      </c>
      <c r="D389">
        <v>2011</v>
      </c>
      <c r="E389">
        <f>_xlfn.XLOOKUP(Table4[[#This Row],[year]],Table1[year],Table1[year_id])</f>
        <v>2</v>
      </c>
      <c r="F389" t="s">
        <v>27</v>
      </c>
      <c r="G389" t="s">
        <v>28</v>
      </c>
      <c r="H389" cm="1">
        <f t="array" ref="H389">_xlfn.XLOOKUP(Table4[[#This Row],[vehicle_segment]]&amp;Table4[[#This Row],[powertrain_type]],Table3[vehicle_segment]&amp;Table3[powertrain_type],Table3[vehicle_id])</f>
        <v>1</v>
      </c>
      <c r="I389">
        <v>17</v>
      </c>
      <c r="J389">
        <v>284389</v>
      </c>
      <c r="K389">
        <v>189593</v>
      </c>
      <c r="L389">
        <v>473999</v>
      </c>
      <c r="M389">
        <v>0</v>
      </c>
      <c r="N389">
        <v>38</v>
      </c>
      <c r="O389">
        <v>1</v>
      </c>
      <c r="P389">
        <v>119</v>
      </c>
      <c r="Q389">
        <v>0.82</v>
      </c>
      <c r="R389">
        <v>7.0999999999999994E-2</v>
      </c>
      <c r="S389">
        <v>1402</v>
      </c>
      <c r="T389">
        <v>31.4</v>
      </c>
      <c r="U389">
        <v>177.4</v>
      </c>
      <c r="V389">
        <v>363</v>
      </c>
      <c r="W389">
        <v>19.8</v>
      </c>
      <c r="X389">
        <v>183.33</v>
      </c>
      <c r="Y389">
        <v>0</v>
      </c>
    </row>
    <row r="390" spans="1:25" x14ac:dyDescent="0.25">
      <c r="A390" t="s">
        <v>43</v>
      </c>
      <c r="B390">
        <f>_xlfn.XLOOKUP(Table4[[#This Row],[country]],Table2[country],Table2[country_id],FALSE)</f>
        <v>9</v>
      </c>
      <c r="C390" t="s">
        <v>40</v>
      </c>
      <c r="D390">
        <v>2011</v>
      </c>
      <c r="E390">
        <f>_xlfn.XLOOKUP(Table4[[#This Row],[year]],Table1[year],Table1[year_id])</f>
        <v>2</v>
      </c>
      <c r="F390" t="s">
        <v>29</v>
      </c>
      <c r="G390" t="s">
        <v>28</v>
      </c>
      <c r="H390" cm="1">
        <f t="array" ref="H390">_xlfn.XLOOKUP(Table4[[#This Row],[vehicle_segment]]&amp;Table4[[#This Row],[powertrain_type]],Table3[vehicle_segment]&amp;Table3[powertrain_type],Table3[vehicle_id])</f>
        <v>2</v>
      </c>
      <c r="I390">
        <v>186</v>
      </c>
      <c r="J390">
        <v>1639680</v>
      </c>
      <c r="K390">
        <v>223593</v>
      </c>
      <c r="L390">
        <v>1863459</v>
      </c>
      <c r="M390">
        <v>0.01</v>
      </c>
      <c r="N390">
        <v>38</v>
      </c>
      <c r="O390">
        <v>1</v>
      </c>
      <c r="P390">
        <v>119</v>
      </c>
      <c r="Q390">
        <v>0.82</v>
      </c>
      <c r="R390">
        <v>7.0999999999999994E-2</v>
      </c>
      <c r="S390">
        <v>1402</v>
      </c>
      <c r="T390">
        <v>31.4</v>
      </c>
      <c r="U390">
        <v>177.4</v>
      </c>
      <c r="V390">
        <v>363</v>
      </c>
      <c r="W390">
        <v>19.8</v>
      </c>
      <c r="X390">
        <v>135.44</v>
      </c>
      <c r="Y390">
        <v>0</v>
      </c>
    </row>
    <row r="391" spans="1:25" x14ac:dyDescent="0.25">
      <c r="A391" t="s">
        <v>43</v>
      </c>
      <c r="B391">
        <f>_xlfn.XLOOKUP(Table4[[#This Row],[country]],Table2[country],Table2[country_id],FALSE)</f>
        <v>9</v>
      </c>
      <c r="C391" t="s">
        <v>40</v>
      </c>
      <c r="D391">
        <v>2011</v>
      </c>
      <c r="E391">
        <f>_xlfn.XLOOKUP(Table4[[#This Row],[year]],Table1[year],Table1[year_id])</f>
        <v>2</v>
      </c>
      <c r="F391" t="s">
        <v>30</v>
      </c>
      <c r="G391" t="s">
        <v>28</v>
      </c>
      <c r="H391" cm="1">
        <f t="array" ref="H391">_xlfn.XLOOKUP(Table4[[#This Row],[vehicle_segment]]&amp;Table4[[#This Row],[powertrain_type]],Table3[vehicle_segment]&amp;Table3[powertrain_type],Table3[vehicle_id])</f>
        <v>3</v>
      </c>
      <c r="I391">
        <v>114</v>
      </c>
      <c r="J391">
        <v>721989</v>
      </c>
      <c r="K391">
        <v>62782</v>
      </c>
      <c r="L391">
        <v>784885</v>
      </c>
      <c r="M391">
        <v>0.01</v>
      </c>
      <c r="N391">
        <v>38</v>
      </c>
      <c r="O391">
        <v>1</v>
      </c>
      <c r="P391">
        <v>119</v>
      </c>
      <c r="Q391">
        <v>0.82</v>
      </c>
      <c r="R391">
        <v>7.0999999999999994E-2</v>
      </c>
      <c r="S391">
        <v>1402</v>
      </c>
      <c r="T391">
        <v>31.4</v>
      </c>
      <c r="U391">
        <v>177.4</v>
      </c>
      <c r="V391">
        <v>363</v>
      </c>
      <c r="W391">
        <v>19.8</v>
      </c>
      <c r="X391">
        <v>123.53</v>
      </c>
      <c r="Y391">
        <v>0</v>
      </c>
    </row>
    <row r="392" spans="1:25" x14ac:dyDescent="0.25">
      <c r="A392" t="s">
        <v>43</v>
      </c>
      <c r="B392">
        <f>_xlfn.XLOOKUP(Table4[[#This Row],[country]],Table2[country],Table2[country_id],FALSE)</f>
        <v>9</v>
      </c>
      <c r="C392" t="s">
        <v>40</v>
      </c>
      <c r="D392">
        <v>2012</v>
      </c>
      <c r="E392">
        <f>_xlfn.XLOOKUP(Table4[[#This Row],[year]],Table1[year],Table1[year_id])</f>
        <v>3</v>
      </c>
      <c r="F392" t="s">
        <v>27</v>
      </c>
      <c r="G392" t="s">
        <v>28</v>
      </c>
      <c r="H392" cm="1">
        <f t="array" ref="H392">_xlfn.XLOOKUP(Table4[[#This Row],[vehicle_segment]]&amp;Table4[[#This Row],[powertrain_type]],Table3[vehicle_segment]&amp;Table3[powertrain_type],Table3[vehicle_id])</f>
        <v>1</v>
      </c>
      <c r="I392">
        <v>16</v>
      </c>
      <c r="J392">
        <v>282353</v>
      </c>
      <c r="K392">
        <v>188235</v>
      </c>
      <c r="L392">
        <v>470604</v>
      </c>
      <c r="M392">
        <v>0</v>
      </c>
      <c r="N392">
        <v>72</v>
      </c>
      <c r="O392">
        <v>1.9</v>
      </c>
      <c r="P392">
        <v>136</v>
      </c>
      <c r="Q392">
        <v>0.87</v>
      </c>
      <c r="R392">
        <v>7.3999999999999996E-2</v>
      </c>
      <c r="S392">
        <v>1463</v>
      </c>
      <c r="T392">
        <v>31.6</v>
      </c>
      <c r="U392">
        <v>190.1</v>
      </c>
      <c r="V392">
        <v>719</v>
      </c>
      <c r="W392">
        <v>19.5</v>
      </c>
      <c r="X392">
        <v>63.3</v>
      </c>
      <c r="Y392">
        <v>0</v>
      </c>
    </row>
    <row r="393" spans="1:25" x14ac:dyDescent="0.25">
      <c r="A393" t="s">
        <v>43</v>
      </c>
      <c r="B393">
        <f>_xlfn.XLOOKUP(Table4[[#This Row],[country]],Table2[country],Table2[country_id],FALSE)</f>
        <v>9</v>
      </c>
      <c r="C393" t="s">
        <v>40</v>
      </c>
      <c r="D393">
        <v>2012</v>
      </c>
      <c r="E393">
        <f>_xlfn.XLOOKUP(Table4[[#This Row],[year]],Table1[year],Table1[year_id])</f>
        <v>3</v>
      </c>
      <c r="F393" t="s">
        <v>29</v>
      </c>
      <c r="G393" t="s">
        <v>28</v>
      </c>
      <c r="H393" cm="1">
        <f t="array" ref="H393">_xlfn.XLOOKUP(Table4[[#This Row],[vehicle_segment]]&amp;Table4[[#This Row],[powertrain_type]],Table3[vehicle_segment]&amp;Table3[powertrain_type],Table3[vehicle_id])</f>
        <v>2</v>
      </c>
      <c r="I393">
        <v>188</v>
      </c>
      <c r="J393">
        <v>1655912</v>
      </c>
      <c r="K393">
        <v>225806</v>
      </c>
      <c r="L393">
        <v>1881906</v>
      </c>
      <c r="M393">
        <v>0.01</v>
      </c>
      <c r="N393">
        <v>72</v>
      </c>
      <c r="O393">
        <v>1.9</v>
      </c>
      <c r="P393">
        <v>136</v>
      </c>
      <c r="Q393">
        <v>0.87</v>
      </c>
      <c r="R393">
        <v>7.3999999999999996E-2</v>
      </c>
      <c r="S393">
        <v>1463</v>
      </c>
      <c r="T393">
        <v>31.6</v>
      </c>
      <c r="U393">
        <v>190.1</v>
      </c>
      <c r="V393">
        <v>719</v>
      </c>
      <c r="W393">
        <v>19.5</v>
      </c>
      <c r="X393">
        <v>1.08</v>
      </c>
      <c r="Y393">
        <v>0</v>
      </c>
    </row>
    <row r="394" spans="1:25" x14ac:dyDescent="0.25">
      <c r="A394" t="s">
        <v>43</v>
      </c>
      <c r="B394">
        <f>_xlfn.XLOOKUP(Table4[[#This Row],[country]],Table2[country],Table2[country_id],FALSE)</f>
        <v>9</v>
      </c>
      <c r="C394" t="s">
        <v>40</v>
      </c>
      <c r="D394">
        <v>2012</v>
      </c>
      <c r="E394">
        <f>_xlfn.XLOOKUP(Table4[[#This Row],[year]],Table1[year],Table1[year_id])</f>
        <v>3</v>
      </c>
      <c r="F394" t="s">
        <v>30</v>
      </c>
      <c r="G394" t="s">
        <v>28</v>
      </c>
      <c r="H394" cm="1">
        <f t="array" ref="H394">_xlfn.XLOOKUP(Table4[[#This Row],[vehicle_segment]]&amp;Table4[[#This Row],[powertrain_type]],Table3[vehicle_segment]&amp;Table3[powertrain_type],Table3[vehicle_id])</f>
        <v>3</v>
      </c>
      <c r="I394">
        <v>112</v>
      </c>
      <c r="J394">
        <v>712641</v>
      </c>
      <c r="K394">
        <v>61969</v>
      </c>
      <c r="L394">
        <v>774722</v>
      </c>
      <c r="M394">
        <v>0.01</v>
      </c>
      <c r="N394">
        <v>72</v>
      </c>
      <c r="O394">
        <v>1.9</v>
      </c>
      <c r="P394">
        <v>136</v>
      </c>
      <c r="Q394">
        <v>0.87</v>
      </c>
      <c r="R394">
        <v>7.3999999999999996E-2</v>
      </c>
      <c r="S394">
        <v>1463</v>
      </c>
      <c r="T394">
        <v>31.6</v>
      </c>
      <c r="U394">
        <v>190.1</v>
      </c>
      <c r="V394">
        <v>719</v>
      </c>
      <c r="W394">
        <v>19.5</v>
      </c>
      <c r="X394">
        <v>-1.75</v>
      </c>
      <c r="Y394">
        <v>0</v>
      </c>
    </row>
    <row r="395" spans="1:25" x14ac:dyDescent="0.25">
      <c r="A395" t="s">
        <v>43</v>
      </c>
      <c r="B395">
        <f>_xlfn.XLOOKUP(Table4[[#This Row],[country]],Table2[country],Table2[country_id],FALSE)</f>
        <v>9</v>
      </c>
      <c r="C395" t="s">
        <v>40</v>
      </c>
      <c r="D395">
        <v>2013</v>
      </c>
      <c r="E395">
        <f>_xlfn.XLOOKUP(Table4[[#This Row],[year]],Table1[year],Table1[year_id])</f>
        <v>4</v>
      </c>
      <c r="F395" t="s">
        <v>27</v>
      </c>
      <c r="G395" t="s">
        <v>28</v>
      </c>
      <c r="H395" cm="1">
        <f t="array" ref="H395">_xlfn.XLOOKUP(Table4[[#This Row],[vehicle_segment]]&amp;Table4[[#This Row],[powertrain_type]],Table3[vehicle_segment]&amp;Table3[powertrain_type],Table3[vehicle_id])</f>
        <v>1</v>
      </c>
      <c r="I395">
        <v>17</v>
      </c>
      <c r="J395">
        <v>296840</v>
      </c>
      <c r="K395">
        <v>197894</v>
      </c>
      <c r="L395">
        <v>494751</v>
      </c>
      <c r="M395">
        <v>0</v>
      </c>
      <c r="N395">
        <v>118</v>
      </c>
      <c r="O395">
        <v>2.9</v>
      </c>
      <c r="P395">
        <v>135</v>
      </c>
      <c r="Q395">
        <v>0.91</v>
      </c>
      <c r="R395">
        <v>7.4999999999999997E-2</v>
      </c>
      <c r="S395">
        <v>1500</v>
      </c>
      <c r="T395">
        <v>32.1</v>
      </c>
      <c r="U395">
        <v>200.3</v>
      </c>
      <c r="V395">
        <v>1089</v>
      </c>
      <c r="W395">
        <v>21.6</v>
      </c>
      <c r="X395">
        <v>41.5</v>
      </c>
      <c r="Y395">
        <v>0</v>
      </c>
    </row>
    <row r="396" spans="1:25" x14ac:dyDescent="0.25">
      <c r="A396" t="s">
        <v>43</v>
      </c>
      <c r="B396">
        <f>_xlfn.XLOOKUP(Table4[[#This Row],[country]],Table2[country],Table2[country_id],FALSE)</f>
        <v>9</v>
      </c>
      <c r="C396" t="s">
        <v>40</v>
      </c>
      <c r="D396">
        <v>2013</v>
      </c>
      <c r="E396">
        <f>_xlfn.XLOOKUP(Table4[[#This Row],[year]],Table1[year],Table1[year_id])</f>
        <v>4</v>
      </c>
      <c r="F396" t="s">
        <v>29</v>
      </c>
      <c r="G396" t="s">
        <v>28</v>
      </c>
      <c r="H396" cm="1">
        <f t="array" ref="H396">_xlfn.XLOOKUP(Table4[[#This Row],[vehicle_segment]]&amp;Table4[[#This Row],[powertrain_type]],Table3[vehicle_segment]&amp;Table3[powertrain_type],Table3[vehicle_id])</f>
        <v>2</v>
      </c>
      <c r="I396">
        <v>194</v>
      </c>
      <c r="J396">
        <v>1709098</v>
      </c>
      <c r="K396">
        <v>233059</v>
      </c>
      <c r="L396">
        <v>1942351</v>
      </c>
      <c r="M396">
        <v>0.01</v>
      </c>
      <c r="N396">
        <v>118</v>
      </c>
      <c r="O396">
        <v>2.9</v>
      </c>
      <c r="P396">
        <v>135</v>
      </c>
      <c r="Q396">
        <v>0.91</v>
      </c>
      <c r="R396">
        <v>7.4999999999999997E-2</v>
      </c>
      <c r="S396">
        <v>1500</v>
      </c>
      <c r="T396">
        <v>32.1</v>
      </c>
      <c r="U396">
        <v>200.3</v>
      </c>
      <c r="V396">
        <v>1089</v>
      </c>
      <c r="W396">
        <v>21.6</v>
      </c>
      <c r="X396">
        <v>3.19</v>
      </c>
      <c r="Y396">
        <v>0</v>
      </c>
    </row>
    <row r="397" spans="1:25" x14ac:dyDescent="0.25">
      <c r="A397" t="s">
        <v>43</v>
      </c>
      <c r="B397">
        <f>_xlfn.XLOOKUP(Table4[[#This Row],[country]],Table2[country],Table2[country_id],FALSE)</f>
        <v>9</v>
      </c>
      <c r="C397" t="s">
        <v>40</v>
      </c>
      <c r="D397">
        <v>2013</v>
      </c>
      <c r="E397">
        <f>_xlfn.XLOOKUP(Table4[[#This Row],[year]],Table1[year],Table1[year_id])</f>
        <v>4</v>
      </c>
      <c r="F397" t="s">
        <v>30</v>
      </c>
      <c r="G397" t="s">
        <v>28</v>
      </c>
      <c r="H397" cm="1">
        <f t="array" ref="H397">_xlfn.XLOOKUP(Table4[[#This Row],[vehicle_segment]]&amp;Table4[[#This Row],[powertrain_type]],Table3[vehicle_segment]&amp;Table3[powertrain_type],Table3[vehicle_id])</f>
        <v>3</v>
      </c>
      <c r="I397">
        <v>118</v>
      </c>
      <c r="J397">
        <v>745804</v>
      </c>
      <c r="K397">
        <v>64852</v>
      </c>
      <c r="L397">
        <v>810774</v>
      </c>
      <c r="M397">
        <v>0.01</v>
      </c>
      <c r="N397">
        <v>118</v>
      </c>
      <c r="O397">
        <v>2.9</v>
      </c>
      <c r="P397">
        <v>135</v>
      </c>
      <c r="Q397">
        <v>0.91</v>
      </c>
      <c r="R397">
        <v>7.4999999999999997E-2</v>
      </c>
      <c r="S397">
        <v>1500</v>
      </c>
      <c r="T397">
        <v>32.1</v>
      </c>
      <c r="U397">
        <v>200.3</v>
      </c>
      <c r="V397">
        <v>1089</v>
      </c>
      <c r="W397">
        <v>21.6</v>
      </c>
      <c r="X397">
        <v>5.36</v>
      </c>
      <c r="Y397">
        <v>0</v>
      </c>
    </row>
    <row r="398" spans="1:25" x14ac:dyDescent="0.25">
      <c r="A398" t="s">
        <v>43</v>
      </c>
      <c r="B398">
        <f>_xlfn.XLOOKUP(Table4[[#This Row],[country]],Table2[country],Table2[country_id],FALSE)</f>
        <v>9</v>
      </c>
      <c r="C398" t="s">
        <v>40</v>
      </c>
      <c r="D398">
        <v>2014</v>
      </c>
      <c r="E398">
        <f>_xlfn.XLOOKUP(Table4[[#This Row],[year]],Table1[year],Table1[year_id])</f>
        <v>5</v>
      </c>
      <c r="F398" t="s">
        <v>27</v>
      </c>
      <c r="G398" t="s">
        <v>28</v>
      </c>
      <c r="H398" cm="1">
        <f t="array" ref="H398">_xlfn.XLOOKUP(Table4[[#This Row],[vehicle_segment]]&amp;Table4[[#This Row],[powertrain_type]],Table3[vehicle_segment]&amp;Table3[powertrain_type],Table3[vehicle_id])</f>
        <v>1</v>
      </c>
      <c r="I398">
        <v>68</v>
      </c>
      <c r="J398">
        <v>293459</v>
      </c>
      <c r="K398">
        <v>195639</v>
      </c>
      <c r="L398">
        <v>489166</v>
      </c>
      <c r="M398">
        <v>0.01</v>
      </c>
      <c r="N398">
        <v>147</v>
      </c>
      <c r="O398">
        <v>3.8</v>
      </c>
      <c r="P398">
        <v>141</v>
      </c>
      <c r="Q398">
        <v>0.95</v>
      </c>
      <c r="R398">
        <v>7.6999999999999999E-2</v>
      </c>
      <c r="S398">
        <v>1557</v>
      </c>
      <c r="T398">
        <v>32.6</v>
      </c>
      <c r="U398">
        <v>212.4</v>
      </c>
      <c r="V398">
        <v>1437</v>
      </c>
      <c r="W398">
        <v>23.8</v>
      </c>
      <c r="X398">
        <v>58.74</v>
      </c>
      <c r="Y398">
        <v>0</v>
      </c>
    </row>
    <row r="399" spans="1:25" x14ac:dyDescent="0.25">
      <c r="A399" t="s">
        <v>43</v>
      </c>
      <c r="B399">
        <f>_xlfn.XLOOKUP(Table4[[#This Row],[country]],Table2[country],Table2[country_id],FALSE)</f>
        <v>9</v>
      </c>
      <c r="C399" t="s">
        <v>40</v>
      </c>
      <c r="D399">
        <v>2014</v>
      </c>
      <c r="E399">
        <f>_xlfn.XLOOKUP(Table4[[#This Row],[year]],Table1[year],Table1[year_id])</f>
        <v>5</v>
      </c>
      <c r="F399" t="s">
        <v>29</v>
      </c>
      <c r="G399" t="s">
        <v>28</v>
      </c>
      <c r="H399" cm="1">
        <f t="array" ref="H399">_xlfn.XLOOKUP(Table4[[#This Row],[vehicle_segment]]&amp;Table4[[#This Row],[powertrain_type]],Table3[vehicle_segment]&amp;Table3[powertrain_type],Table3[vehicle_id])</f>
        <v>2</v>
      </c>
      <c r="I399">
        <v>789</v>
      </c>
      <c r="J399">
        <v>1734426</v>
      </c>
      <c r="K399">
        <v>236513</v>
      </c>
      <c r="L399">
        <v>1971728</v>
      </c>
      <c r="M399">
        <v>0.04</v>
      </c>
      <c r="N399">
        <v>147</v>
      </c>
      <c r="O399">
        <v>3.8</v>
      </c>
      <c r="P399">
        <v>141</v>
      </c>
      <c r="Q399">
        <v>0.95</v>
      </c>
      <c r="R399">
        <v>7.6999999999999999E-2</v>
      </c>
      <c r="S399">
        <v>1557</v>
      </c>
      <c r="T399">
        <v>32.6</v>
      </c>
      <c r="U399">
        <v>212.4</v>
      </c>
      <c r="V399">
        <v>1437</v>
      </c>
      <c r="W399">
        <v>23.8</v>
      </c>
      <c r="X399">
        <v>300</v>
      </c>
      <c r="Y399">
        <v>0</v>
      </c>
    </row>
    <row r="400" spans="1:25" x14ac:dyDescent="0.25">
      <c r="A400" t="s">
        <v>43</v>
      </c>
      <c r="B400">
        <f>_xlfn.XLOOKUP(Table4[[#This Row],[country]],Table2[country],Table2[country_id],FALSE)</f>
        <v>9</v>
      </c>
      <c r="C400" t="s">
        <v>40</v>
      </c>
      <c r="D400">
        <v>2014</v>
      </c>
      <c r="E400">
        <f>_xlfn.XLOOKUP(Table4[[#This Row],[year]],Table1[year],Table1[year_id])</f>
        <v>5</v>
      </c>
      <c r="F400" t="s">
        <v>30</v>
      </c>
      <c r="G400" t="s">
        <v>28</v>
      </c>
      <c r="H400" cm="1">
        <f t="array" ref="H400">_xlfn.XLOOKUP(Table4[[#This Row],[vehicle_segment]]&amp;Table4[[#This Row],[powertrain_type]],Table3[vehicle_segment]&amp;Table3[powertrain_type],Table3[vehicle_id])</f>
        <v>3</v>
      </c>
      <c r="I400">
        <v>484</v>
      </c>
      <c r="J400">
        <v>767152</v>
      </c>
      <c r="K400">
        <v>66709</v>
      </c>
      <c r="L400">
        <v>834345</v>
      </c>
      <c r="M400">
        <v>0.06</v>
      </c>
      <c r="N400">
        <v>147</v>
      </c>
      <c r="O400">
        <v>3.8</v>
      </c>
      <c r="P400">
        <v>141</v>
      </c>
      <c r="Q400">
        <v>0.95</v>
      </c>
      <c r="R400">
        <v>7.6999999999999999E-2</v>
      </c>
      <c r="S400">
        <v>1557</v>
      </c>
      <c r="T400">
        <v>32.6</v>
      </c>
      <c r="U400">
        <v>212.4</v>
      </c>
      <c r="V400">
        <v>1437</v>
      </c>
      <c r="W400">
        <v>23.8</v>
      </c>
      <c r="X400">
        <v>300</v>
      </c>
      <c r="Y400">
        <v>0</v>
      </c>
    </row>
    <row r="401" spans="1:25" x14ac:dyDescent="0.25">
      <c r="A401" t="s">
        <v>43</v>
      </c>
      <c r="B401">
        <f>_xlfn.XLOOKUP(Table4[[#This Row],[country]],Table2[country],Table2[country_id],FALSE)</f>
        <v>9</v>
      </c>
      <c r="C401" t="s">
        <v>40</v>
      </c>
      <c r="D401">
        <v>2015</v>
      </c>
      <c r="E401">
        <f>_xlfn.XLOOKUP(Table4[[#This Row],[year]],Table1[year],Table1[year_id])</f>
        <v>6</v>
      </c>
      <c r="F401" t="s">
        <v>27</v>
      </c>
      <c r="G401" t="s">
        <v>28</v>
      </c>
      <c r="H401" cm="1">
        <f t="array" ref="H401">_xlfn.XLOOKUP(Table4[[#This Row],[vehicle_segment]]&amp;Table4[[#This Row],[powertrain_type]],Table3[vehicle_segment]&amp;Table3[powertrain_type],Table3[vehicle_id])</f>
        <v>1</v>
      </c>
      <c r="I401">
        <v>91</v>
      </c>
      <c r="J401">
        <v>312178</v>
      </c>
      <c r="K401">
        <v>208119</v>
      </c>
      <c r="L401">
        <v>520388</v>
      </c>
      <c r="M401">
        <v>0.02</v>
      </c>
      <c r="N401">
        <v>206</v>
      </c>
      <c r="O401">
        <v>4.5999999999999996</v>
      </c>
      <c r="P401">
        <v>158</v>
      </c>
      <c r="Q401">
        <v>0.97699999999999998</v>
      </c>
      <c r="R401">
        <v>7.9000000000000001E-2</v>
      </c>
      <c r="S401">
        <v>1599</v>
      </c>
      <c r="T401">
        <v>32.9</v>
      </c>
      <c r="U401">
        <v>221.9</v>
      </c>
      <c r="V401">
        <v>1803</v>
      </c>
      <c r="W401">
        <v>24.9</v>
      </c>
      <c r="X401">
        <v>78.5</v>
      </c>
      <c r="Y401">
        <v>0</v>
      </c>
    </row>
    <row r="402" spans="1:25" x14ac:dyDescent="0.25">
      <c r="A402" t="s">
        <v>43</v>
      </c>
      <c r="B402">
        <f>_xlfn.XLOOKUP(Table4[[#This Row],[country]],Table2[country],Table2[country_id],FALSE)</f>
        <v>9</v>
      </c>
      <c r="C402" t="s">
        <v>40</v>
      </c>
      <c r="D402">
        <v>2015</v>
      </c>
      <c r="E402">
        <f>_xlfn.XLOOKUP(Table4[[#This Row],[year]],Table1[year],Table1[year_id])</f>
        <v>6</v>
      </c>
      <c r="F402" t="s">
        <v>29</v>
      </c>
      <c r="G402" t="s">
        <v>28</v>
      </c>
      <c r="H402" cm="1">
        <f t="array" ref="H402">_xlfn.XLOOKUP(Table4[[#This Row],[vehicle_segment]]&amp;Table4[[#This Row],[powertrain_type]],Table3[vehicle_segment]&amp;Table3[powertrain_type],Table3[vehicle_id])</f>
        <v>2</v>
      </c>
      <c r="I402">
        <v>1028</v>
      </c>
      <c r="J402">
        <v>1807822</v>
      </c>
      <c r="K402">
        <v>246521</v>
      </c>
      <c r="L402">
        <v>2055371</v>
      </c>
      <c r="M402">
        <v>0.05</v>
      </c>
      <c r="N402">
        <v>206</v>
      </c>
      <c r="O402">
        <v>4.5999999999999996</v>
      </c>
      <c r="P402">
        <v>158</v>
      </c>
      <c r="Q402">
        <v>0.97699999999999998</v>
      </c>
      <c r="R402">
        <v>7.9000000000000001E-2</v>
      </c>
      <c r="S402">
        <v>1599</v>
      </c>
      <c r="T402">
        <v>32.9</v>
      </c>
      <c r="U402">
        <v>221.9</v>
      </c>
      <c r="V402">
        <v>1803</v>
      </c>
      <c r="W402">
        <v>24.9</v>
      </c>
      <c r="X402">
        <v>30.29</v>
      </c>
      <c r="Y402">
        <v>0</v>
      </c>
    </row>
    <row r="403" spans="1:25" x14ac:dyDescent="0.25">
      <c r="A403" t="s">
        <v>43</v>
      </c>
      <c r="B403">
        <f>_xlfn.XLOOKUP(Table4[[#This Row],[country]],Table2[country],Table2[country_id],FALSE)</f>
        <v>9</v>
      </c>
      <c r="C403" t="s">
        <v>40</v>
      </c>
      <c r="D403">
        <v>2015</v>
      </c>
      <c r="E403">
        <f>_xlfn.XLOOKUP(Table4[[#This Row],[year]],Table1[year],Table1[year_id])</f>
        <v>6</v>
      </c>
      <c r="F403" t="s">
        <v>30</v>
      </c>
      <c r="G403" t="s">
        <v>28</v>
      </c>
      <c r="H403" cm="1">
        <f t="array" ref="H403">_xlfn.XLOOKUP(Table4[[#This Row],[vehicle_segment]]&amp;Table4[[#This Row],[powertrain_type]],Table3[vehicle_segment]&amp;Table3[powertrain_type],Table3[vehicle_id])</f>
        <v>3</v>
      </c>
      <c r="I403">
        <v>624</v>
      </c>
      <c r="J403">
        <v>791778</v>
      </c>
      <c r="K403">
        <v>68850</v>
      </c>
      <c r="L403">
        <v>861252</v>
      </c>
      <c r="M403">
        <v>7.0000000000000007E-2</v>
      </c>
      <c r="N403">
        <v>206</v>
      </c>
      <c r="O403">
        <v>4.5999999999999996</v>
      </c>
      <c r="P403">
        <v>158</v>
      </c>
      <c r="Q403">
        <v>0.97699999999999998</v>
      </c>
      <c r="R403">
        <v>7.9000000000000001E-2</v>
      </c>
      <c r="S403">
        <v>1599</v>
      </c>
      <c r="T403">
        <v>32.9</v>
      </c>
      <c r="U403">
        <v>221.9</v>
      </c>
      <c r="V403">
        <v>1803</v>
      </c>
      <c r="W403">
        <v>24.9</v>
      </c>
      <c r="X403">
        <v>28.93</v>
      </c>
      <c r="Y403">
        <v>0</v>
      </c>
    </row>
    <row r="404" spans="1:25" x14ac:dyDescent="0.25">
      <c r="A404" t="s">
        <v>43</v>
      </c>
      <c r="B404">
        <f>_xlfn.XLOOKUP(Table4[[#This Row],[country]],Table2[country],Table2[country_id],FALSE)</f>
        <v>9</v>
      </c>
      <c r="C404" t="s">
        <v>40</v>
      </c>
      <c r="D404">
        <v>2016</v>
      </c>
      <c r="E404">
        <f>_xlfn.XLOOKUP(Table4[[#This Row],[year]],Table1[year],Table1[year_id])</f>
        <v>7</v>
      </c>
      <c r="F404" t="s">
        <v>27</v>
      </c>
      <c r="G404" t="s">
        <v>28</v>
      </c>
      <c r="H404" cm="1">
        <f t="array" ref="H404">_xlfn.XLOOKUP(Table4[[#This Row],[vehicle_segment]]&amp;Table4[[#This Row],[powertrain_type]],Table3[vehicle_segment]&amp;Table3[powertrain_type],Table3[vehicle_id])</f>
        <v>1</v>
      </c>
      <c r="I404">
        <v>156</v>
      </c>
      <c r="J404">
        <v>334239</v>
      </c>
      <c r="K404">
        <v>222826</v>
      </c>
      <c r="L404">
        <v>557221</v>
      </c>
      <c r="M404">
        <v>0.03</v>
      </c>
      <c r="N404">
        <v>413</v>
      </c>
      <c r="O404">
        <v>6.5</v>
      </c>
      <c r="P404">
        <v>171</v>
      </c>
      <c r="Q404">
        <v>1.0129999999999999</v>
      </c>
      <c r="R404">
        <v>0.08</v>
      </c>
      <c r="S404">
        <v>1738</v>
      </c>
      <c r="T404">
        <v>33.299999999999997</v>
      </c>
      <c r="U404">
        <v>236.6</v>
      </c>
      <c r="V404">
        <v>1841</v>
      </c>
      <c r="W404">
        <v>27.3</v>
      </c>
      <c r="X404">
        <v>109.36</v>
      </c>
      <c r="Y404">
        <v>0</v>
      </c>
    </row>
    <row r="405" spans="1:25" x14ac:dyDescent="0.25">
      <c r="A405" t="s">
        <v>43</v>
      </c>
      <c r="B405">
        <f>_xlfn.XLOOKUP(Table4[[#This Row],[country]],Table2[country],Table2[country_id],FALSE)</f>
        <v>9</v>
      </c>
      <c r="C405" t="s">
        <v>40</v>
      </c>
      <c r="D405">
        <v>2016</v>
      </c>
      <c r="E405">
        <f>_xlfn.XLOOKUP(Table4[[#This Row],[year]],Table1[year],Table1[year_id])</f>
        <v>7</v>
      </c>
      <c r="F405" t="s">
        <v>29</v>
      </c>
      <c r="G405" t="s">
        <v>28</v>
      </c>
      <c r="H405" cm="1">
        <f t="array" ref="H405">_xlfn.XLOOKUP(Table4[[#This Row],[vehicle_segment]]&amp;Table4[[#This Row],[powertrain_type]],Table3[vehicle_segment]&amp;Table3[powertrain_type],Table3[vehicle_id])</f>
        <v>2</v>
      </c>
      <c r="I405">
        <v>1787</v>
      </c>
      <c r="J405">
        <v>1963639</v>
      </c>
      <c r="K405">
        <v>267769</v>
      </c>
      <c r="L405">
        <v>2233195</v>
      </c>
      <c r="M405">
        <v>0.08</v>
      </c>
      <c r="N405">
        <v>413</v>
      </c>
      <c r="O405">
        <v>6.5</v>
      </c>
      <c r="P405">
        <v>171</v>
      </c>
      <c r="Q405">
        <v>1.0129999999999999</v>
      </c>
      <c r="R405">
        <v>0.08</v>
      </c>
      <c r="S405">
        <v>1738</v>
      </c>
      <c r="T405">
        <v>33.299999999999997</v>
      </c>
      <c r="U405">
        <v>236.6</v>
      </c>
      <c r="V405">
        <v>1841</v>
      </c>
      <c r="W405">
        <v>27.3</v>
      </c>
      <c r="X405">
        <v>73.83</v>
      </c>
      <c r="Y405">
        <v>0</v>
      </c>
    </row>
    <row r="406" spans="1:25" x14ac:dyDescent="0.25">
      <c r="A406" t="s">
        <v>43</v>
      </c>
      <c r="B406">
        <f>_xlfn.XLOOKUP(Table4[[#This Row],[country]],Table2[country],Table2[country_id],FALSE)</f>
        <v>9</v>
      </c>
      <c r="C406" t="s">
        <v>40</v>
      </c>
      <c r="D406">
        <v>2016</v>
      </c>
      <c r="E406">
        <f>_xlfn.XLOOKUP(Table4[[#This Row],[year]],Table1[year],Table1[year_id])</f>
        <v>7</v>
      </c>
      <c r="F406" t="s">
        <v>30</v>
      </c>
      <c r="G406" t="s">
        <v>28</v>
      </c>
      <c r="H406" cm="1">
        <f t="array" ref="H406">_xlfn.XLOOKUP(Table4[[#This Row],[vehicle_segment]]&amp;Table4[[#This Row],[powertrain_type]],Table3[vehicle_segment]&amp;Table3[powertrain_type],Table3[vehicle_id])</f>
        <v>3</v>
      </c>
      <c r="I406">
        <v>1094</v>
      </c>
      <c r="J406">
        <v>867004</v>
      </c>
      <c r="K406">
        <v>75392</v>
      </c>
      <c r="L406">
        <v>943490</v>
      </c>
      <c r="M406">
        <v>0.12</v>
      </c>
      <c r="N406">
        <v>413</v>
      </c>
      <c r="O406">
        <v>6.5</v>
      </c>
      <c r="P406">
        <v>171</v>
      </c>
      <c r="Q406">
        <v>1.0129999999999999</v>
      </c>
      <c r="R406">
        <v>0.08</v>
      </c>
      <c r="S406">
        <v>1738</v>
      </c>
      <c r="T406">
        <v>33.299999999999997</v>
      </c>
      <c r="U406">
        <v>236.6</v>
      </c>
      <c r="V406">
        <v>1841</v>
      </c>
      <c r="W406">
        <v>27.3</v>
      </c>
      <c r="X406">
        <v>75.319999999999993</v>
      </c>
      <c r="Y406">
        <v>0</v>
      </c>
    </row>
    <row r="407" spans="1:25" x14ac:dyDescent="0.25">
      <c r="A407" t="s">
        <v>43</v>
      </c>
      <c r="B407">
        <f>_xlfn.XLOOKUP(Table4[[#This Row],[country]],Table2[country],Table2[country_id],FALSE)</f>
        <v>9</v>
      </c>
      <c r="C407" t="s">
        <v>40</v>
      </c>
      <c r="D407">
        <v>2017</v>
      </c>
      <c r="E407">
        <f>_xlfn.XLOOKUP(Table4[[#This Row],[year]],Table1[year],Table1[year_id])</f>
        <v>8</v>
      </c>
      <c r="F407" t="s">
        <v>27</v>
      </c>
      <c r="G407" t="s">
        <v>28</v>
      </c>
      <c r="H407" cm="1">
        <f t="array" ref="H407">_xlfn.XLOOKUP(Table4[[#This Row],[vehicle_segment]]&amp;Table4[[#This Row],[powertrain_type]],Table3[vehicle_segment]&amp;Table3[powertrain_type],Table3[vehicle_id])</f>
        <v>1</v>
      </c>
      <c r="I407">
        <v>213</v>
      </c>
      <c r="J407">
        <v>365402</v>
      </c>
      <c r="K407">
        <v>243602</v>
      </c>
      <c r="L407">
        <v>609217</v>
      </c>
      <c r="M407">
        <v>0.03</v>
      </c>
      <c r="N407">
        <v>609</v>
      </c>
      <c r="O407">
        <v>8.8000000000000007</v>
      </c>
      <c r="P407">
        <v>200</v>
      </c>
      <c r="Q407">
        <v>1.0269999999999999</v>
      </c>
      <c r="R407">
        <v>0.08</v>
      </c>
      <c r="S407">
        <v>1879</v>
      </c>
      <c r="T407">
        <v>33.700000000000003</v>
      </c>
      <c r="U407">
        <v>247.3</v>
      </c>
      <c r="V407">
        <v>1885</v>
      </c>
      <c r="W407">
        <v>31.7</v>
      </c>
      <c r="X407">
        <v>36.54</v>
      </c>
      <c r="Y407">
        <v>0</v>
      </c>
    </row>
    <row r="408" spans="1:25" x14ac:dyDescent="0.25">
      <c r="A408" t="s">
        <v>43</v>
      </c>
      <c r="B408">
        <f>_xlfn.XLOOKUP(Table4[[#This Row],[country]],Table2[country],Table2[country_id],FALSE)</f>
        <v>9</v>
      </c>
      <c r="C408" t="s">
        <v>40</v>
      </c>
      <c r="D408">
        <v>2017</v>
      </c>
      <c r="E408">
        <f>_xlfn.XLOOKUP(Table4[[#This Row],[year]],Table1[year],Table1[year_id])</f>
        <v>8</v>
      </c>
      <c r="F408" t="s">
        <v>29</v>
      </c>
      <c r="G408" t="s">
        <v>28</v>
      </c>
      <c r="H408" cm="1">
        <f t="array" ref="H408">_xlfn.XLOOKUP(Table4[[#This Row],[vehicle_segment]]&amp;Table4[[#This Row],[powertrain_type]],Table3[vehicle_segment]&amp;Table3[powertrain_type],Table3[vehicle_id])</f>
        <v>2</v>
      </c>
      <c r="I408">
        <v>2375</v>
      </c>
      <c r="J408">
        <v>2087996</v>
      </c>
      <c r="K408">
        <v>284727</v>
      </c>
      <c r="L408">
        <v>2375098</v>
      </c>
      <c r="M408">
        <v>0.1</v>
      </c>
      <c r="N408">
        <v>609</v>
      </c>
      <c r="O408">
        <v>8.8000000000000007</v>
      </c>
      <c r="P408">
        <v>200</v>
      </c>
      <c r="Q408">
        <v>1.0269999999999999</v>
      </c>
      <c r="R408">
        <v>0.08</v>
      </c>
      <c r="S408">
        <v>1879</v>
      </c>
      <c r="T408">
        <v>33.700000000000003</v>
      </c>
      <c r="U408">
        <v>247.3</v>
      </c>
      <c r="V408">
        <v>1885</v>
      </c>
      <c r="W408">
        <v>31.7</v>
      </c>
      <c r="X408">
        <v>32.9</v>
      </c>
      <c r="Y408">
        <v>0</v>
      </c>
    </row>
    <row r="409" spans="1:25" x14ac:dyDescent="0.25">
      <c r="A409" t="s">
        <v>43</v>
      </c>
      <c r="B409">
        <f>_xlfn.XLOOKUP(Table4[[#This Row],[country]],Table2[country],Table2[country_id],FALSE)</f>
        <v>9</v>
      </c>
      <c r="C409" t="s">
        <v>40</v>
      </c>
      <c r="D409">
        <v>2017</v>
      </c>
      <c r="E409">
        <f>_xlfn.XLOOKUP(Table4[[#This Row],[year]],Table1[year],Table1[year_id])</f>
        <v>8</v>
      </c>
      <c r="F409" t="s">
        <v>30</v>
      </c>
      <c r="G409" t="s">
        <v>28</v>
      </c>
      <c r="H409" cm="1">
        <f t="array" ref="H409">_xlfn.XLOOKUP(Table4[[#This Row],[vehicle_segment]]&amp;Table4[[#This Row],[powertrain_type]],Table3[vehicle_segment]&amp;Table3[powertrain_type],Table3[vehicle_id])</f>
        <v>3</v>
      </c>
      <c r="I409">
        <v>1459</v>
      </c>
      <c r="J409">
        <v>924394</v>
      </c>
      <c r="K409">
        <v>80382</v>
      </c>
      <c r="L409">
        <v>1006235</v>
      </c>
      <c r="M409">
        <v>0.14000000000000001</v>
      </c>
      <c r="N409">
        <v>609</v>
      </c>
      <c r="O409">
        <v>8.8000000000000007</v>
      </c>
      <c r="P409">
        <v>200</v>
      </c>
      <c r="Q409">
        <v>1.0269999999999999</v>
      </c>
      <c r="R409">
        <v>0.08</v>
      </c>
      <c r="S409">
        <v>1879</v>
      </c>
      <c r="T409">
        <v>33.700000000000003</v>
      </c>
      <c r="U409">
        <v>247.3</v>
      </c>
      <c r="V409">
        <v>1885</v>
      </c>
      <c r="W409">
        <v>31.7</v>
      </c>
      <c r="X409">
        <v>33.36</v>
      </c>
      <c r="Y409">
        <v>0</v>
      </c>
    </row>
    <row r="410" spans="1:25" x14ac:dyDescent="0.25">
      <c r="A410" t="s">
        <v>43</v>
      </c>
      <c r="B410">
        <f>_xlfn.XLOOKUP(Table4[[#This Row],[country]],Table2[country],Table2[country_id],FALSE)</f>
        <v>9</v>
      </c>
      <c r="C410" t="s">
        <v>40</v>
      </c>
      <c r="D410">
        <v>2018</v>
      </c>
      <c r="E410">
        <f>_xlfn.XLOOKUP(Table4[[#This Row],[year]],Table1[year],Table1[year_id])</f>
        <v>9</v>
      </c>
      <c r="F410" t="s">
        <v>27</v>
      </c>
      <c r="G410" t="s">
        <v>28</v>
      </c>
      <c r="H410" cm="1">
        <f t="array" ref="H410">_xlfn.XLOOKUP(Table4[[#This Row],[vehicle_segment]]&amp;Table4[[#This Row],[powertrain_type]],Table3[vehicle_segment]&amp;Table3[powertrain_type],Table3[vehicle_id])</f>
        <v>1</v>
      </c>
      <c r="I410">
        <v>242</v>
      </c>
      <c r="J410">
        <v>345233</v>
      </c>
      <c r="K410">
        <v>230155</v>
      </c>
      <c r="L410">
        <v>575630</v>
      </c>
      <c r="M410">
        <v>0.04</v>
      </c>
      <c r="N410">
        <v>821</v>
      </c>
      <c r="O410">
        <v>10.199999999999999</v>
      </c>
      <c r="P410">
        <v>247</v>
      </c>
      <c r="Q410">
        <v>1.0629999999999999</v>
      </c>
      <c r="R410">
        <v>0.08</v>
      </c>
      <c r="S410">
        <v>2026</v>
      </c>
      <c r="T410">
        <v>34.1</v>
      </c>
      <c r="U410">
        <v>259.2</v>
      </c>
      <c r="V410">
        <v>1964</v>
      </c>
      <c r="W410">
        <v>32</v>
      </c>
      <c r="X410">
        <v>13.62</v>
      </c>
      <c r="Y410">
        <v>0</v>
      </c>
    </row>
    <row r="411" spans="1:25" x14ac:dyDescent="0.25">
      <c r="A411" t="s">
        <v>43</v>
      </c>
      <c r="B411">
        <f>_xlfn.XLOOKUP(Table4[[#This Row],[country]],Table2[country],Table2[country_id],FALSE)</f>
        <v>9</v>
      </c>
      <c r="C411" t="s">
        <v>40</v>
      </c>
      <c r="D411">
        <v>2018</v>
      </c>
      <c r="E411">
        <f>_xlfn.XLOOKUP(Table4[[#This Row],[year]],Table1[year],Table1[year_id])</f>
        <v>9</v>
      </c>
      <c r="F411" t="s">
        <v>29</v>
      </c>
      <c r="G411" t="s">
        <v>28</v>
      </c>
      <c r="H411" cm="1">
        <f t="array" ref="H411">_xlfn.XLOOKUP(Table4[[#This Row],[vehicle_segment]]&amp;Table4[[#This Row],[powertrain_type]],Table3[vehicle_segment]&amp;Table3[powertrain_type],Table3[vehicle_id])</f>
        <v>2</v>
      </c>
      <c r="I411">
        <v>2747</v>
      </c>
      <c r="J411">
        <v>2011743</v>
      </c>
      <c r="K411">
        <v>274329</v>
      </c>
      <c r="L411">
        <v>2288819</v>
      </c>
      <c r="M411">
        <v>0.12</v>
      </c>
      <c r="N411">
        <v>821</v>
      </c>
      <c r="O411">
        <v>10.199999999999999</v>
      </c>
      <c r="P411">
        <v>247</v>
      </c>
      <c r="Q411">
        <v>1.0629999999999999</v>
      </c>
      <c r="R411">
        <v>0.08</v>
      </c>
      <c r="S411">
        <v>2026</v>
      </c>
      <c r="T411">
        <v>34.1</v>
      </c>
      <c r="U411">
        <v>259.2</v>
      </c>
      <c r="V411">
        <v>1964</v>
      </c>
      <c r="W411">
        <v>32</v>
      </c>
      <c r="X411">
        <v>15.66</v>
      </c>
      <c r="Y411">
        <v>0</v>
      </c>
    </row>
    <row r="412" spans="1:25" x14ac:dyDescent="0.25">
      <c r="A412" t="s">
        <v>43</v>
      </c>
      <c r="B412">
        <f>_xlfn.XLOOKUP(Table4[[#This Row],[country]],Table2[country],Table2[country_id],FALSE)</f>
        <v>9</v>
      </c>
      <c r="C412" t="s">
        <v>40</v>
      </c>
      <c r="D412">
        <v>2018</v>
      </c>
      <c r="E412">
        <f>_xlfn.XLOOKUP(Table4[[#This Row],[year]],Table1[year],Table1[year_id])</f>
        <v>9</v>
      </c>
      <c r="F412" t="s">
        <v>30</v>
      </c>
      <c r="G412" t="s">
        <v>28</v>
      </c>
      <c r="H412" cm="1">
        <f t="array" ref="H412">_xlfn.XLOOKUP(Table4[[#This Row],[vehicle_segment]]&amp;Table4[[#This Row],[powertrain_type]],Table3[vehicle_segment]&amp;Table3[powertrain_type],Table3[vehicle_id])</f>
        <v>3</v>
      </c>
      <c r="I412">
        <v>1682</v>
      </c>
      <c r="J412">
        <v>887985</v>
      </c>
      <c r="K412">
        <v>77216</v>
      </c>
      <c r="L412">
        <v>966883</v>
      </c>
      <c r="M412">
        <v>0.17</v>
      </c>
      <c r="N412">
        <v>821</v>
      </c>
      <c r="O412">
        <v>10.199999999999999</v>
      </c>
      <c r="P412">
        <v>247</v>
      </c>
      <c r="Q412">
        <v>1.0629999999999999</v>
      </c>
      <c r="R412">
        <v>0.08</v>
      </c>
      <c r="S412">
        <v>2026</v>
      </c>
      <c r="T412">
        <v>34.1</v>
      </c>
      <c r="U412">
        <v>259.2</v>
      </c>
      <c r="V412">
        <v>1964</v>
      </c>
      <c r="W412">
        <v>32</v>
      </c>
      <c r="X412">
        <v>15.28</v>
      </c>
      <c r="Y412">
        <v>0</v>
      </c>
    </row>
    <row r="413" spans="1:25" x14ac:dyDescent="0.25">
      <c r="A413" t="s">
        <v>43</v>
      </c>
      <c r="B413">
        <f>_xlfn.XLOOKUP(Table4[[#This Row],[country]],Table2[country],Table2[country_id],FALSE)</f>
        <v>9</v>
      </c>
      <c r="C413" t="s">
        <v>40</v>
      </c>
      <c r="D413">
        <v>2019</v>
      </c>
      <c r="E413">
        <f>_xlfn.XLOOKUP(Table4[[#This Row],[year]],Table1[year],Table1[year_id])</f>
        <v>10</v>
      </c>
      <c r="F413" t="s">
        <v>27</v>
      </c>
      <c r="G413" t="s">
        <v>28</v>
      </c>
      <c r="H413" cm="1">
        <f t="array" ref="H413">_xlfn.XLOOKUP(Table4[[#This Row],[vehicle_segment]]&amp;Table4[[#This Row],[powertrain_type]],Table3[vehicle_segment]&amp;Table3[powertrain_type],Table3[vehicle_id])</f>
        <v>1</v>
      </c>
      <c r="I413">
        <v>322</v>
      </c>
      <c r="J413">
        <v>345277</v>
      </c>
      <c r="K413">
        <v>230184</v>
      </c>
      <c r="L413">
        <v>575783</v>
      </c>
      <c r="M413">
        <v>0.06</v>
      </c>
      <c r="N413">
        <v>1426</v>
      </c>
      <c r="O413">
        <v>13.1</v>
      </c>
      <c r="P413">
        <v>272</v>
      </c>
      <c r="Q413">
        <v>1.087</v>
      </c>
      <c r="R413">
        <v>0.08</v>
      </c>
      <c r="S413">
        <v>2090</v>
      </c>
      <c r="T413">
        <v>34.4</v>
      </c>
      <c r="U413">
        <v>250.1</v>
      </c>
      <c r="V413">
        <v>2001</v>
      </c>
      <c r="W413">
        <v>37.299999999999997</v>
      </c>
      <c r="X413">
        <v>33.06</v>
      </c>
      <c r="Y413">
        <v>0</v>
      </c>
    </row>
    <row r="414" spans="1:25" x14ac:dyDescent="0.25">
      <c r="A414" t="s">
        <v>43</v>
      </c>
      <c r="B414">
        <f>_xlfn.XLOOKUP(Table4[[#This Row],[country]],Table2[country],Table2[country_id],FALSE)</f>
        <v>9</v>
      </c>
      <c r="C414" t="s">
        <v>40</v>
      </c>
      <c r="D414">
        <v>2019</v>
      </c>
      <c r="E414">
        <f>_xlfn.XLOOKUP(Table4[[#This Row],[year]],Table1[year],Table1[year_id])</f>
        <v>10</v>
      </c>
      <c r="F414" t="s">
        <v>29</v>
      </c>
      <c r="G414" t="s">
        <v>28</v>
      </c>
      <c r="H414" cm="1">
        <f t="array" ref="H414">_xlfn.XLOOKUP(Table4[[#This Row],[vehicle_segment]]&amp;Table4[[#This Row],[powertrain_type]],Table3[vehicle_segment]&amp;Table3[powertrain_type],Table3[vehicle_id])</f>
        <v>2</v>
      </c>
      <c r="I414">
        <v>3668</v>
      </c>
      <c r="J414">
        <v>2014429</v>
      </c>
      <c r="K414">
        <v>274695</v>
      </c>
      <c r="L414">
        <v>2292792</v>
      </c>
      <c r="M414">
        <v>0.16</v>
      </c>
      <c r="N414">
        <v>1426</v>
      </c>
      <c r="O414">
        <v>13.1</v>
      </c>
      <c r="P414">
        <v>272</v>
      </c>
      <c r="Q414">
        <v>1.087</v>
      </c>
      <c r="R414">
        <v>0.08</v>
      </c>
      <c r="S414">
        <v>2090</v>
      </c>
      <c r="T414">
        <v>34.4</v>
      </c>
      <c r="U414">
        <v>250.1</v>
      </c>
      <c r="V414">
        <v>2001</v>
      </c>
      <c r="W414">
        <v>37.299999999999997</v>
      </c>
      <c r="X414">
        <v>33.53</v>
      </c>
      <c r="Y414">
        <v>0</v>
      </c>
    </row>
    <row r="415" spans="1:25" x14ac:dyDescent="0.25">
      <c r="A415" t="s">
        <v>43</v>
      </c>
      <c r="B415">
        <f>_xlfn.XLOOKUP(Table4[[#This Row],[country]],Table2[country],Table2[country_id],FALSE)</f>
        <v>9</v>
      </c>
      <c r="C415" t="s">
        <v>40</v>
      </c>
      <c r="D415">
        <v>2019</v>
      </c>
      <c r="E415">
        <f>_xlfn.XLOOKUP(Table4[[#This Row],[year]],Table1[year],Table1[year_id])</f>
        <v>10</v>
      </c>
      <c r="F415" t="s">
        <v>30</v>
      </c>
      <c r="G415" t="s">
        <v>28</v>
      </c>
      <c r="H415" cm="1">
        <f t="array" ref="H415">_xlfn.XLOOKUP(Table4[[#This Row],[vehicle_segment]]&amp;Table4[[#This Row],[powertrain_type]],Table3[vehicle_segment]&amp;Table3[powertrain_type],Table3[vehicle_id])</f>
        <v>3</v>
      </c>
      <c r="I415">
        <v>2232</v>
      </c>
      <c r="J415">
        <v>882956</v>
      </c>
      <c r="K415">
        <v>76779</v>
      </c>
      <c r="L415">
        <v>961967</v>
      </c>
      <c r="M415">
        <v>0.23</v>
      </c>
      <c r="N415">
        <v>1426</v>
      </c>
      <c r="O415">
        <v>13.1</v>
      </c>
      <c r="P415">
        <v>272</v>
      </c>
      <c r="Q415">
        <v>1.087</v>
      </c>
      <c r="R415">
        <v>0.08</v>
      </c>
      <c r="S415">
        <v>2090</v>
      </c>
      <c r="T415">
        <v>34.4</v>
      </c>
      <c r="U415">
        <v>250.1</v>
      </c>
      <c r="V415">
        <v>2001</v>
      </c>
      <c r="W415">
        <v>37.299999999999997</v>
      </c>
      <c r="X415">
        <v>32.700000000000003</v>
      </c>
      <c r="Y415">
        <v>0</v>
      </c>
    </row>
    <row r="416" spans="1:25" x14ac:dyDescent="0.25">
      <c r="A416" t="s">
        <v>43</v>
      </c>
      <c r="B416">
        <f>_xlfn.XLOOKUP(Table4[[#This Row],[country]],Table2[country],Table2[country_id],FALSE)</f>
        <v>9</v>
      </c>
      <c r="C416" t="s">
        <v>40</v>
      </c>
      <c r="D416">
        <v>2020</v>
      </c>
      <c r="E416">
        <f>_xlfn.XLOOKUP(Table4[[#This Row],[year]],Table1[year],Table1[year_id])</f>
        <v>11</v>
      </c>
      <c r="F416" t="s">
        <v>27</v>
      </c>
      <c r="G416" t="s">
        <v>28</v>
      </c>
      <c r="H416" cm="1">
        <f t="array" ref="H416">_xlfn.XLOOKUP(Table4[[#This Row],[vehicle_segment]]&amp;Table4[[#This Row],[powertrain_type]],Table3[vehicle_segment]&amp;Table3[powertrain_type],Table3[vehicle_id])</f>
        <v>1</v>
      </c>
      <c r="I416">
        <v>250</v>
      </c>
      <c r="J416">
        <v>267685</v>
      </c>
      <c r="K416">
        <v>178457</v>
      </c>
      <c r="L416">
        <v>446392</v>
      </c>
      <c r="M416">
        <v>0.06</v>
      </c>
      <c r="N416">
        <v>1987</v>
      </c>
      <c r="O416">
        <v>14.4</v>
      </c>
      <c r="P416">
        <v>320</v>
      </c>
      <c r="Q416">
        <v>1.1299999999999999</v>
      </c>
      <c r="R416">
        <v>8.1000000000000003E-2</v>
      </c>
      <c r="S416">
        <v>2215</v>
      </c>
      <c r="T416">
        <v>34.9</v>
      </c>
      <c r="U416">
        <v>250.7</v>
      </c>
      <c r="V416">
        <v>2139</v>
      </c>
      <c r="W416">
        <v>40.9</v>
      </c>
      <c r="X416">
        <v>-22.36</v>
      </c>
      <c r="Y416">
        <v>0</v>
      </c>
    </row>
    <row r="417" spans="1:25" x14ac:dyDescent="0.25">
      <c r="A417" t="s">
        <v>43</v>
      </c>
      <c r="B417">
        <f>_xlfn.XLOOKUP(Table4[[#This Row],[country]],Table2[country],Table2[country_id],FALSE)</f>
        <v>9</v>
      </c>
      <c r="C417" t="s">
        <v>40</v>
      </c>
      <c r="D417">
        <v>2020</v>
      </c>
      <c r="E417">
        <f>_xlfn.XLOOKUP(Table4[[#This Row],[year]],Table1[year],Table1[year_id])</f>
        <v>11</v>
      </c>
      <c r="F417" t="s">
        <v>29</v>
      </c>
      <c r="G417" t="s">
        <v>28</v>
      </c>
      <c r="H417" cm="1">
        <f t="array" ref="H417">_xlfn.XLOOKUP(Table4[[#This Row],[vehicle_segment]]&amp;Table4[[#This Row],[powertrain_type]],Table3[vehicle_segment]&amp;Table3[powertrain_type],Table3[vehicle_id])</f>
        <v>2</v>
      </c>
      <c r="I417">
        <v>2876</v>
      </c>
      <c r="J417">
        <v>1579281</v>
      </c>
      <c r="K417">
        <v>215357</v>
      </c>
      <c r="L417">
        <v>1797514</v>
      </c>
      <c r="M417">
        <v>0.16</v>
      </c>
      <c r="N417">
        <v>1987</v>
      </c>
      <c r="O417">
        <v>14.4</v>
      </c>
      <c r="P417">
        <v>320</v>
      </c>
      <c r="Q417">
        <v>1.1299999999999999</v>
      </c>
      <c r="R417">
        <v>8.1000000000000003E-2</v>
      </c>
      <c r="S417">
        <v>2215</v>
      </c>
      <c r="T417">
        <v>34.9</v>
      </c>
      <c r="U417">
        <v>250.7</v>
      </c>
      <c r="V417">
        <v>2139</v>
      </c>
      <c r="W417">
        <v>40.9</v>
      </c>
      <c r="X417">
        <v>-21.59</v>
      </c>
      <c r="Y417">
        <v>0</v>
      </c>
    </row>
    <row r="418" spans="1:25" x14ac:dyDescent="0.25">
      <c r="A418" t="s">
        <v>43</v>
      </c>
      <c r="B418">
        <f>_xlfn.XLOOKUP(Table4[[#This Row],[country]],Table2[country],Table2[country_id],FALSE)</f>
        <v>9</v>
      </c>
      <c r="C418" t="s">
        <v>40</v>
      </c>
      <c r="D418">
        <v>2020</v>
      </c>
      <c r="E418">
        <f>_xlfn.XLOOKUP(Table4[[#This Row],[year]],Table1[year],Table1[year_id])</f>
        <v>11</v>
      </c>
      <c r="F418" t="s">
        <v>30</v>
      </c>
      <c r="G418" t="s">
        <v>28</v>
      </c>
      <c r="H418" cm="1">
        <f t="array" ref="H418">_xlfn.XLOOKUP(Table4[[#This Row],[vehicle_segment]]&amp;Table4[[#This Row],[powertrain_type]],Table3[vehicle_segment]&amp;Table3[powertrain_type],Table3[vehicle_id])</f>
        <v>3</v>
      </c>
      <c r="I418">
        <v>1739</v>
      </c>
      <c r="J418">
        <v>688019</v>
      </c>
      <c r="K418">
        <v>59828</v>
      </c>
      <c r="L418">
        <v>749586</v>
      </c>
      <c r="M418">
        <v>0.23</v>
      </c>
      <c r="N418">
        <v>1987</v>
      </c>
      <c r="O418">
        <v>14.4</v>
      </c>
      <c r="P418">
        <v>320</v>
      </c>
      <c r="Q418">
        <v>1.1299999999999999</v>
      </c>
      <c r="R418">
        <v>8.1000000000000003E-2</v>
      </c>
      <c r="S418">
        <v>2215</v>
      </c>
      <c r="T418">
        <v>34.9</v>
      </c>
      <c r="U418">
        <v>250.7</v>
      </c>
      <c r="V418">
        <v>2139</v>
      </c>
      <c r="W418">
        <v>40.9</v>
      </c>
      <c r="X418">
        <v>-22.09</v>
      </c>
      <c r="Y418">
        <v>0</v>
      </c>
    </row>
    <row r="419" spans="1:25" x14ac:dyDescent="0.25">
      <c r="A419" t="s">
        <v>43</v>
      </c>
      <c r="B419">
        <f>_xlfn.XLOOKUP(Table4[[#This Row],[country]],Table2[country],Table2[country_id],FALSE)</f>
        <v>9</v>
      </c>
      <c r="C419" t="s">
        <v>40</v>
      </c>
      <c r="D419">
        <v>2021</v>
      </c>
      <c r="E419">
        <f>_xlfn.XLOOKUP(Table4[[#This Row],[year]],Table1[year],Table1[year_id])</f>
        <v>12</v>
      </c>
      <c r="F419" t="s">
        <v>27</v>
      </c>
      <c r="G419" t="s">
        <v>28</v>
      </c>
      <c r="H419" cm="1">
        <f t="array" ref="H419">_xlfn.XLOOKUP(Table4[[#This Row],[vehicle_segment]]&amp;Table4[[#This Row],[powertrain_type]],Table3[vehicle_segment]&amp;Table3[powertrain_type],Table3[vehicle_id])</f>
        <v>1</v>
      </c>
      <c r="I419">
        <v>763</v>
      </c>
      <c r="J419">
        <v>334820</v>
      </c>
      <c r="K419">
        <v>223214</v>
      </c>
      <c r="L419">
        <v>558797</v>
      </c>
      <c r="M419">
        <v>0.14000000000000001</v>
      </c>
      <c r="N419">
        <v>2820</v>
      </c>
      <c r="O419">
        <v>17.100000000000001</v>
      </c>
      <c r="P419">
        <v>339</v>
      </c>
      <c r="Q419">
        <v>1.1930000000000001</v>
      </c>
      <c r="R419">
        <v>8.1000000000000003E-2</v>
      </c>
      <c r="S419">
        <v>2292</v>
      </c>
      <c r="T419">
        <v>35.200000000000003</v>
      </c>
      <c r="U419">
        <v>253.2</v>
      </c>
      <c r="V419">
        <v>2376</v>
      </c>
      <c r="W419">
        <v>43.2</v>
      </c>
      <c r="X419">
        <v>205.2</v>
      </c>
      <c r="Y419">
        <v>0</v>
      </c>
    </row>
    <row r="420" spans="1:25" x14ac:dyDescent="0.25">
      <c r="A420" t="s">
        <v>43</v>
      </c>
      <c r="B420">
        <f>_xlfn.XLOOKUP(Table4[[#This Row],[country]],Table2[country],Table2[country_id],FALSE)</f>
        <v>9</v>
      </c>
      <c r="C420" t="s">
        <v>40</v>
      </c>
      <c r="D420">
        <v>2021</v>
      </c>
      <c r="E420">
        <f>_xlfn.XLOOKUP(Table4[[#This Row],[year]],Table1[year],Table1[year_id])</f>
        <v>12</v>
      </c>
      <c r="F420" t="s">
        <v>29</v>
      </c>
      <c r="G420" t="s">
        <v>28</v>
      </c>
      <c r="H420" cm="1">
        <f t="array" ref="H420">_xlfn.XLOOKUP(Table4[[#This Row],[vehicle_segment]]&amp;Table4[[#This Row],[powertrain_type]],Table3[vehicle_segment]&amp;Table3[powertrain_type],Table3[vehicle_id])</f>
        <v>2</v>
      </c>
      <c r="I420">
        <v>8716</v>
      </c>
      <c r="J420">
        <v>1959067</v>
      </c>
      <c r="K420">
        <v>267145</v>
      </c>
      <c r="L420">
        <v>2234928</v>
      </c>
      <c r="M420">
        <v>0.39</v>
      </c>
      <c r="N420">
        <v>2820</v>
      </c>
      <c r="O420">
        <v>17.100000000000001</v>
      </c>
      <c r="P420">
        <v>339</v>
      </c>
      <c r="Q420">
        <v>1.1930000000000001</v>
      </c>
      <c r="R420">
        <v>8.1000000000000003E-2</v>
      </c>
      <c r="S420">
        <v>2292</v>
      </c>
      <c r="T420">
        <v>35.200000000000003</v>
      </c>
      <c r="U420">
        <v>253.2</v>
      </c>
      <c r="V420">
        <v>2376</v>
      </c>
      <c r="W420">
        <v>43.2</v>
      </c>
      <c r="X420">
        <v>203.06</v>
      </c>
      <c r="Y420">
        <v>0</v>
      </c>
    </row>
    <row r="421" spans="1:25" x14ac:dyDescent="0.25">
      <c r="A421" t="s">
        <v>43</v>
      </c>
      <c r="B421">
        <f>_xlfn.XLOOKUP(Table4[[#This Row],[country]],Table2[country],Table2[country_id],FALSE)</f>
        <v>9</v>
      </c>
      <c r="C421" t="s">
        <v>40</v>
      </c>
      <c r="D421">
        <v>2021</v>
      </c>
      <c r="E421">
        <f>_xlfn.XLOOKUP(Table4[[#This Row],[year]],Table1[year],Table1[year_id])</f>
        <v>12</v>
      </c>
      <c r="F421" t="s">
        <v>30</v>
      </c>
      <c r="G421" t="s">
        <v>28</v>
      </c>
      <c r="H421" cm="1">
        <f t="array" ref="H421">_xlfn.XLOOKUP(Table4[[#This Row],[vehicle_segment]]&amp;Table4[[#This Row],[powertrain_type]],Table3[vehicle_segment]&amp;Table3[powertrain_type],Table3[vehicle_id])</f>
        <v>3</v>
      </c>
      <c r="I421">
        <v>5310</v>
      </c>
      <c r="J421">
        <v>858953</v>
      </c>
      <c r="K421">
        <v>74692</v>
      </c>
      <c r="L421">
        <v>938955</v>
      </c>
      <c r="M421">
        <v>0.56999999999999995</v>
      </c>
      <c r="N421">
        <v>2820</v>
      </c>
      <c r="O421">
        <v>17.100000000000001</v>
      </c>
      <c r="P421">
        <v>339</v>
      </c>
      <c r="Q421">
        <v>1.1930000000000001</v>
      </c>
      <c r="R421">
        <v>8.1000000000000003E-2</v>
      </c>
      <c r="S421">
        <v>2292</v>
      </c>
      <c r="T421">
        <v>35.200000000000003</v>
      </c>
      <c r="U421">
        <v>253.2</v>
      </c>
      <c r="V421">
        <v>2376</v>
      </c>
      <c r="W421">
        <v>43.2</v>
      </c>
      <c r="X421">
        <v>205.35</v>
      </c>
      <c r="Y421">
        <v>0</v>
      </c>
    </row>
    <row r="422" spans="1:25" x14ac:dyDescent="0.25">
      <c r="A422" t="s">
        <v>43</v>
      </c>
      <c r="B422">
        <f>_xlfn.XLOOKUP(Table4[[#This Row],[country]],Table2[country],Table2[country_id],FALSE)</f>
        <v>9</v>
      </c>
      <c r="C422" t="s">
        <v>40</v>
      </c>
      <c r="D422">
        <v>2022</v>
      </c>
      <c r="E422">
        <f>_xlfn.XLOOKUP(Table4[[#This Row],[year]],Table1[year],Table1[year_id])</f>
        <v>13</v>
      </c>
      <c r="F422" t="s">
        <v>27</v>
      </c>
      <c r="G422" t="s">
        <v>28</v>
      </c>
      <c r="H422" cm="1">
        <f t="array" ref="H422">_xlfn.XLOOKUP(Table4[[#This Row],[vehicle_segment]]&amp;Table4[[#This Row],[powertrain_type]],Table3[vehicle_segment]&amp;Table3[powertrain_type],Table3[vehicle_id])</f>
        <v>1</v>
      </c>
      <c r="I422">
        <v>2539</v>
      </c>
      <c r="J422">
        <v>429503</v>
      </c>
      <c r="K422">
        <v>286335</v>
      </c>
      <c r="L422">
        <v>718377</v>
      </c>
      <c r="M422">
        <v>0.35</v>
      </c>
      <c r="N422">
        <v>6618</v>
      </c>
      <c r="O422">
        <v>20.100000000000001</v>
      </c>
      <c r="P422">
        <v>362</v>
      </c>
      <c r="Q422">
        <v>1.2270000000000001</v>
      </c>
      <c r="R422">
        <v>8.5000000000000006E-2</v>
      </c>
      <c r="S422">
        <v>2394</v>
      </c>
      <c r="T422">
        <v>35.6</v>
      </c>
      <c r="U422">
        <v>272.7</v>
      </c>
      <c r="V422">
        <v>2486</v>
      </c>
      <c r="W422">
        <v>47.4</v>
      </c>
      <c r="X422">
        <v>232.77</v>
      </c>
      <c r="Y422">
        <v>0</v>
      </c>
    </row>
    <row r="423" spans="1:25" x14ac:dyDescent="0.25">
      <c r="A423" t="s">
        <v>43</v>
      </c>
      <c r="B423">
        <f>_xlfn.XLOOKUP(Table4[[#This Row],[country]],Table2[country],Table2[country_id],FALSE)</f>
        <v>9</v>
      </c>
      <c r="C423" t="s">
        <v>40</v>
      </c>
      <c r="D423">
        <v>2022</v>
      </c>
      <c r="E423">
        <f>_xlfn.XLOOKUP(Table4[[#This Row],[year]],Table1[year],Table1[year_id])</f>
        <v>13</v>
      </c>
      <c r="F423" t="s">
        <v>29</v>
      </c>
      <c r="G423" t="s">
        <v>28</v>
      </c>
      <c r="H423" cm="1">
        <f t="array" ref="H423">_xlfn.XLOOKUP(Table4[[#This Row],[vehicle_segment]]&amp;Table4[[#This Row],[powertrain_type]],Table3[vehicle_segment]&amp;Table3[powertrain_type],Table3[vehicle_id])</f>
        <v>2</v>
      </c>
      <c r="I423">
        <v>29722</v>
      </c>
      <c r="J423">
        <v>2563455</v>
      </c>
      <c r="K423">
        <v>349562</v>
      </c>
      <c r="L423">
        <v>2942739</v>
      </c>
      <c r="M423">
        <v>1.01</v>
      </c>
      <c r="N423">
        <v>6618</v>
      </c>
      <c r="O423">
        <v>20.100000000000001</v>
      </c>
      <c r="P423">
        <v>362</v>
      </c>
      <c r="Q423">
        <v>1.2270000000000001</v>
      </c>
      <c r="R423">
        <v>8.5000000000000006E-2</v>
      </c>
      <c r="S423">
        <v>2394</v>
      </c>
      <c r="T423">
        <v>35.6</v>
      </c>
      <c r="U423">
        <v>272.7</v>
      </c>
      <c r="V423">
        <v>2486</v>
      </c>
      <c r="W423">
        <v>47.4</v>
      </c>
      <c r="X423">
        <v>241.01</v>
      </c>
      <c r="Y423">
        <v>0</v>
      </c>
    </row>
    <row r="424" spans="1:25" x14ac:dyDescent="0.25">
      <c r="A424" t="s">
        <v>43</v>
      </c>
      <c r="B424">
        <f>_xlfn.XLOOKUP(Table4[[#This Row],[country]],Table2[country],Table2[country_id],FALSE)</f>
        <v>9</v>
      </c>
      <c r="C424" t="s">
        <v>40</v>
      </c>
      <c r="D424">
        <v>2022</v>
      </c>
      <c r="E424">
        <f>_xlfn.XLOOKUP(Table4[[#This Row],[year]],Table1[year],Table1[year_id])</f>
        <v>13</v>
      </c>
      <c r="F424" t="s">
        <v>30</v>
      </c>
      <c r="G424" t="s">
        <v>28</v>
      </c>
      <c r="H424" cm="1">
        <f t="array" ref="H424">_xlfn.XLOOKUP(Table4[[#This Row],[vehicle_segment]]&amp;Table4[[#This Row],[powertrain_type]],Table3[vehicle_segment]&amp;Table3[powertrain_type],Table3[vehicle_id])</f>
        <v>3</v>
      </c>
      <c r="I424">
        <v>17745</v>
      </c>
      <c r="J424">
        <v>1098416</v>
      </c>
      <c r="K424">
        <v>95514</v>
      </c>
      <c r="L424">
        <v>1211675</v>
      </c>
      <c r="M424">
        <v>1.46</v>
      </c>
      <c r="N424">
        <v>6618</v>
      </c>
      <c r="O424">
        <v>20.100000000000001</v>
      </c>
      <c r="P424">
        <v>362</v>
      </c>
      <c r="Q424">
        <v>1.2270000000000001</v>
      </c>
      <c r="R424">
        <v>8.5000000000000006E-2</v>
      </c>
      <c r="S424">
        <v>2394</v>
      </c>
      <c r="T424">
        <v>35.6</v>
      </c>
      <c r="U424">
        <v>272.7</v>
      </c>
      <c r="V424">
        <v>2486</v>
      </c>
      <c r="W424">
        <v>47.4</v>
      </c>
      <c r="X424">
        <v>234.18</v>
      </c>
      <c r="Y424">
        <v>0</v>
      </c>
    </row>
    <row r="425" spans="1:25" x14ac:dyDescent="0.25">
      <c r="A425" t="s">
        <v>43</v>
      </c>
      <c r="B425">
        <f>_xlfn.XLOOKUP(Table4[[#This Row],[country]],Table2[country],Table2[country_id],FALSE)</f>
        <v>9</v>
      </c>
      <c r="C425" t="s">
        <v>40</v>
      </c>
      <c r="D425">
        <v>2023</v>
      </c>
      <c r="E425">
        <f>_xlfn.XLOOKUP(Table4[[#This Row],[year]],Table1[year],Table1[year_id])</f>
        <v>14</v>
      </c>
      <c r="F425" t="s">
        <v>27</v>
      </c>
      <c r="G425" t="s">
        <v>28</v>
      </c>
      <c r="H425" cm="1">
        <f t="array" ref="H425">_xlfn.XLOOKUP(Table4[[#This Row],[vehicle_segment]]&amp;Table4[[#This Row],[powertrain_type]],Table3[vehicle_segment]&amp;Table3[powertrain_type],Table3[vehicle_id])</f>
        <v>1</v>
      </c>
      <c r="I425">
        <v>4196</v>
      </c>
      <c r="J425">
        <v>449851</v>
      </c>
      <c r="K425">
        <v>299901</v>
      </c>
      <c r="L425">
        <v>753948</v>
      </c>
      <c r="M425">
        <v>0.56000000000000005</v>
      </c>
      <c r="N425">
        <v>12051</v>
      </c>
      <c r="O425">
        <v>23</v>
      </c>
      <c r="P425">
        <v>392</v>
      </c>
      <c r="Q425">
        <v>1.2729999999999999</v>
      </c>
      <c r="R425">
        <v>8.7999999999999995E-2</v>
      </c>
      <c r="S425">
        <v>2587</v>
      </c>
      <c r="T425">
        <v>36.1</v>
      </c>
      <c r="U425">
        <v>288.8</v>
      </c>
      <c r="V425">
        <v>2741</v>
      </c>
      <c r="W425">
        <v>51.8</v>
      </c>
      <c r="X425">
        <v>65.260000000000005</v>
      </c>
      <c r="Y425">
        <v>0</v>
      </c>
    </row>
    <row r="426" spans="1:25" x14ac:dyDescent="0.25">
      <c r="A426" t="s">
        <v>43</v>
      </c>
      <c r="B426">
        <f>_xlfn.XLOOKUP(Table4[[#This Row],[country]],Table2[country],Table2[country_id],FALSE)</f>
        <v>9</v>
      </c>
      <c r="C426" t="s">
        <v>40</v>
      </c>
      <c r="D426">
        <v>2023</v>
      </c>
      <c r="E426">
        <f>_xlfn.XLOOKUP(Table4[[#This Row],[year]],Table1[year],Table1[year_id])</f>
        <v>14</v>
      </c>
      <c r="F426" t="s">
        <v>29</v>
      </c>
      <c r="G426" t="s">
        <v>28</v>
      </c>
      <c r="H426" cm="1">
        <f t="array" ref="H426">_xlfn.XLOOKUP(Table4[[#This Row],[vehicle_segment]]&amp;Table4[[#This Row],[powertrain_type]],Table3[vehicle_segment]&amp;Table3[powertrain_type],Table3[vehicle_id])</f>
        <v>2</v>
      </c>
      <c r="I426">
        <v>48242</v>
      </c>
      <c r="J426">
        <v>2627529</v>
      </c>
      <c r="K426">
        <v>358299</v>
      </c>
      <c r="L426">
        <v>3034070</v>
      </c>
      <c r="M426">
        <v>1.59</v>
      </c>
      <c r="N426">
        <v>12051</v>
      </c>
      <c r="O426">
        <v>23</v>
      </c>
      <c r="P426">
        <v>392</v>
      </c>
      <c r="Q426">
        <v>1.2729999999999999</v>
      </c>
      <c r="R426">
        <v>8.7999999999999995E-2</v>
      </c>
      <c r="S426">
        <v>2587</v>
      </c>
      <c r="T426">
        <v>36.1</v>
      </c>
      <c r="U426">
        <v>288.8</v>
      </c>
      <c r="V426">
        <v>2741</v>
      </c>
      <c r="W426">
        <v>51.8</v>
      </c>
      <c r="X426">
        <v>62.31</v>
      </c>
      <c r="Y426">
        <v>0</v>
      </c>
    </row>
    <row r="427" spans="1:25" x14ac:dyDescent="0.25">
      <c r="A427" t="s">
        <v>43</v>
      </c>
      <c r="B427">
        <f>_xlfn.XLOOKUP(Table4[[#This Row],[country]],Table2[country],Table2[country_id],FALSE)</f>
        <v>9</v>
      </c>
      <c r="C427" t="s">
        <v>40</v>
      </c>
      <c r="D427">
        <v>2023</v>
      </c>
      <c r="E427">
        <f>_xlfn.XLOOKUP(Table4[[#This Row],[year]],Table1[year],Table1[year_id])</f>
        <v>14</v>
      </c>
      <c r="F427" t="s">
        <v>30</v>
      </c>
      <c r="G427" t="s">
        <v>28</v>
      </c>
      <c r="H427" cm="1">
        <f t="array" ref="H427">_xlfn.XLOOKUP(Table4[[#This Row],[vehicle_segment]]&amp;Table4[[#This Row],[powertrain_type]],Table3[vehicle_segment]&amp;Table3[powertrain_type],Table3[vehicle_id])</f>
        <v>3</v>
      </c>
      <c r="I427">
        <v>28669</v>
      </c>
      <c r="J427">
        <v>1117649</v>
      </c>
      <c r="K427">
        <v>97187</v>
      </c>
      <c r="L427">
        <v>1243505</v>
      </c>
      <c r="M427">
        <v>2.31</v>
      </c>
      <c r="N427">
        <v>12051</v>
      </c>
      <c r="O427">
        <v>23</v>
      </c>
      <c r="P427">
        <v>392</v>
      </c>
      <c r="Q427">
        <v>1.2729999999999999</v>
      </c>
      <c r="R427">
        <v>8.7999999999999995E-2</v>
      </c>
      <c r="S427">
        <v>2587</v>
      </c>
      <c r="T427">
        <v>36.1</v>
      </c>
      <c r="U427">
        <v>288.8</v>
      </c>
      <c r="V427">
        <v>2741</v>
      </c>
      <c r="W427">
        <v>51.8</v>
      </c>
      <c r="X427">
        <v>61.56</v>
      </c>
      <c r="Y427">
        <v>0</v>
      </c>
    </row>
    <row r="428" spans="1:25" x14ac:dyDescent="0.25">
      <c r="A428" t="s">
        <v>43</v>
      </c>
      <c r="B428">
        <f>_xlfn.XLOOKUP(Table4[[#This Row],[country]],Table2[country],Table2[country_id],FALSE)</f>
        <v>9</v>
      </c>
      <c r="C428" t="s">
        <v>40</v>
      </c>
      <c r="D428">
        <v>2024</v>
      </c>
      <c r="E428">
        <f>_xlfn.XLOOKUP(Table4[[#This Row],[year]],Table1[year],Table1[year_id])</f>
        <v>15</v>
      </c>
      <c r="F428" t="s">
        <v>27</v>
      </c>
      <c r="G428" t="s">
        <v>28</v>
      </c>
      <c r="H428" cm="1">
        <f t="array" ref="H428">_xlfn.XLOOKUP(Table4[[#This Row],[vehicle_segment]]&amp;Table4[[#This Row],[powertrain_type]],Table3[vehicle_segment]&amp;Table3[powertrain_type],Table3[vehicle_id])</f>
        <v>1</v>
      </c>
      <c r="I428">
        <v>6134</v>
      </c>
      <c r="J428">
        <v>487714</v>
      </c>
      <c r="K428">
        <v>325142</v>
      </c>
      <c r="L428">
        <v>818990</v>
      </c>
      <c r="M428">
        <v>0.75</v>
      </c>
      <c r="N428">
        <v>21023</v>
      </c>
      <c r="O428">
        <v>29</v>
      </c>
      <c r="P428">
        <v>415</v>
      </c>
      <c r="Q428">
        <v>1.2529999999999999</v>
      </c>
      <c r="R428">
        <v>0.09</v>
      </c>
      <c r="S428">
        <v>2750</v>
      </c>
      <c r="T428">
        <v>36.1</v>
      </c>
      <c r="U428">
        <v>306.2</v>
      </c>
      <c r="V428">
        <v>3015</v>
      </c>
      <c r="W428">
        <v>52.9</v>
      </c>
      <c r="X428">
        <v>46.19</v>
      </c>
      <c r="Y428">
        <v>0</v>
      </c>
    </row>
    <row r="429" spans="1:25" x14ac:dyDescent="0.25">
      <c r="A429" t="s">
        <v>43</v>
      </c>
      <c r="B429">
        <f>_xlfn.XLOOKUP(Table4[[#This Row],[country]],Table2[country],Table2[country_id],FALSE)</f>
        <v>9</v>
      </c>
      <c r="C429" t="s">
        <v>40</v>
      </c>
      <c r="D429">
        <v>2024</v>
      </c>
      <c r="E429">
        <f>_xlfn.XLOOKUP(Table4[[#This Row],[year]],Table1[year],Table1[year_id])</f>
        <v>15</v>
      </c>
      <c r="F429" t="s">
        <v>29</v>
      </c>
      <c r="G429" t="s">
        <v>28</v>
      </c>
      <c r="H429" cm="1">
        <f t="array" ref="H429">_xlfn.XLOOKUP(Table4[[#This Row],[vehicle_segment]]&amp;Table4[[#This Row],[powertrain_type]],Table3[vehicle_segment]&amp;Table3[powertrain_type],Table3[vehicle_id])</f>
        <v>2</v>
      </c>
      <c r="I429">
        <v>68707</v>
      </c>
      <c r="J429">
        <v>2764885</v>
      </c>
      <c r="K429">
        <v>377030</v>
      </c>
      <c r="L429">
        <v>3210622</v>
      </c>
      <c r="M429">
        <v>2.14</v>
      </c>
      <c r="N429">
        <v>21023</v>
      </c>
      <c r="O429">
        <v>29</v>
      </c>
      <c r="P429">
        <v>415</v>
      </c>
      <c r="Q429">
        <v>1.2529999999999999</v>
      </c>
      <c r="R429">
        <v>0.09</v>
      </c>
      <c r="S429">
        <v>2750</v>
      </c>
      <c r="T429">
        <v>36.1</v>
      </c>
      <c r="U429">
        <v>306.2</v>
      </c>
      <c r="V429">
        <v>3015</v>
      </c>
      <c r="W429">
        <v>52.9</v>
      </c>
      <c r="X429">
        <v>42.42</v>
      </c>
      <c r="Y429">
        <v>0</v>
      </c>
    </row>
    <row r="430" spans="1:25" x14ac:dyDescent="0.25">
      <c r="A430" t="s">
        <v>43</v>
      </c>
      <c r="B430">
        <f>_xlfn.XLOOKUP(Table4[[#This Row],[country]],Table2[country],Table2[country_id],FALSE)</f>
        <v>9</v>
      </c>
      <c r="C430" t="s">
        <v>40</v>
      </c>
      <c r="D430">
        <v>2024</v>
      </c>
      <c r="E430">
        <f>_xlfn.XLOOKUP(Table4[[#This Row],[year]],Table1[year],Table1[year_id])</f>
        <v>15</v>
      </c>
      <c r="F430" t="s">
        <v>30</v>
      </c>
      <c r="G430" t="s">
        <v>28</v>
      </c>
      <c r="H430" cm="1">
        <f t="array" ref="H430">_xlfn.XLOOKUP(Table4[[#This Row],[vehicle_segment]]&amp;Table4[[#This Row],[powertrain_type]],Table3[vehicle_segment]&amp;Table3[powertrain_type],Table3[vehicle_id])</f>
        <v>3</v>
      </c>
      <c r="I430">
        <v>41665</v>
      </c>
      <c r="J430">
        <v>1196976</v>
      </c>
      <c r="K430">
        <v>104085</v>
      </c>
      <c r="L430">
        <v>1342726</v>
      </c>
      <c r="M430">
        <v>3.1</v>
      </c>
      <c r="N430">
        <v>21023</v>
      </c>
      <c r="O430">
        <v>29</v>
      </c>
      <c r="P430">
        <v>415</v>
      </c>
      <c r="Q430">
        <v>1.2529999999999999</v>
      </c>
      <c r="R430">
        <v>0.09</v>
      </c>
      <c r="S430">
        <v>2750</v>
      </c>
      <c r="T430">
        <v>36.1</v>
      </c>
      <c r="U430">
        <v>306.2</v>
      </c>
      <c r="V430">
        <v>3015</v>
      </c>
      <c r="W430">
        <v>52.9</v>
      </c>
      <c r="X430">
        <v>45.33</v>
      </c>
      <c r="Y430">
        <v>0</v>
      </c>
    </row>
    <row r="431" spans="1:25" x14ac:dyDescent="0.25">
      <c r="A431" t="s">
        <v>43</v>
      </c>
      <c r="B431">
        <f>_xlfn.XLOOKUP(Table4[[#This Row],[country]],Table2[country],Table2[country_id],FALSE)</f>
        <v>9</v>
      </c>
      <c r="C431" t="s">
        <v>40</v>
      </c>
      <c r="D431">
        <v>2025</v>
      </c>
      <c r="E431">
        <f>_xlfn.XLOOKUP(Table4[[#This Row],[year]],Table1[year],Table1[year_id])</f>
        <v>16</v>
      </c>
      <c r="F431" t="s">
        <v>27</v>
      </c>
      <c r="G431" t="s">
        <v>28</v>
      </c>
      <c r="H431" cm="1">
        <f t="array" ref="H431">_xlfn.XLOOKUP(Table4[[#This Row],[vehicle_segment]]&amp;Table4[[#This Row],[powertrain_type]],Table3[vehicle_segment]&amp;Table3[powertrain_type],Table3[vehicle_id])</f>
        <v>1</v>
      </c>
      <c r="I431">
        <v>9164</v>
      </c>
      <c r="J431">
        <v>486962</v>
      </c>
      <c r="K431">
        <v>324642</v>
      </c>
      <c r="L431">
        <v>820768</v>
      </c>
      <c r="M431">
        <v>1.1200000000000001</v>
      </c>
      <c r="N431">
        <v>34475</v>
      </c>
      <c r="O431">
        <v>31.1</v>
      </c>
      <c r="P431">
        <v>436</v>
      </c>
      <c r="Q431">
        <v>1.24</v>
      </c>
      <c r="R431">
        <v>9.0999999999999998E-2</v>
      </c>
      <c r="S431">
        <v>2934</v>
      </c>
      <c r="T431">
        <v>36.5</v>
      </c>
      <c r="U431">
        <v>329</v>
      </c>
      <c r="V431">
        <v>3018</v>
      </c>
      <c r="W431">
        <v>58.3</v>
      </c>
      <c r="X431">
        <v>49.4</v>
      </c>
      <c r="Y431">
        <v>0</v>
      </c>
    </row>
    <row r="432" spans="1:25" x14ac:dyDescent="0.25">
      <c r="A432" t="s">
        <v>43</v>
      </c>
      <c r="B432">
        <f>_xlfn.XLOOKUP(Table4[[#This Row],[country]],Table2[country],Table2[country_id],FALSE)</f>
        <v>9</v>
      </c>
      <c r="C432" t="s">
        <v>40</v>
      </c>
      <c r="D432">
        <v>2025</v>
      </c>
      <c r="E432">
        <f>_xlfn.XLOOKUP(Table4[[#This Row],[year]],Table1[year],Table1[year_id])</f>
        <v>16</v>
      </c>
      <c r="F432" t="s">
        <v>29</v>
      </c>
      <c r="G432" t="s">
        <v>28</v>
      </c>
      <c r="H432" cm="1">
        <f t="array" ref="H432">_xlfn.XLOOKUP(Table4[[#This Row],[vehicle_segment]]&amp;Table4[[#This Row],[powertrain_type]],Table3[vehicle_segment]&amp;Table3[powertrain_type],Table3[vehicle_id])</f>
        <v>2</v>
      </c>
      <c r="I432">
        <v>106863</v>
      </c>
      <c r="J432">
        <v>2853916</v>
      </c>
      <c r="K432">
        <v>389170</v>
      </c>
      <c r="L432">
        <v>3349949</v>
      </c>
      <c r="M432">
        <v>3.19</v>
      </c>
      <c r="N432">
        <v>34475</v>
      </c>
      <c r="O432">
        <v>31.1</v>
      </c>
      <c r="P432">
        <v>436</v>
      </c>
      <c r="Q432">
        <v>1.24</v>
      </c>
      <c r="R432">
        <v>9.0999999999999998E-2</v>
      </c>
      <c r="S432">
        <v>2934</v>
      </c>
      <c r="T432">
        <v>36.5</v>
      </c>
      <c r="U432">
        <v>329</v>
      </c>
      <c r="V432">
        <v>3018</v>
      </c>
      <c r="W432">
        <v>58.3</v>
      </c>
      <c r="X432">
        <v>55.53</v>
      </c>
      <c r="Y432">
        <v>0</v>
      </c>
    </row>
    <row r="433" spans="1:25" x14ac:dyDescent="0.25">
      <c r="A433" t="s">
        <v>43</v>
      </c>
      <c r="B433">
        <f>_xlfn.XLOOKUP(Table4[[#This Row],[country]],Table2[country],Table2[country_id],FALSE)</f>
        <v>9</v>
      </c>
      <c r="C433" t="s">
        <v>40</v>
      </c>
      <c r="D433">
        <v>2025</v>
      </c>
      <c r="E433">
        <f>_xlfn.XLOOKUP(Table4[[#This Row],[year]],Table1[year],Table1[year_id])</f>
        <v>16</v>
      </c>
      <c r="F433" t="s">
        <v>30</v>
      </c>
      <c r="G433" t="s">
        <v>28</v>
      </c>
      <c r="H433" cm="1">
        <f t="array" ref="H433">_xlfn.XLOOKUP(Table4[[#This Row],[vehicle_segment]]&amp;Table4[[#This Row],[powertrain_type]],Table3[vehicle_segment]&amp;Table3[powertrain_type],Table3[vehicle_id])</f>
        <v>3</v>
      </c>
      <c r="I433">
        <v>65242</v>
      </c>
      <c r="J433">
        <v>1237618</v>
      </c>
      <c r="K433">
        <v>107619</v>
      </c>
      <c r="L433">
        <v>1410479</v>
      </c>
      <c r="M433">
        <v>4.63</v>
      </c>
      <c r="N433">
        <v>34475</v>
      </c>
      <c r="O433">
        <v>31.1</v>
      </c>
      <c r="P433">
        <v>436</v>
      </c>
      <c r="Q433">
        <v>1.24</v>
      </c>
      <c r="R433">
        <v>9.0999999999999998E-2</v>
      </c>
      <c r="S433">
        <v>2934</v>
      </c>
      <c r="T433">
        <v>36.5</v>
      </c>
      <c r="U433">
        <v>329</v>
      </c>
      <c r="V433">
        <v>3018</v>
      </c>
      <c r="W433">
        <v>58.3</v>
      </c>
      <c r="X433">
        <v>56.59</v>
      </c>
      <c r="Y433">
        <v>0</v>
      </c>
    </row>
    <row r="434" spans="1:25" x14ac:dyDescent="0.25">
      <c r="A434" t="s">
        <v>44</v>
      </c>
      <c r="B434">
        <f>_xlfn.XLOOKUP(Table4[[#This Row],[country]],Table2[country],Table2[country_id],FALSE)</f>
        <v>10</v>
      </c>
      <c r="C434" t="s">
        <v>40</v>
      </c>
      <c r="D434">
        <v>2010</v>
      </c>
      <c r="E434">
        <f>_xlfn.XLOOKUP(Table4[[#This Row],[year]],Table1[year],Table1[year_id])</f>
        <v>1</v>
      </c>
      <c r="F434" t="s">
        <v>27</v>
      </c>
      <c r="G434" t="s">
        <v>28</v>
      </c>
      <c r="H434" cm="1">
        <f t="array" ref="H434">_xlfn.XLOOKUP(Table4[[#This Row],[vehicle_segment]]&amp;Table4[[#This Row],[powertrain_type]],Table3[vehicle_segment]&amp;Table3[powertrain_type],Table3[vehicle_id])</f>
        <v>1</v>
      </c>
      <c r="I434">
        <v>5</v>
      </c>
      <c r="J434">
        <v>69429</v>
      </c>
      <c r="K434">
        <v>46290</v>
      </c>
      <c r="L434">
        <v>115724</v>
      </c>
      <c r="M434">
        <v>0</v>
      </c>
      <c r="N434">
        <v>0</v>
      </c>
      <c r="O434">
        <v>0</v>
      </c>
      <c r="P434">
        <v>108</v>
      </c>
      <c r="Q434">
        <v>0.4829</v>
      </c>
      <c r="R434">
        <v>6.6989999999999994E-2</v>
      </c>
      <c r="S434">
        <v>3118</v>
      </c>
      <c r="T434">
        <v>49.9</v>
      </c>
      <c r="U434">
        <v>108.3</v>
      </c>
      <c r="V434">
        <v>0</v>
      </c>
      <c r="W434">
        <v>19.484000000000002</v>
      </c>
      <c r="X434">
        <v>0</v>
      </c>
      <c r="Y434">
        <v>0</v>
      </c>
    </row>
    <row r="435" spans="1:25" x14ac:dyDescent="0.25">
      <c r="A435" t="s">
        <v>44</v>
      </c>
      <c r="B435">
        <f>_xlfn.XLOOKUP(Table4[[#This Row],[country]],Table2[country],Table2[country_id],FALSE)</f>
        <v>10</v>
      </c>
      <c r="C435" t="s">
        <v>40</v>
      </c>
      <c r="D435">
        <v>2010</v>
      </c>
      <c r="E435">
        <f>_xlfn.XLOOKUP(Table4[[#This Row],[year]],Table1[year],Table1[year_id])</f>
        <v>1</v>
      </c>
      <c r="F435" t="s">
        <v>29</v>
      </c>
      <c r="G435" t="s">
        <v>28</v>
      </c>
      <c r="H435" cm="1">
        <f t="array" ref="H435">_xlfn.XLOOKUP(Table4[[#This Row],[vehicle_segment]]&amp;Table4[[#This Row],[powertrain_type]],Table3[vehicle_segment]&amp;Table3[powertrain_type],Table3[vehicle_id])</f>
        <v>2</v>
      </c>
      <c r="I435">
        <v>15</v>
      </c>
      <c r="J435">
        <v>405830</v>
      </c>
      <c r="K435">
        <v>55343</v>
      </c>
      <c r="L435">
        <v>461188</v>
      </c>
      <c r="M435">
        <v>0</v>
      </c>
      <c r="N435">
        <v>0</v>
      </c>
      <c r="O435">
        <v>0</v>
      </c>
      <c r="P435">
        <v>108</v>
      </c>
      <c r="Q435">
        <v>0.4829</v>
      </c>
      <c r="R435">
        <v>6.6989999999999994E-2</v>
      </c>
      <c r="S435">
        <v>3118</v>
      </c>
      <c r="T435">
        <v>49.9</v>
      </c>
      <c r="U435">
        <v>108.3</v>
      </c>
      <c r="V435">
        <v>0</v>
      </c>
      <c r="W435">
        <v>19.484000000000002</v>
      </c>
      <c r="X435">
        <v>0</v>
      </c>
      <c r="Y435">
        <v>0</v>
      </c>
    </row>
    <row r="436" spans="1:25" x14ac:dyDescent="0.25">
      <c r="A436" t="s">
        <v>44</v>
      </c>
      <c r="B436">
        <f>_xlfn.XLOOKUP(Table4[[#This Row],[country]],Table2[country],Table2[country_id],FALSE)</f>
        <v>10</v>
      </c>
      <c r="C436" t="s">
        <v>40</v>
      </c>
      <c r="D436">
        <v>2010</v>
      </c>
      <c r="E436">
        <f>_xlfn.XLOOKUP(Table4[[#This Row],[year]],Table1[year],Table1[year_id])</f>
        <v>1</v>
      </c>
      <c r="F436" t="s">
        <v>30</v>
      </c>
      <c r="G436" t="s">
        <v>28</v>
      </c>
      <c r="H436" cm="1">
        <f t="array" ref="H436">_xlfn.XLOOKUP(Table4[[#This Row],[vehicle_segment]]&amp;Table4[[#This Row],[powertrain_type]],Table3[vehicle_segment]&amp;Table3[powertrain_type],Table3[vehicle_id])</f>
        <v>3</v>
      </c>
      <c r="I436">
        <v>10</v>
      </c>
      <c r="J436">
        <v>172832</v>
      </c>
      <c r="K436">
        <v>15030</v>
      </c>
      <c r="L436">
        <v>187872</v>
      </c>
      <c r="M436">
        <v>0.01</v>
      </c>
      <c r="N436">
        <v>0</v>
      </c>
      <c r="O436">
        <v>0</v>
      </c>
      <c r="P436">
        <v>108</v>
      </c>
      <c r="Q436">
        <v>0.4829</v>
      </c>
      <c r="R436">
        <v>6.6989999999999994E-2</v>
      </c>
      <c r="S436">
        <v>3118</v>
      </c>
      <c r="T436">
        <v>49.9</v>
      </c>
      <c r="U436">
        <v>108.3</v>
      </c>
      <c r="V436">
        <v>0</v>
      </c>
      <c r="W436">
        <v>19.484000000000002</v>
      </c>
      <c r="X436">
        <v>0</v>
      </c>
      <c r="Y436">
        <v>0</v>
      </c>
    </row>
    <row r="437" spans="1:25" x14ac:dyDescent="0.25">
      <c r="A437" t="s">
        <v>44</v>
      </c>
      <c r="B437">
        <f>_xlfn.XLOOKUP(Table4[[#This Row],[country]],Table2[country],Table2[country_id],FALSE)</f>
        <v>10</v>
      </c>
      <c r="C437" t="s">
        <v>40</v>
      </c>
      <c r="D437">
        <v>2011</v>
      </c>
      <c r="E437">
        <f>_xlfn.XLOOKUP(Table4[[#This Row],[year]],Table1[year],Table1[year_id])</f>
        <v>2</v>
      </c>
      <c r="F437" t="s">
        <v>27</v>
      </c>
      <c r="G437" t="s">
        <v>28</v>
      </c>
      <c r="H437" cm="1">
        <f t="array" ref="H437">_xlfn.XLOOKUP(Table4[[#This Row],[vehicle_segment]]&amp;Table4[[#This Row],[powertrain_type]],Table3[vehicle_segment]&amp;Table3[powertrain_type],Table3[vehicle_id])</f>
        <v>1</v>
      </c>
      <c r="I437">
        <v>5</v>
      </c>
      <c r="J437">
        <v>85896</v>
      </c>
      <c r="K437">
        <v>57267</v>
      </c>
      <c r="L437">
        <v>143168</v>
      </c>
      <c r="M437">
        <v>0</v>
      </c>
      <c r="N437">
        <v>6</v>
      </c>
      <c r="O437">
        <v>1</v>
      </c>
      <c r="P437">
        <v>115</v>
      </c>
      <c r="Q437">
        <v>0.4829</v>
      </c>
      <c r="R437">
        <v>6.6989999999999994E-2</v>
      </c>
      <c r="S437">
        <v>3145</v>
      </c>
      <c r="T437">
        <v>50.6</v>
      </c>
      <c r="U437">
        <v>108.6</v>
      </c>
      <c r="V437">
        <v>115</v>
      </c>
      <c r="W437">
        <v>19.484000000000002</v>
      </c>
      <c r="X437">
        <v>0</v>
      </c>
      <c r="Y437">
        <v>0</v>
      </c>
    </row>
    <row r="438" spans="1:25" x14ac:dyDescent="0.25">
      <c r="A438" t="s">
        <v>44</v>
      </c>
      <c r="B438">
        <f>_xlfn.XLOOKUP(Table4[[#This Row],[country]],Table2[country],Table2[country_id],FALSE)</f>
        <v>10</v>
      </c>
      <c r="C438" t="s">
        <v>40</v>
      </c>
      <c r="D438">
        <v>2011</v>
      </c>
      <c r="E438">
        <f>_xlfn.XLOOKUP(Table4[[#This Row],[year]],Table1[year],Table1[year_id])</f>
        <v>2</v>
      </c>
      <c r="F438" t="s">
        <v>29</v>
      </c>
      <c r="G438" t="s">
        <v>28</v>
      </c>
      <c r="H438" cm="1">
        <f t="array" ref="H438">_xlfn.XLOOKUP(Table4[[#This Row],[vehicle_segment]]&amp;Table4[[#This Row],[powertrain_type]],Table3[vehicle_segment]&amp;Table3[powertrain_type],Table3[vehicle_id])</f>
        <v>2</v>
      </c>
      <c r="I438">
        <v>15</v>
      </c>
      <c r="J438">
        <v>490700</v>
      </c>
      <c r="K438">
        <v>66916</v>
      </c>
      <c r="L438">
        <v>557631</v>
      </c>
      <c r="M438">
        <v>0</v>
      </c>
      <c r="N438">
        <v>6</v>
      </c>
      <c r="O438">
        <v>1</v>
      </c>
      <c r="P438">
        <v>115</v>
      </c>
      <c r="Q438">
        <v>0.4829</v>
      </c>
      <c r="R438">
        <v>6.6989999999999994E-2</v>
      </c>
      <c r="S438">
        <v>3145</v>
      </c>
      <c r="T438">
        <v>50.6</v>
      </c>
      <c r="U438">
        <v>108.6</v>
      </c>
      <c r="V438">
        <v>115</v>
      </c>
      <c r="W438">
        <v>19.484000000000002</v>
      </c>
      <c r="X438">
        <v>0</v>
      </c>
      <c r="Y438">
        <v>0</v>
      </c>
    </row>
    <row r="439" spans="1:25" x14ac:dyDescent="0.25">
      <c r="A439" t="s">
        <v>44</v>
      </c>
      <c r="B439">
        <f>_xlfn.XLOOKUP(Table4[[#This Row],[country]],Table2[country],Table2[country_id],FALSE)</f>
        <v>10</v>
      </c>
      <c r="C439" t="s">
        <v>40</v>
      </c>
      <c r="D439">
        <v>2011</v>
      </c>
      <c r="E439">
        <f>_xlfn.XLOOKUP(Table4[[#This Row],[year]],Table1[year],Table1[year_id])</f>
        <v>2</v>
      </c>
      <c r="F439" t="s">
        <v>30</v>
      </c>
      <c r="G439" t="s">
        <v>28</v>
      </c>
      <c r="H439" cm="1">
        <f t="array" ref="H439">_xlfn.XLOOKUP(Table4[[#This Row],[vehicle_segment]]&amp;Table4[[#This Row],[powertrain_type]],Table3[vehicle_segment]&amp;Table3[powertrain_type],Table3[vehicle_id])</f>
        <v>3</v>
      </c>
      <c r="I439">
        <v>10</v>
      </c>
      <c r="J439">
        <v>215999</v>
      </c>
      <c r="K439">
        <v>18783</v>
      </c>
      <c r="L439">
        <v>234792</v>
      </c>
      <c r="M439">
        <v>0</v>
      </c>
      <c r="N439">
        <v>6</v>
      </c>
      <c r="O439">
        <v>1</v>
      </c>
      <c r="P439">
        <v>115</v>
      </c>
      <c r="Q439">
        <v>0.4829</v>
      </c>
      <c r="R439">
        <v>6.6989999999999994E-2</v>
      </c>
      <c r="S439">
        <v>3145</v>
      </c>
      <c r="T439">
        <v>50.6</v>
      </c>
      <c r="U439">
        <v>108.6</v>
      </c>
      <c r="V439">
        <v>115</v>
      </c>
      <c r="W439">
        <v>19.484000000000002</v>
      </c>
      <c r="X439">
        <v>0</v>
      </c>
      <c r="Y439">
        <v>0</v>
      </c>
    </row>
    <row r="440" spans="1:25" x14ac:dyDescent="0.25">
      <c r="A440" t="s">
        <v>44</v>
      </c>
      <c r="B440">
        <f>_xlfn.XLOOKUP(Table4[[#This Row],[country]],Table2[country],Table2[country_id],FALSE)</f>
        <v>10</v>
      </c>
      <c r="C440" t="s">
        <v>40</v>
      </c>
      <c r="D440">
        <v>2012</v>
      </c>
      <c r="E440">
        <f>_xlfn.XLOOKUP(Table4[[#This Row],[year]],Table1[year],Table1[year_id])</f>
        <v>3</v>
      </c>
      <c r="F440" t="s">
        <v>27</v>
      </c>
      <c r="G440" t="s">
        <v>28</v>
      </c>
      <c r="H440" cm="1">
        <f t="array" ref="H440">_xlfn.XLOOKUP(Table4[[#This Row],[vehicle_segment]]&amp;Table4[[#This Row],[powertrain_type]],Table3[vehicle_segment]&amp;Table3[powertrain_type],Table3[vehicle_id])</f>
        <v>1</v>
      </c>
      <c r="I440">
        <v>5</v>
      </c>
      <c r="J440">
        <v>97296</v>
      </c>
      <c r="K440">
        <v>64868</v>
      </c>
      <c r="L440">
        <v>162169</v>
      </c>
      <c r="M440">
        <v>0</v>
      </c>
      <c r="N440">
        <v>12</v>
      </c>
      <c r="O440">
        <v>2</v>
      </c>
      <c r="P440">
        <v>129</v>
      </c>
      <c r="Q440">
        <v>0.4829</v>
      </c>
      <c r="R440">
        <v>6.6989999999999994E-2</v>
      </c>
      <c r="S440">
        <v>3110</v>
      </c>
      <c r="T440">
        <v>51.4</v>
      </c>
      <c r="U440">
        <v>111.9</v>
      </c>
      <c r="V440">
        <v>234</v>
      </c>
      <c r="W440">
        <v>19.484000000000002</v>
      </c>
      <c r="X440">
        <v>0</v>
      </c>
      <c r="Y440">
        <v>0</v>
      </c>
    </row>
    <row r="441" spans="1:25" x14ac:dyDescent="0.25">
      <c r="A441" t="s">
        <v>44</v>
      </c>
      <c r="B441">
        <f>_xlfn.XLOOKUP(Table4[[#This Row],[country]],Table2[country],Table2[country_id],FALSE)</f>
        <v>10</v>
      </c>
      <c r="C441" t="s">
        <v>40</v>
      </c>
      <c r="D441">
        <v>2012</v>
      </c>
      <c r="E441">
        <f>_xlfn.XLOOKUP(Table4[[#This Row],[year]],Table1[year],Table1[year_id])</f>
        <v>3</v>
      </c>
      <c r="F441" t="s">
        <v>29</v>
      </c>
      <c r="G441" t="s">
        <v>28</v>
      </c>
      <c r="H441" cm="1">
        <f t="array" ref="H441">_xlfn.XLOOKUP(Table4[[#This Row],[vehicle_segment]]&amp;Table4[[#This Row],[powertrain_type]],Table3[vehicle_segment]&amp;Table3[powertrain_type],Table3[vehicle_id])</f>
        <v>2</v>
      </c>
      <c r="I441">
        <v>15</v>
      </c>
      <c r="J441">
        <v>577142</v>
      </c>
      <c r="K441">
        <v>78703</v>
      </c>
      <c r="L441">
        <v>655860</v>
      </c>
      <c r="M441">
        <v>0</v>
      </c>
      <c r="N441">
        <v>12</v>
      </c>
      <c r="O441">
        <v>2</v>
      </c>
      <c r="P441">
        <v>129</v>
      </c>
      <c r="Q441">
        <v>0.4829</v>
      </c>
      <c r="R441">
        <v>6.6989999999999994E-2</v>
      </c>
      <c r="S441">
        <v>3110</v>
      </c>
      <c r="T441">
        <v>51.4</v>
      </c>
      <c r="U441">
        <v>111.9</v>
      </c>
      <c r="V441">
        <v>234</v>
      </c>
      <c r="W441">
        <v>19.484000000000002</v>
      </c>
      <c r="X441">
        <v>0</v>
      </c>
      <c r="Y441">
        <v>0</v>
      </c>
    </row>
    <row r="442" spans="1:25" x14ac:dyDescent="0.25">
      <c r="A442" t="s">
        <v>44</v>
      </c>
      <c r="B442">
        <f>_xlfn.XLOOKUP(Table4[[#This Row],[country]],Table2[country],Table2[country_id],FALSE)</f>
        <v>10</v>
      </c>
      <c r="C442" t="s">
        <v>40</v>
      </c>
      <c r="D442">
        <v>2012</v>
      </c>
      <c r="E442">
        <f>_xlfn.XLOOKUP(Table4[[#This Row],[year]],Table1[year],Table1[year_id])</f>
        <v>3</v>
      </c>
      <c r="F442" t="s">
        <v>30</v>
      </c>
      <c r="G442" t="s">
        <v>28</v>
      </c>
      <c r="H442" cm="1">
        <f t="array" ref="H442">_xlfn.XLOOKUP(Table4[[#This Row],[vehicle_segment]]&amp;Table4[[#This Row],[powertrain_type]],Table3[vehicle_segment]&amp;Table3[powertrain_type],Table3[vehicle_id])</f>
        <v>3</v>
      </c>
      <c r="I442">
        <v>10</v>
      </c>
      <c r="J442">
        <v>249628</v>
      </c>
      <c r="K442">
        <v>21708</v>
      </c>
      <c r="L442">
        <v>271346</v>
      </c>
      <c r="M442">
        <v>0</v>
      </c>
      <c r="N442">
        <v>12</v>
      </c>
      <c r="O442">
        <v>2</v>
      </c>
      <c r="P442">
        <v>129</v>
      </c>
      <c r="Q442">
        <v>0.4829</v>
      </c>
      <c r="R442">
        <v>6.6989999999999994E-2</v>
      </c>
      <c r="S442">
        <v>3110</v>
      </c>
      <c r="T442">
        <v>51.4</v>
      </c>
      <c r="U442">
        <v>111.9</v>
      </c>
      <c r="V442">
        <v>234</v>
      </c>
      <c r="W442">
        <v>19.484000000000002</v>
      </c>
      <c r="X442">
        <v>0</v>
      </c>
      <c r="Y442">
        <v>0</v>
      </c>
    </row>
    <row r="443" spans="1:25" x14ac:dyDescent="0.25">
      <c r="A443" t="s">
        <v>44</v>
      </c>
      <c r="B443">
        <f>_xlfn.XLOOKUP(Table4[[#This Row],[country]],Table2[country],Table2[country_id],FALSE)</f>
        <v>10</v>
      </c>
      <c r="C443" t="s">
        <v>40</v>
      </c>
      <c r="D443">
        <v>2013</v>
      </c>
      <c r="E443">
        <f>_xlfn.XLOOKUP(Table4[[#This Row],[year]],Table1[year],Table1[year_id])</f>
        <v>4</v>
      </c>
      <c r="F443" t="s">
        <v>27</v>
      </c>
      <c r="G443" t="s">
        <v>28</v>
      </c>
      <c r="H443" cm="1">
        <f t="array" ref="H443">_xlfn.XLOOKUP(Table4[[#This Row],[vehicle_segment]]&amp;Table4[[#This Row],[powertrain_type]],Table3[vehicle_segment]&amp;Table3[powertrain_type],Table3[vehicle_id])</f>
        <v>1</v>
      </c>
      <c r="I443">
        <v>5</v>
      </c>
      <c r="J443">
        <v>111360</v>
      </c>
      <c r="K443">
        <v>74244</v>
      </c>
      <c r="L443">
        <v>185609</v>
      </c>
      <c r="M443">
        <v>0</v>
      </c>
      <c r="N443">
        <v>18</v>
      </c>
      <c r="O443">
        <v>3.3</v>
      </c>
      <c r="P443">
        <v>138</v>
      </c>
      <c r="Q443">
        <v>0.4829</v>
      </c>
      <c r="R443">
        <v>6.6989999999999994E-2</v>
      </c>
      <c r="S443">
        <v>3285</v>
      </c>
      <c r="T443">
        <v>52</v>
      </c>
      <c r="U443">
        <v>118</v>
      </c>
      <c r="V443">
        <v>344</v>
      </c>
      <c r="W443">
        <v>19.899999999999999</v>
      </c>
      <c r="X443">
        <v>0</v>
      </c>
      <c r="Y443">
        <v>0</v>
      </c>
    </row>
    <row r="444" spans="1:25" x14ac:dyDescent="0.25">
      <c r="A444" t="s">
        <v>44</v>
      </c>
      <c r="B444">
        <f>_xlfn.XLOOKUP(Table4[[#This Row],[country]],Table2[country],Table2[country_id],FALSE)</f>
        <v>10</v>
      </c>
      <c r="C444" t="s">
        <v>40</v>
      </c>
      <c r="D444">
        <v>2013</v>
      </c>
      <c r="E444">
        <f>_xlfn.XLOOKUP(Table4[[#This Row],[year]],Table1[year],Table1[year_id])</f>
        <v>4</v>
      </c>
      <c r="F444" t="s">
        <v>29</v>
      </c>
      <c r="G444" t="s">
        <v>28</v>
      </c>
      <c r="H444" cm="1">
        <f t="array" ref="H444">_xlfn.XLOOKUP(Table4[[#This Row],[vehicle_segment]]&amp;Table4[[#This Row],[powertrain_type]],Table3[vehicle_segment]&amp;Table3[powertrain_type],Table3[vehicle_id])</f>
        <v>2</v>
      </c>
      <c r="I444">
        <v>30</v>
      </c>
      <c r="J444">
        <v>650829</v>
      </c>
      <c r="K444">
        <v>88754</v>
      </c>
      <c r="L444">
        <v>739613</v>
      </c>
      <c r="M444">
        <v>0</v>
      </c>
      <c r="N444">
        <v>18</v>
      </c>
      <c r="O444">
        <v>3.3</v>
      </c>
      <c r="P444">
        <v>138</v>
      </c>
      <c r="Q444">
        <v>0.4829</v>
      </c>
      <c r="R444">
        <v>6.6989999999999994E-2</v>
      </c>
      <c r="S444">
        <v>3285</v>
      </c>
      <c r="T444">
        <v>52</v>
      </c>
      <c r="U444">
        <v>118</v>
      </c>
      <c r="V444">
        <v>344</v>
      </c>
      <c r="W444">
        <v>19.899999999999999</v>
      </c>
      <c r="X444">
        <v>25.99</v>
      </c>
      <c r="Y444">
        <v>0</v>
      </c>
    </row>
    <row r="445" spans="1:25" x14ac:dyDescent="0.25">
      <c r="A445" t="s">
        <v>44</v>
      </c>
      <c r="B445">
        <f>_xlfn.XLOOKUP(Table4[[#This Row],[country]],Table2[country],Table2[country_id],FALSE)</f>
        <v>10</v>
      </c>
      <c r="C445" t="s">
        <v>40</v>
      </c>
      <c r="D445">
        <v>2013</v>
      </c>
      <c r="E445">
        <f>_xlfn.XLOOKUP(Table4[[#This Row],[year]],Table1[year],Table1[year_id])</f>
        <v>4</v>
      </c>
      <c r="F445" t="s">
        <v>30</v>
      </c>
      <c r="G445" t="s">
        <v>28</v>
      </c>
      <c r="H445" cm="1">
        <f t="array" ref="H445">_xlfn.XLOOKUP(Table4[[#This Row],[vehicle_segment]]&amp;Table4[[#This Row],[powertrain_type]],Table3[vehicle_segment]&amp;Table3[powertrain_type],Table3[vehicle_id])</f>
        <v>3</v>
      </c>
      <c r="I445">
        <v>17</v>
      </c>
      <c r="J445">
        <v>286154</v>
      </c>
      <c r="K445">
        <v>24884</v>
      </c>
      <c r="L445">
        <v>311055</v>
      </c>
      <c r="M445">
        <v>0.01</v>
      </c>
      <c r="N445">
        <v>18</v>
      </c>
      <c r="O445">
        <v>3.3</v>
      </c>
      <c r="P445">
        <v>138</v>
      </c>
      <c r="Q445">
        <v>0.4829</v>
      </c>
      <c r="R445">
        <v>6.6989999999999994E-2</v>
      </c>
      <c r="S445">
        <v>3285</v>
      </c>
      <c r="T445">
        <v>52</v>
      </c>
      <c r="U445">
        <v>118</v>
      </c>
      <c r="V445">
        <v>344</v>
      </c>
      <c r="W445">
        <v>19.899999999999999</v>
      </c>
      <c r="X445">
        <v>19.350000000000001</v>
      </c>
      <c r="Y445">
        <v>0</v>
      </c>
    </row>
    <row r="446" spans="1:25" x14ac:dyDescent="0.25">
      <c r="A446" t="s">
        <v>44</v>
      </c>
      <c r="B446">
        <f>_xlfn.XLOOKUP(Table4[[#This Row],[country]],Table2[country],Table2[country_id],FALSE)</f>
        <v>10</v>
      </c>
      <c r="C446" t="s">
        <v>40</v>
      </c>
      <c r="D446">
        <v>2014</v>
      </c>
      <c r="E446">
        <f>_xlfn.XLOOKUP(Table4[[#This Row],[year]],Table1[year],Table1[year_id])</f>
        <v>5</v>
      </c>
      <c r="F446" t="s">
        <v>27</v>
      </c>
      <c r="G446" t="s">
        <v>28</v>
      </c>
      <c r="H446" cm="1">
        <f t="array" ref="H446">_xlfn.XLOOKUP(Table4[[#This Row],[vehicle_segment]]&amp;Table4[[#This Row],[powertrain_type]],Table3[vehicle_segment]&amp;Table3[powertrain_type],Table3[vehicle_id])</f>
        <v>1</v>
      </c>
      <c r="I446">
        <v>6</v>
      </c>
      <c r="J446">
        <v>99575</v>
      </c>
      <c r="K446">
        <v>66384</v>
      </c>
      <c r="L446">
        <v>165965</v>
      </c>
      <c r="M446">
        <v>0</v>
      </c>
      <c r="N446">
        <v>25</v>
      </c>
      <c r="O446">
        <v>4.0999999999999996</v>
      </c>
      <c r="P446">
        <v>146</v>
      </c>
      <c r="Q446">
        <v>0.48299999999999998</v>
      </c>
      <c r="R446">
        <v>6.8000000000000005E-2</v>
      </c>
      <c r="S446">
        <v>3299</v>
      </c>
      <c r="T446">
        <v>52.6</v>
      </c>
      <c r="U446">
        <v>124.9</v>
      </c>
      <c r="V446">
        <v>455</v>
      </c>
      <c r="W446">
        <v>21</v>
      </c>
      <c r="X446">
        <v>6.27</v>
      </c>
      <c r="Y446">
        <v>0</v>
      </c>
    </row>
    <row r="447" spans="1:25" x14ac:dyDescent="0.25">
      <c r="A447" t="s">
        <v>44</v>
      </c>
      <c r="B447">
        <f>_xlfn.XLOOKUP(Table4[[#This Row],[country]],Table2[country],Table2[country_id],FALSE)</f>
        <v>10</v>
      </c>
      <c r="C447" t="s">
        <v>40</v>
      </c>
      <c r="D447">
        <v>2014</v>
      </c>
      <c r="E447">
        <f>_xlfn.XLOOKUP(Table4[[#This Row],[year]],Table1[year],Table1[year_id])</f>
        <v>5</v>
      </c>
      <c r="F447" t="s">
        <v>29</v>
      </c>
      <c r="G447" t="s">
        <v>28</v>
      </c>
      <c r="H447" cm="1">
        <f t="array" ref="H447">_xlfn.XLOOKUP(Table4[[#This Row],[vehicle_segment]]&amp;Table4[[#This Row],[powertrain_type]],Table3[vehicle_segment]&amp;Table3[powertrain_type],Table3[vehicle_id])</f>
        <v>2</v>
      </c>
      <c r="I447">
        <v>67</v>
      </c>
      <c r="J447">
        <v>589091</v>
      </c>
      <c r="K447">
        <v>80331</v>
      </c>
      <c r="L447">
        <v>669489</v>
      </c>
      <c r="M447">
        <v>0.01</v>
      </c>
      <c r="N447">
        <v>25</v>
      </c>
      <c r="O447">
        <v>4.0999999999999996</v>
      </c>
      <c r="P447">
        <v>146</v>
      </c>
      <c r="Q447">
        <v>0.48299999999999998</v>
      </c>
      <c r="R447">
        <v>6.8000000000000005E-2</v>
      </c>
      <c r="S447">
        <v>3299</v>
      </c>
      <c r="T447">
        <v>52.6</v>
      </c>
      <c r="U447">
        <v>124.9</v>
      </c>
      <c r="V447">
        <v>455</v>
      </c>
      <c r="W447">
        <v>21</v>
      </c>
      <c r="X447">
        <v>64.69</v>
      </c>
      <c r="Y447">
        <v>0</v>
      </c>
    </row>
    <row r="448" spans="1:25" x14ac:dyDescent="0.25">
      <c r="A448" t="s">
        <v>44</v>
      </c>
      <c r="B448">
        <f>_xlfn.XLOOKUP(Table4[[#This Row],[country]],Table2[country],Table2[country_id],FALSE)</f>
        <v>10</v>
      </c>
      <c r="C448" t="s">
        <v>40</v>
      </c>
      <c r="D448">
        <v>2014</v>
      </c>
      <c r="E448">
        <f>_xlfn.XLOOKUP(Table4[[#This Row],[year]],Table1[year],Table1[year_id])</f>
        <v>5</v>
      </c>
      <c r="F448" t="s">
        <v>30</v>
      </c>
      <c r="G448" t="s">
        <v>28</v>
      </c>
      <c r="H448" cm="1">
        <f t="array" ref="H448">_xlfn.XLOOKUP(Table4[[#This Row],[vehicle_segment]]&amp;Table4[[#This Row],[powertrain_type]],Table3[vehicle_segment]&amp;Table3[powertrain_type],Table3[vehicle_id])</f>
        <v>3</v>
      </c>
      <c r="I448">
        <v>41</v>
      </c>
      <c r="J448">
        <v>258400</v>
      </c>
      <c r="K448">
        <v>22470</v>
      </c>
      <c r="L448">
        <v>280911</v>
      </c>
      <c r="M448">
        <v>0.01</v>
      </c>
      <c r="N448">
        <v>25</v>
      </c>
      <c r="O448">
        <v>4.0999999999999996</v>
      </c>
      <c r="P448">
        <v>146</v>
      </c>
      <c r="Q448">
        <v>0.48299999999999998</v>
      </c>
      <c r="R448">
        <v>6.8000000000000005E-2</v>
      </c>
      <c r="S448">
        <v>3299</v>
      </c>
      <c r="T448">
        <v>52.6</v>
      </c>
      <c r="U448">
        <v>124.9</v>
      </c>
      <c r="V448">
        <v>455</v>
      </c>
      <c r="W448">
        <v>21</v>
      </c>
      <c r="X448">
        <v>60.05</v>
      </c>
      <c r="Y448">
        <v>0</v>
      </c>
    </row>
    <row r="449" spans="1:25" x14ac:dyDescent="0.25">
      <c r="A449" t="s">
        <v>44</v>
      </c>
      <c r="B449">
        <f>_xlfn.XLOOKUP(Table4[[#This Row],[country]],Table2[country],Table2[country_id],FALSE)</f>
        <v>10</v>
      </c>
      <c r="C449" t="s">
        <v>40</v>
      </c>
      <c r="D449">
        <v>2015</v>
      </c>
      <c r="E449">
        <f>_xlfn.XLOOKUP(Table4[[#This Row],[year]],Table1[year],Table1[year_id])</f>
        <v>6</v>
      </c>
      <c r="F449" t="s">
        <v>27</v>
      </c>
      <c r="G449" t="s">
        <v>28</v>
      </c>
      <c r="H449" cm="1">
        <f t="array" ref="H449">_xlfn.XLOOKUP(Table4[[#This Row],[vehicle_segment]]&amp;Table4[[#This Row],[powertrain_type]],Table3[vehicle_segment]&amp;Table3[powertrain_type],Table3[vehicle_id])</f>
        <v>1</v>
      </c>
      <c r="I449">
        <v>5</v>
      </c>
      <c r="J449">
        <v>94239</v>
      </c>
      <c r="K449">
        <v>62826</v>
      </c>
      <c r="L449">
        <v>157070</v>
      </c>
      <c r="M449">
        <v>0</v>
      </c>
      <c r="N449">
        <v>33</v>
      </c>
      <c r="O449">
        <v>4.8</v>
      </c>
      <c r="P449">
        <v>154</v>
      </c>
      <c r="Q449">
        <v>0.51300000000000001</v>
      </c>
      <c r="R449">
        <v>7.0999999999999994E-2</v>
      </c>
      <c r="S449">
        <v>3341</v>
      </c>
      <c r="T449">
        <v>53.9</v>
      </c>
      <c r="U449">
        <v>130.80000000000001</v>
      </c>
      <c r="V449">
        <v>579</v>
      </c>
      <c r="W449">
        <v>21.8</v>
      </c>
      <c r="X449">
        <v>0</v>
      </c>
      <c r="Y449">
        <v>0</v>
      </c>
    </row>
    <row r="450" spans="1:25" x14ac:dyDescent="0.25">
      <c r="A450" t="s">
        <v>44</v>
      </c>
      <c r="B450">
        <f>_xlfn.XLOOKUP(Table4[[#This Row],[country]],Table2[country],Table2[country_id],FALSE)</f>
        <v>10</v>
      </c>
      <c r="C450" t="s">
        <v>40</v>
      </c>
      <c r="D450">
        <v>2015</v>
      </c>
      <c r="E450">
        <f>_xlfn.XLOOKUP(Table4[[#This Row],[year]],Table1[year],Table1[year_id])</f>
        <v>6</v>
      </c>
      <c r="F450" t="s">
        <v>29</v>
      </c>
      <c r="G450" t="s">
        <v>28</v>
      </c>
      <c r="H450" cm="1">
        <f t="array" ref="H450">_xlfn.XLOOKUP(Table4[[#This Row],[vehicle_segment]]&amp;Table4[[#This Row],[powertrain_type]],Table3[vehicle_segment]&amp;Table3[powertrain_type],Table3[vehicle_id])</f>
        <v>2</v>
      </c>
      <c r="I450">
        <v>62</v>
      </c>
      <c r="J450">
        <v>545362</v>
      </c>
      <c r="K450">
        <v>74368</v>
      </c>
      <c r="L450">
        <v>619792</v>
      </c>
      <c r="M450">
        <v>0.01</v>
      </c>
      <c r="N450">
        <v>33</v>
      </c>
      <c r="O450">
        <v>4.8</v>
      </c>
      <c r="P450">
        <v>154</v>
      </c>
      <c r="Q450">
        <v>0.51300000000000001</v>
      </c>
      <c r="R450">
        <v>7.0999999999999994E-2</v>
      </c>
      <c r="S450">
        <v>3341</v>
      </c>
      <c r="T450">
        <v>53.9</v>
      </c>
      <c r="U450">
        <v>130.80000000000001</v>
      </c>
      <c r="V450">
        <v>579</v>
      </c>
      <c r="W450">
        <v>21.8</v>
      </c>
      <c r="X450">
        <v>60.48</v>
      </c>
      <c r="Y450">
        <v>0</v>
      </c>
    </row>
    <row r="451" spans="1:25" x14ac:dyDescent="0.25">
      <c r="A451" t="s">
        <v>44</v>
      </c>
      <c r="B451">
        <f>_xlfn.XLOOKUP(Table4[[#This Row],[country]],Table2[country],Table2[country_id],FALSE)</f>
        <v>10</v>
      </c>
      <c r="C451" t="s">
        <v>40</v>
      </c>
      <c r="D451">
        <v>2015</v>
      </c>
      <c r="E451">
        <f>_xlfn.XLOOKUP(Table4[[#This Row],[year]],Table1[year],Table1[year_id])</f>
        <v>6</v>
      </c>
      <c r="F451" t="s">
        <v>30</v>
      </c>
      <c r="G451" t="s">
        <v>28</v>
      </c>
      <c r="H451" cm="1">
        <f t="array" ref="H451">_xlfn.XLOOKUP(Table4[[#This Row],[vehicle_segment]]&amp;Table4[[#This Row],[powertrain_type]],Table3[vehicle_segment]&amp;Table3[powertrain_type],Table3[vehicle_id])</f>
        <v>3</v>
      </c>
      <c r="I451">
        <v>38</v>
      </c>
      <c r="J451">
        <v>238835</v>
      </c>
      <c r="K451">
        <v>20768</v>
      </c>
      <c r="L451">
        <v>259641</v>
      </c>
      <c r="M451">
        <v>0.01</v>
      </c>
      <c r="N451">
        <v>33</v>
      </c>
      <c r="O451">
        <v>4.8</v>
      </c>
      <c r="P451">
        <v>154</v>
      </c>
      <c r="Q451">
        <v>0.51300000000000001</v>
      </c>
      <c r="R451">
        <v>7.0999999999999994E-2</v>
      </c>
      <c r="S451">
        <v>3341</v>
      </c>
      <c r="T451">
        <v>53.9</v>
      </c>
      <c r="U451">
        <v>130.80000000000001</v>
      </c>
      <c r="V451">
        <v>579</v>
      </c>
      <c r="W451">
        <v>21.8</v>
      </c>
      <c r="X451">
        <v>56.05</v>
      </c>
      <c r="Y451">
        <v>0</v>
      </c>
    </row>
    <row r="452" spans="1:25" x14ac:dyDescent="0.25">
      <c r="A452" t="s">
        <v>44</v>
      </c>
      <c r="B452">
        <f>_xlfn.XLOOKUP(Table4[[#This Row],[country]],Table2[country],Table2[country_id],FALSE)</f>
        <v>10</v>
      </c>
      <c r="C452" t="s">
        <v>40</v>
      </c>
      <c r="D452">
        <v>2016</v>
      </c>
      <c r="E452">
        <f>_xlfn.XLOOKUP(Table4[[#This Row],[year]],Table1[year],Table1[year_id])</f>
        <v>7</v>
      </c>
      <c r="F452" t="s">
        <v>27</v>
      </c>
      <c r="G452" t="s">
        <v>28</v>
      </c>
      <c r="H452" cm="1">
        <f t="array" ref="H452">_xlfn.XLOOKUP(Table4[[#This Row],[vehicle_segment]]&amp;Table4[[#This Row],[powertrain_type]],Table3[vehicle_segment]&amp;Table3[powertrain_type],Table3[vehicle_id])</f>
        <v>1</v>
      </c>
      <c r="I452">
        <v>11</v>
      </c>
      <c r="J452">
        <v>93041</v>
      </c>
      <c r="K452">
        <v>62027</v>
      </c>
      <c r="L452">
        <v>155079</v>
      </c>
      <c r="M452">
        <v>0.01</v>
      </c>
      <c r="N452">
        <v>38</v>
      </c>
      <c r="O452">
        <v>5.9</v>
      </c>
      <c r="P452">
        <v>170</v>
      </c>
      <c r="Q452">
        <v>0.55300000000000005</v>
      </c>
      <c r="R452">
        <v>7.1999999999999995E-2</v>
      </c>
      <c r="S452">
        <v>3554</v>
      </c>
      <c r="T452">
        <v>54.3</v>
      </c>
      <c r="U452">
        <v>137.19999999999999</v>
      </c>
      <c r="V452">
        <v>686</v>
      </c>
      <c r="W452">
        <v>24.6</v>
      </c>
      <c r="X452">
        <v>30.06</v>
      </c>
      <c r="Y452">
        <v>0</v>
      </c>
    </row>
    <row r="453" spans="1:25" x14ac:dyDescent="0.25">
      <c r="A453" t="s">
        <v>44</v>
      </c>
      <c r="B453">
        <f>_xlfn.XLOOKUP(Table4[[#This Row],[country]],Table2[country],Table2[country_id],FALSE)</f>
        <v>10</v>
      </c>
      <c r="C453" t="s">
        <v>40</v>
      </c>
      <c r="D453">
        <v>2016</v>
      </c>
      <c r="E453">
        <f>_xlfn.XLOOKUP(Table4[[#This Row],[year]],Table1[year],Table1[year_id])</f>
        <v>7</v>
      </c>
      <c r="F453" t="s">
        <v>29</v>
      </c>
      <c r="G453" t="s">
        <v>28</v>
      </c>
      <c r="H453" cm="1">
        <f t="array" ref="H453">_xlfn.XLOOKUP(Table4[[#This Row],[vehicle_segment]]&amp;Table4[[#This Row],[powertrain_type]],Table3[vehicle_segment]&amp;Table3[powertrain_type],Table3[vehicle_id])</f>
        <v>2</v>
      </c>
      <c r="I453">
        <v>121</v>
      </c>
      <c r="J453">
        <v>533505</v>
      </c>
      <c r="K453">
        <v>72751</v>
      </c>
      <c r="L453">
        <v>606377</v>
      </c>
      <c r="M453">
        <v>0.02</v>
      </c>
      <c r="N453">
        <v>38</v>
      </c>
      <c r="O453">
        <v>5.9</v>
      </c>
      <c r="P453">
        <v>170</v>
      </c>
      <c r="Q453">
        <v>0.55300000000000005</v>
      </c>
      <c r="R453">
        <v>7.1999999999999995E-2</v>
      </c>
      <c r="S453">
        <v>3554</v>
      </c>
      <c r="T453">
        <v>54.3</v>
      </c>
      <c r="U453">
        <v>137.19999999999999</v>
      </c>
      <c r="V453">
        <v>686</v>
      </c>
      <c r="W453">
        <v>24.6</v>
      </c>
      <c r="X453">
        <v>59.18</v>
      </c>
      <c r="Y453">
        <v>0</v>
      </c>
    </row>
    <row r="454" spans="1:25" x14ac:dyDescent="0.25">
      <c r="A454" t="s">
        <v>44</v>
      </c>
      <c r="B454">
        <f>_xlfn.XLOOKUP(Table4[[#This Row],[country]],Table2[country],Table2[country_id],FALSE)</f>
        <v>10</v>
      </c>
      <c r="C454" t="s">
        <v>40</v>
      </c>
      <c r="D454">
        <v>2016</v>
      </c>
      <c r="E454">
        <f>_xlfn.XLOOKUP(Table4[[#This Row],[year]],Table1[year],Table1[year_id])</f>
        <v>7</v>
      </c>
      <c r="F454" t="s">
        <v>30</v>
      </c>
      <c r="G454" t="s">
        <v>28</v>
      </c>
      <c r="H454" cm="1">
        <f t="array" ref="H454">_xlfn.XLOOKUP(Table4[[#This Row],[vehicle_segment]]&amp;Table4[[#This Row],[powertrain_type]],Table3[vehicle_segment]&amp;Table3[powertrain_type],Table3[vehicle_id])</f>
        <v>3</v>
      </c>
      <c r="I454">
        <v>75</v>
      </c>
      <c r="J454">
        <v>236579</v>
      </c>
      <c r="K454">
        <v>20572</v>
      </c>
      <c r="L454">
        <v>257226</v>
      </c>
      <c r="M454">
        <v>0.03</v>
      </c>
      <c r="N454">
        <v>38</v>
      </c>
      <c r="O454">
        <v>5.9</v>
      </c>
      <c r="P454">
        <v>170</v>
      </c>
      <c r="Q454">
        <v>0.55300000000000005</v>
      </c>
      <c r="R454">
        <v>7.1999999999999995E-2</v>
      </c>
      <c r="S454">
        <v>3554</v>
      </c>
      <c r="T454">
        <v>54.3</v>
      </c>
      <c r="U454">
        <v>137.19999999999999</v>
      </c>
      <c r="V454">
        <v>686</v>
      </c>
      <c r="W454">
        <v>24.6</v>
      </c>
      <c r="X454">
        <v>64.010000000000005</v>
      </c>
      <c r="Y454">
        <v>0</v>
      </c>
    </row>
    <row r="455" spans="1:25" x14ac:dyDescent="0.25">
      <c r="A455" t="s">
        <v>44</v>
      </c>
      <c r="B455">
        <f>_xlfn.XLOOKUP(Table4[[#This Row],[country]],Table2[country],Table2[country_id],FALSE)</f>
        <v>10</v>
      </c>
      <c r="C455" t="s">
        <v>40</v>
      </c>
      <c r="D455">
        <v>2017</v>
      </c>
      <c r="E455">
        <f>_xlfn.XLOOKUP(Table4[[#This Row],[year]],Table1[year],Table1[year_id])</f>
        <v>8</v>
      </c>
      <c r="F455" t="s">
        <v>27</v>
      </c>
      <c r="G455" t="s">
        <v>28</v>
      </c>
      <c r="H455" cm="1">
        <f t="array" ref="H455">_xlfn.XLOOKUP(Table4[[#This Row],[vehicle_segment]]&amp;Table4[[#This Row],[powertrain_type]],Table3[vehicle_segment]&amp;Table3[powertrain_type],Table3[vehicle_id])</f>
        <v>1</v>
      </c>
      <c r="I455">
        <v>11</v>
      </c>
      <c r="J455">
        <v>96006</v>
      </c>
      <c r="K455">
        <v>64004</v>
      </c>
      <c r="L455">
        <v>160021</v>
      </c>
      <c r="M455">
        <v>0.01</v>
      </c>
      <c r="N455">
        <v>44</v>
      </c>
      <c r="O455">
        <v>7.4</v>
      </c>
      <c r="P455">
        <v>192</v>
      </c>
      <c r="Q455">
        <v>0.59699999999999998</v>
      </c>
      <c r="R455">
        <v>7.4999999999999997E-2</v>
      </c>
      <c r="S455">
        <v>3719</v>
      </c>
      <c r="T455">
        <v>55.2</v>
      </c>
      <c r="U455">
        <v>143.9</v>
      </c>
      <c r="V455">
        <v>797</v>
      </c>
      <c r="W455">
        <v>26.3</v>
      </c>
      <c r="X455">
        <v>22.39</v>
      </c>
      <c r="Y455">
        <v>0</v>
      </c>
    </row>
    <row r="456" spans="1:25" x14ac:dyDescent="0.25">
      <c r="A456" t="s">
        <v>44</v>
      </c>
      <c r="B456">
        <f>_xlfn.XLOOKUP(Table4[[#This Row],[country]],Table2[country],Table2[country_id],FALSE)</f>
        <v>10</v>
      </c>
      <c r="C456" t="s">
        <v>40</v>
      </c>
      <c r="D456">
        <v>2017</v>
      </c>
      <c r="E456">
        <f>_xlfn.XLOOKUP(Table4[[#This Row],[year]],Table1[year],Table1[year_id])</f>
        <v>8</v>
      </c>
      <c r="F456" t="s">
        <v>29</v>
      </c>
      <c r="G456" t="s">
        <v>28</v>
      </c>
      <c r="H456" cm="1">
        <f t="array" ref="H456">_xlfn.XLOOKUP(Table4[[#This Row],[vehicle_segment]]&amp;Table4[[#This Row],[powertrain_type]],Table3[vehicle_segment]&amp;Table3[powertrain_type],Table3[vehicle_id])</f>
        <v>2</v>
      </c>
      <c r="I456">
        <v>132</v>
      </c>
      <c r="J456">
        <v>580963</v>
      </c>
      <c r="K456">
        <v>79222</v>
      </c>
      <c r="L456">
        <v>660317</v>
      </c>
      <c r="M456">
        <v>0.02</v>
      </c>
      <c r="N456">
        <v>44</v>
      </c>
      <c r="O456">
        <v>7.4</v>
      </c>
      <c r="P456">
        <v>192</v>
      </c>
      <c r="Q456">
        <v>0.59699999999999998</v>
      </c>
      <c r="R456">
        <v>7.4999999999999997E-2</v>
      </c>
      <c r="S456">
        <v>3719</v>
      </c>
      <c r="T456">
        <v>55.2</v>
      </c>
      <c r="U456">
        <v>143.9</v>
      </c>
      <c r="V456">
        <v>797</v>
      </c>
      <c r="W456">
        <v>26.3</v>
      </c>
      <c r="X456">
        <v>9.09</v>
      </c>
      <c r="Y456">
        <v>0</v>
      </c>
    </row>
    <row r="457" spans="1:25" x14ac:dyDescent="0.25">
      <c r="A457" t="s">
        <v>44</v>
      </c>
      <c r="B457">
        <f>_xlfn.XLOOKUP(Table4[[#This Row],[country]],Table2[country],Table2[country_id],FALSE)</f>
        <v>10</v>
      </c>
      <c r="C457" t="s">
        <v>40</v>
      </c>
      <c r="D457">
        <v>2017</v>
      </c>
      <c r="E457">
        <f>_xlfn.XLOOKUP(Table4[[#This Row],[year]],Table1[year],Table1[year_id])</f>
        <v>8</v>
      </c>
      <c r="F457" t="s">
        <v>30</v>
      </c>
      <c r="G457" t="s">
        <v>28</v>
      </c>
      <c r="H457" cm="1">
        <f t="array" ref="H457">_xlfn.XLOOKUP(Table4[[#This Row],[vehicle_segment]]&amp;Table4[[#This Row],[powertrain_type]],Table3[vehicle_segment]&amp;Table3[powertrain_type],Table3[vehicle_id])</f>
        <v>3</v>
      </c>
      <c r="I457">
        <v>78</v>
      </c>
      <c r="J457">
        <v>246464</v>
      </c>
      <c r="K457">
        <v>21432</v>
      </c>
      <c r="L457">
        <v>267974</v>
      </c>
      <c r="M457">
        <v>0.03</v>
      </c>
      <c r="N457">
        <v>44</v>
      </c>
      <c r="O457">
        <v>7.4</v>
      </c>
      <c r="P457">
        <v>192</v>
      </c>
      <c r="Q457">
        <v>0.59699999999999998</v>
      </c>
      <c r="R457">
        <v>7.4999999999999997E-2</v>
      </c>
      <c r="S457">
        <v>3719</v>
      </c>
      <c r="T457">
        <v>55.2</v>
      </c>
      <c r="U457">
        <v>143.9</v>
      </c>
      <c r="V457">
        <v>797</v>
      </c>
      <c r="W457">
        <v>26.3</v>
      </c>
      <c r="X457">
        <v>23.91</v>
      </c>
      <c r="Y457">
        <v>0</v>
      </c>
    </row>
    <row r="458" spans="1:25" x14ac:dyDescent="0.25">
      <c r="A458" t="s">
        <v>44</v>
      </c>
      <c r="B458">
        <f>_xlfn.XLOOKUP(Table4[[#This Row],[country]],Table2[country],Table2[country_id],FALSE)</f>
        <v>10</v>
      </c>
      <c r="C458" t="s">
        <v>40</v>
      </c>
      <c r="D458">
        <v>2018</v>
      </c>
      <c r="E458">
        <f>_xlfn.XLOOKUP(Table4[[#This Row],[year]],Table1[year],Table1[year_id])</f>
        <v>9</v>
      </c>
      <c r="F458" t="s">
        <v>27</v>
      </c>
      <c r="G458" t="s">
        <v>28</v>
      </c>
      <c r="H458" cm="1">
        <f t="array" ref="H458">_xlfn.XLOOKUP(Table4[[#This Row],[vehicle_segment]]&amp;Table4[[#This Row],[powertrain_type]],Table3[vehicle_segment]&amp;Table3[powertrain_type],Table3[vehicle_id])</f>
        <v>1</v>
      </c>
      <c r="I458">
        <v>17</v>
      </c>
      <c r="J458">
        <v>95534</v>
      </c>
      <c r="K458">
        <v>63689</v>
      </c>
      <c r="L458">
        <v>159240</v>
      </c>
      <c r="M458">
        <v>0.01</v>
      </c>
      <c r="N458">
        <v>49</v>
      </c>
      <c r="O458">
        <v>8.6999999999999993</v>
      </c>
      <c r="P458">
        <v>239</v>
      </c>
      <c r="Q458">
        <v>0.64700000000000002</v>
      </c>
      <c r="R458">
        <v>7.4999999999999997E-2</v>
      </c>
      <c r="S458">
        <v>3880</v>
      </c>
      <c r="T458">
        <v>55.4</v>
      </c>
      <c r="U458">
        <v>150.5</v>
      </c>
      <c r="V458">
        <v>909</v>
      </c>
      <c r="W458">
        <v>26.6</v>
      </c>
      <c r="X458">
        <v>50.37</v>
      </c>
      <c r="Y458">
        <v>0</v>
      </c>
    </row>
    <row r="459" spans="1:25" x14ac:dyDescent="0.25">
      <c r="A459" t="s">
        <v>44</v>
      </c>
      <c r="B459">
        <f>_xlfn.XLOOKUP(Table4[[#This Row],[country]],Table2[country],Table2[country_id],FALSE)</f>
        <v>10</v>
      </c>
      <c r="C459" t="s">
        <v>40</v>
      </c>
      <c r="D459">
        <v>2018</v>
      </c>
      <c r="E459">
        <f>_xlfn.XLOOKUP(Table4[[#This Row],[year]],Table1[year],Table1[year_id])</f>
        <v>9</v>
      </c>
      <c r="F459" t="s">
        <v>29</v>
      </c>
      <c r="G459" t="s">
        <v>28</v>
      </c>
      <c r="H459" cm="1">
        <f t="array" ref="H459">_xlfn.XLOOKUP(Table4[[#This Row],[vehicle_segment]]&amp;Table4[[#This Row],[powertrain_type]],Table3[vehicle_segment]&amp;Table3[powertrain_type],Table3[vehicle_id])</f>
        <v>2</v>
      </c>
      <c r="I459">
        <v>194</v>
      </c>
      <c r="J459">
        <v>569055</v>
      </c>
      <c r="K459">
        <v>77598</v>
      </c>
      <c r="L459">
        <v>646847</v>
      </c>
      <c r="M459">
        <v>0.03</v>
      </c>
      <c r="N459">
        <v>49</v>
      </c>
      <c r="O459">
        <v>8.6999999999999993</v>
      </c>
      <c r="P459">
        <v>239</v>
      </c>
      <c r="Q459">
        <v>0.64700000000000002</v>
      </c>
      <c r="R459">
        <v>7.4999999999999997E-2</v>
      </c>
      <c r="S459">
        <v>3880</v>
      </c>
      <c r="T459">
        <v>55.4</v>
      </c>
      <c r="U459">
        <v>150.5</v>
      </c>
      <c r="V459">
        <v>909</v>
      </c>
      <c r="W459">
        <v>26.6</v>
      </c>
      <c r="X459">
        <v>46.97</v>
      </c>
      <c r="Y459">
        <v>0</v>
      </c>
    </row>
    <row r="460" spans="1:25" x14ac:dyDescent="0.25">
      <c r="A460" t="s">
        <v>44</v>
      </c>
      <c r="B460">
        <f>_xlfn.XLOOKUP(Table4[[#This Row],[country]],Table2[country],Table2[country_id],FALSE)</f>
        <v>10</v>
      </c>
      <c r="C460" t="s">
        <v>40</v>
      </c>
      <c r="D460">
        <v>2018</v>
      </c>
      <c r="E460">
        <f>_xlfn.XLOOKUP(Table4[[#This Row],[year]],Table1[year],Table1[year_id])</f>
        <v>9</v>
      </c>
      <c r="F460" t="s">
        <v>30</v>
      </c>
      <c r="G460" t="s">
        <v>28</v>
      </c>
      <c r="H460" cm="1">
        <f t="array" ref="H460">_xlfn.XLOOKUP(Table4[[#This Row],[vehicle_segment]]&amp;Table4[[#This Row],[powertrain_type]],Table3[vehicle_segment]&amp;Table3[powertrain_type],Table3[vehicle_id])</f>
        <v>3</v>
      </c>
      <c r="I460">
        <v>116</v>
      </c>
      <c r="J460">
        <v>245795</v>
      </c>
      <c r="K460">
        <v>21374</v>
      </c>
      <c r="L460">
        <v>267285</v>
      </c>
      <c r="M460">
        <v>0.04</v>
      </c>
      <c r="N460">
        <v>49</v>
      </c>
      <c r="O460">
        <v>8.6999999999999993</v>
      </c>
      <c r="P460">
        <v>239</v>
      </c>
      <c r="Q460">
        <v>0.64700000000000002</v>
      </c>
      <c r="R460">
        <v>7.4999999999999997E-2</v>
      </c>
      <c r="S460">
        <v>3880</v>
      </c>
      <c r="T460">
        <v>55.4</v>
      </c>
      <c r="U460">
        <v>150.5</v>
      </c>
      <c r="V460">
        <v>909</v>
      </c>
      <c r="W460">
        <v>26.6</v>
      </c>
      <c r="X460">
        <v>45.06</v>
      </c>
      <c r="Y460">
        <v>0</v>
      </c>
    </row>
    <row r="461" spans="1:25" x14ac:dyDescent="0.25">
      <c r="A461" t="s">
        <v>44</v>
      </c>
      <c r="B461">
        <f>_xlfn.XLOOKUP(Table4[[#This Row],[country]],Table2[country],Table2[country_id],FALSE)</f>
        <v>10</v>
      </c>
      <c r="C461" t="s">
        <v>40</v>
      </c>
      <c r="D461">
        <v>2019</v>
      </c>
      <c r="E461">
        <f>_xlfn.XLOOKUP(Table4[[#This Row],[year]],Table1[year],Table1[year_id])</f>
        <v>10</v>
      </c>
      <c r="F461" t="s">
        <v>27</v>
      </c>
      <c r="G461" t="s">
        <v>28</v>
      </c>
      <c r="H461" cm="1">
        <f t="array" ref="H461">_xlfn.XLOOKUP(Table4[[#This Row],[vehicle_segment]]&amp;Table4[[#This Row],[powertrain_type]],Table3[vehicle_segment]&amp;Table3[powertrain_type],Table3[vehicle_id])</f>
        <v>1</v>
      </c>
      <c r="I461">
        <v>41</v>
      </c>
      <c r="J461">
        <v>88852</v>
      </c>
      <c r="K461">
        <v>59235</v>
      </c>
      <c r="L461">
        <v>148128</v>
      </c>
      <c r="M461">
        <v>0.03</v>
      </c>
      <c r="N461">
        <v>131</v>
      </c>
      <c r="O461">
        <v>9.8000000000000007</v>
      </c>
      <c r="P461">
        <v>273</v>
      </c>
      <c r="Q461">
        <v>0.71</v>
      </c>
      <c r="R461">
        <v>7.8E-2</v>
      </c>
      <c r="S461">
        <v>4059</v>
      </c>
      <c r="T461">
        <v>56</v>
      </c>
      <c r="U461">
        <v>145.30000000000001</v>
      </c>
      <c r="V461">
        <v>1043</v>
      </c>
      <c r="W461">
        <v>30.2</v>
      </c>
      <c r="X461">
        <v>55.05</v>
      </c>
      <c r="Y461">
        <v>0</v>
      </c>
    </row>
    <row r="462" spans="1:25" x14ac:dyDescent="0.25">
      <c r="A462" t="s">
        <v>44</v>
      </c>
      <c r="B462">
        <f>_xlfn.XLOOKUP(Table4[[#This Row],[country]],Table2[country],Table2[country_id],FALSE)</f>
        <v>10</v>
      </c>
      <c r="C462" t="s">
        <v>40</v>
      </c>
      <c r="D462">
        <v>2019</v>
      </c>
      <c r="E462">
        <f>_xlfn.XLOOKUP(Table4[[#This Row],[year]],Table1[year],Table1[year_id])</f>
        <v>10</v>
      </c>
      <c r="F462" t="s">
        <v>29</v>
      </c>
      <c r="G462" t="s">
        <v>28</v>
      </c>
      <c r="H462" cm="1">
        <f t="array" ref="H462">_xlfn.XLOOKUP(Table4[[#This Row],[vehicle_segment]]&amp;Table4[[#This Row],[powertrain_type]],Table3[vehicle_segment]&amp;Table3[powertrain_type],Table3[vehicle_id])</f>
        <v>2</v>
      </c>
      <c r="I462">
        <v>468</v>
      </c>
      <c r="J462">
        <v>514464</v>
      </c>
      <c r="K462">
        <v>70154</v>
      </c>
      <c r="L462">
        <v>585086</v>
      </c>
      <c r="M462">
        <v>0.08</v>
      </c>
      <c r="N462">
        <v>131</v>
      </c>
      <c r="O462">
        <v>9.8000000000000007</v>
      </c>
      <c r="P462">
        <v>273</v>
      </c>
      <c r="Q462">
        <v>0.71</v>
      </c>
      <c r="R462">
        <v>7.8E-2</v>
      </c>
      <c r="S462">
        <v>4059</v>
      </c>
      <c r="T462">
        <v>56</v>
      </c>
      <c r="U462">
        <v>145.30000000000001</v>
      </c>
      <c r="V462">
        <v>1043</v>
      </c>
      <c r="W462">
        <v>30.2</v>
      </c>
      <c r="X462">
        <v>141.24</v>
      </c>
      <c r="Y462">
        <v>0</v>
      </c>
    </row>
    <row r="463" spans="1:25" x14ac:dyDescent="0.25">
      <c r="A463" t="s">
        <v>44</v>
      </c>
      <c r="B463">
        <f>_xlfn.XLOOKUP(Table4[[#This Row],[country]],Table2[country],Table2[country_id],FALSE)</f>
        <v>10</v>
      </c>
      <c r="C463" t="s">
        <v>40</v>
      </c>
      <c r="D463">
        <v>2019</v>
      </c>
      <c r="E463">
        <f>_xlfn.XLOOKUP(Table4[[#This Row],[year]],Table1[year],Table1[year_id])</f>
        <v>10</v>
      </c>
      <c r="F463" t="s">
        <v>30</v>
      </c>
      <c r="G463" t="s">
        <v>28</v>
      </c>
      <c r="H463" cm="1">
        <f t="array" ref="H463">_xlfn.XLOOKUP(Table4[[#This Row],[vehicle_segment]]&amp;Table4[[#This Row],[powertrain_type]],Table3[vehicle_segment]&amp;Table3[powertrain_type],Table3[vehicle_id])</f>
        <v>3</v>
      </c>
      <c r="I463">
        <v>293</v>
      </c>
      <c r="J463">
        <v>232114</v>
      </c>
      <c r="K463">
        <v>20184</v>
      </c>
      <c r="L463">
        <v>252591</v>
      </c>
      <c r="M463">
        <v>0.12</v>
      </c>
      <c r="N463">
        <v>131</v>
      </c>
      <c r="O463">
        <v>9.8000000000000007</v>
      </c>
      <c r="P463">
        <v>273</v>
      </c>
      <c r="Q463">
        <v>0.71</v>
      </c>
      <c r="R463">
        <v>7.8E-2</v>
      </c>
      <c r="S463">
        <v>4059</v>
      </c>
      <c r="T463">
        <v>56</v>
      </c>
      <c r="U463">
        <v>145.30000000000001</v>
      </c>
      <c r="V463">
        <v>1043</v>
      </c>
      <c r="W463">
        <v>30.2</v>
      </c>
      <c r="X463">
        <v>152.59</v>
      </c>
      <c r="Y463">
        <v>0</v>
      </c>
    </row>
    <row r="464" spans="1:25" x14ac:dyDescent="0.25">
      <c r="A464" t="s">
        <v>44</v>
      </c>
      <c r="B464">
        <f>_xlfn.XLOOKUP(Table4[[#This Row],[country]],Table2[country],Table2[country_id],FALSE)</f>
        <v>10</v>
      </c>
      <c r="C464" t="s">
        <v>40</v>
      </c>
      <c r="D464">
        <v>2020</v>
      </c>
      <c r="E464">
        <f>_xlfn.XLOOKUP(Table4[[#This Row],[year]],Table1[year],Table1[year_id])</f>
        <v>11</v>
      </c>
      <c r="F464" t="s">
        <v>27</v>
      </c>
      <c r="G464" t="s">
        <v>28</v>
      </c>
      <c r="H464" cm="1">
        <f t="array" ref="H464">_xlfn.XLOOKUP(Table4[[#This Row],[vehicle_segment]]&amp;Table4[[#This Row],[powertrain_type]],Table3[vehicle_segment]&amp;Table3[powertrain_type],Table3[vehicle_id])</f>
        <v>1</v>
      </c>
      <c r="I464">
        <v>25</v>
      </c>
      <c r="J464">
        <v>47605</v>
      </c>
      <c r="K464">
        <v>31737</v>
      </c>
      <c r="L464">
        <v>79367</v>
      </c>
      <c r="M464">
        <v>0.03</v>
      </c>
      <c r="N464">
        <v>195</v>
      </c>
      <c r="O464">
        <v>13</v>
      </c>
      <c r="P464">
        <v>294</v>
      </c>
      <c r="Q464">
        <v>0.77700000000000002</v>
      </c>
      <c r="R464">
        <v>7.9000000000000001E-2</v>
      </c>
      <c r="S464">
        <v>4376</v>
      </c>
      <c r="T464">
        <v>56.6</v>
      </c>
      <c r="U464">
        <v>141.1</v>
      </c>
      <c r="V464">
        <v>1143</v>
      </c>
      <c r="W464">
        <v>32.1</v>
      </c>
      <c r="X464">
        <v>31.48</v>
      </c>
      <c r="Y464">
        <v>0</v>
      </c>
    </row>
    <row r="465" spans="1:25" x14ac:dyDescent="0.25">
      <c r="A465" t="s">
        <v>44</v>
      </c>
      <c r="B465">
        <f>_xlfn.XLOOKUP(Table4[[#This Row],[country]],Table2[country],Table2[country_id],FALSE)</f>
        <v>10</v>
      </c>
      <c r="C465" t="s">
        <v>40</v>
      </c>
      <c r="D465">
        <v>2020</v>
      </c>
      <c r="E465">
        <f>_xlfn.XLOOKUP(Table4[[#This Row],[year]],Table1[year],Table1[year_id])</f>
        <v>11</v>
      </c>
      <c r="F465" t="s">
        <v>29</v>
      </c>
      <c r="G465" t="s">
        <v>28</v>
      </c>
      <c r="H465" cm="1">
        <f t="array" ref="H465">_xlfn.XLOOKUP(Table4[[#This Row],[vehicle_segment]]&amp;Table4[[#This Row],[powertrain_type]],Table3[vehicle_segment]&amp;Table3[powertrain_type],Table3[vehicle_id])</f>
        <v>2</v>
      </c>
      <c r="I465">
        <v>287</v>
      </c>
      <c r="J465">
        <v>280518</v>
      </c>
      <c r="K465">
        <v>38253</v>
      </c>
      <c r="L465">
        <v>319058</v>
      </c>
      <c r="M465">
        <v>0.09</v>
      </c>
      <c r="N465">
        <v>195</v>
      </c>
      <c r="O465">
        <v>13</v>
      </c>
      <c r="P465">
        <v>294</v>
      </c>
      <c r="Q465">
        <v>0.77700000000000002</v>
      </c>
      <c r="R465">
        <v>7.9000000000000001E-2</v>
      </c>
      <c r="S465">
        <v>4376</v>
      </c>
      <c r="T465">
        <v>56.6</v>
      </c>
      <c r="U465">
        <v>141.1</v>
      </c>
      <c r="V465">
        <v>1143</v>
      </c>
      <c r="W465">
        <v>32.1</v>
      </c>
      <c r="X465">
        <v>-38.68</v>
      </c>
      <c r="Y465">
        <v>0</v>
      </c>
    </row>
    <row r="466" spans="1:25" x14ac:dyDescent="0.25">
      <c r="A466" t="s">
        <v>44</v>
      </c>
      <c r="B466">
        <f>_xlfn.XLOOKUP(Table4[[#This Row],[country]],Table2[country],Table2[country_id],FALSE)</f>
        <v>10</v>
      </c>
      <c r="C466" t="s">
        <v>40</v>
      </c>
      <c r="D466">
        <v>2020</v>
      </c>
      <c r="E466">
        <f>_xlfn.XLOOKUP(Table4[[#This Row],[year]],Table1[year],Table1[year_id])</f>
        <v>11</v>
      </c>
      <c r="F466" t="s">
        <v>30</v>
      </c>
      <c r="G466" t="s">
        <v>28</v>
      </c>
      <c r="H466" cm="1">
        <f t="array" ref="H466">_xlfn.XLOOKUP(Table4[[#This Row],[vehicle_segment]]&amp;Table4[[#This Row],[powertrain_type]],Table3[vehicle_segment]&amp;Table3[powertrain_type],Table3[vehicle_id])</f>
        <v>3</v>
      </c>
      <c r="I466">
        <v>173</v>
      </c>
      <c r="J466">
        <v>121849</v>
      </c>
      <c r="K466">
        <v>10596</v>
      </c>
      <c r="L466">
        <v>132618</v>
      </c>
      <c r="M466">
        <v>0.13</v>
      </c>
      <c r="N466">
        <v>195</v>
      </c>
      <c r="O466">
        <v>13</v>
      </c>
      <c r="P466">
        <v>294</v>
      </c>
      <c r="Q466">
        <v>0.77700000000000002</v>
      </c>
      <c r="R466">
        <v>7.9000000000000001E-2</v>
      </c>
      <c r="S466">
        <v>4376</v>
      </c>
      <c r="T466">
        <v>56.6</v>
      </c>
      <c r="U466">
        <v>141.1</v>
      </c>
      <c r="V466">
        <v>1143</v>
      </c>
      <c r="W466">
        <v>32.1</v>
      </c>
      <c r="X466">
        <v>-40.96</v>
      </c>
      <c r="Y466">
        <v>0</v>
      </c>
    </row>
    <row r="467" spans="1:25" x14ac:dyDescent="0.25">
      <c r="A467" t="s">
        <v>44</v>
      </c>
      <c r="B467">
        <f>_xlfn.XLOOKUP(Table4[[#This Row],[country]],Table2[country],Table2[country_id],FALSE)</f>
        <v>10</v>
      </c>
      <c r="C467" t="s">
        <v>40</v>
      </c>
      <c r="D467">
        <v>2021</v>
      </c>
      <c r="E467">
        <f>_xlfn.XLOOKUP(Table4[[#This Row],[year]],Table1[year],Table1[year_id])</f>
        <v>12</v>
      </c>
      <c r="F467" t="s">
        <v>27</v>
      </c>
      <c r="G467" t="s">
        <v>28</v>
      </c>
      <c r="H467" cm="1">
        <f t="array" ref="H467">_xlfn.XLOOKUP(Table4[[#This Row],[vehicle_segment]]&amp;Table4[[#This Row],[powertrain_type]],Table3[vehicle_segment]&amp;Table3[powertrain_type],Table3[vehicle_id])</f>
        <v>1</v>
      </c>
      <c r="I467">
        <v>108</v>
      </c>
      <c r="J467">
        <v>80588</v>
      </c>
      <c r="K467">
        <v>53726</v>
      </c>
      <c r="L467">
        <v>134422</v>
      </c>
      <c r="M467">
        <v>0.08</v>
      </c>
      <c r="N467">
        <v>488</v>
      </c>
      <c r="O467">
        <v>15.5</v>
      </c>
      <c r="P467">
        <v>334</v>
      </c>
      <c r="Q467">
        <v>0.85</v>
      </c>
      <c r="R467">
        <v>8.1000000000000003E-2</v>
      </c>
      <c r="S467">
        <v>4630</v>
      </c>
      <c r="T467">
        <v>57.1</v>
      </c>
      <c r="U467">
        <v>138.1</v>
      </c>
      <c r="V467">
        <v>1284</v>
      </c>
      <c r="W467">
        <v>34.6</v>
      </c>
      <c r="X467">
        <v>85.21</v>
      </c>
      <c r="Y467">
        <v>0</v>
      </c>
    </row>
    <row r="468" spans="1:25" x14ac:dyDescent="0.25">
      <c r="A468" t="s">
        <v>44</v>
      </c>
      <c r="B468">
        <f>_xlfn.XLOOKUP(Table4[[#This Row],[country]],Table2[country],Table2[country_id],FALSE)</f>
        <v>10</v>
      </c>
      <c r="C468" t="s">
        <v>40</v>
      </c>
      <c r="D468">
        <v>2021</v>
      </c>
      <c r="E468">
        <f>_xlfn.XLOOKUP(Table4[[#This Row],[year]],Table1[year],Table1[year_id])</f>
        <v>12</v>
      </c>
      <c r="F468" t="s">
        <v>29</v>
      </c>
      <c r="G468" t="s">
        <v>28</v>
      </c>
      <c r="H468" cm="1">
        <f t="array" ref="H468">_xlfn.XLOOKUP(Table4[[#This Row],[vehicle_segment]]&amp;Table4[[#This Row],[powertrain_type]],Table3[vehicle_segment]&amp;Table3[powertrain_type],Table3[vehicle_id])</f>
        <v>2</v>
      </c>
      <c r="I468">
        <v>1226</v>
      </c>
      <c r="J468">
        <v>468007</v>
      </c>
      <c r="K468">
        <v>63819</v>
      </c>
      <c r="L468">
        <v>533052</v>
      </c>
      <c r="M468">
        <v>0.23</v>
      </c>
      <c r="N468">
        <v>488</v>
      </c>
      <c r="O468">
        <v>15.5</v>
      </c>
      <c r="P468">
        <v>334</v>
      </c>
      <c r="Q468">
        <v>0.85</v>
      </c>
      <c r="R468">
        <v>8.1000000000000003E-2</v>
      </c>
      <c r="S468">
        <v>4630</v>
      </c>
      <c r="T468">
        <v>57.1</v>
      </c>
      <c r="U468">
        <v>138.1</v>
      </c>
      <c r="V468">
        <v>1284</v>
      </c>
      <c r="W468">
        <v>34.6</v>
      </c>
      <c r="X468">
        <v>300</v>
      </c>
      <c r="Y468">
        <v>0</v>
      </c>
    </row>
    <row r="469" spans="1:25" x14ac:dyDescent="0.25">
      <c r="A469" t="s">
        <v>44</v>
      </c>
      <c r="B469">
        <f>_xlfn.XLOOKUP(Table4[[#This Row],[country]],Table2[country],Table2[country_id],FALSE)</f>
        <v>10</v>
      </c>
      <c r="C469" t="s">
        <v>40</v>
      </c>
      <c r="D469">
        <v>2021</v>
      </c>
      <c r="E469">
        <f>_xlfn.XLOOKUP(Table4[[#This Row],[year]],Table1[year],Table1[year_id])</f>
        <v>12</v>
      </c>
      <c r="F469" t="s">
        <v>30</v>
      </c>
      <c r="G469" t="s">
        <v>28</v>
      </c>
      <c r="H469" cm="1">
        <f t="array" ref="H469">_xlfn.XLOOKUP(Table4[[#This Row],[vehicle_segment]]&amp;Table4[[#This Row],[powertrain_type]],Table3[vehicle_segment]&amp;Table3[powertrain_type],Table3[vehicle_id])</f>
        <v>3</v>
      </c>
      <c r="I469">
        <v>751</v>
      </c>
      <c r="J469">
        <v>206514</v>
      </c>
      <c r="K469">
        <v>17958</v>
      </c>
      <c r="L469">
        <v>225223</v>
      </c>
      <c r="M469">
        <v>0.33</v>
      </c>
      <c r="N469">
        <v>488</v>
      </c>
      <c r="O469">
        <v>15.5</v>
      </c>
      <c r="P469">
        <v>334</v>
      </c>
      <c r="Q469">
        <v>0.85</v>
      </c>
      <c r="R469">
        <v>8.1000000000000003E-2</v>
      </c>
      <c r="S469">
        <v>4630</v>
      </c>
      <c r="T469">
        <v>57.1</v>
      </c>
      <c r="U469">
        <v>138.1</v>
      </c>
      <c r="V469">
        <v>1284</v>
      </c>
      <c r="W469">
        <v>34.6</v>
      </c>
      <c r="X469">
        <v>300</v>
      </c>
      <c r="Y469">
        <v>0</v>
      </c>
    </row>
    <row r="470" spans="1:25" x14ac:dyDescent="0.25">
      <c r="A470" t="s">
        <v>44</v>
      </c>
      <c r="B470">
        <f>_xlfn.XLOOKUP(Table4[[#This Row],[country]],Table2[country],Table2[country_id],FALSE)</f>
        <v>10</v>
      </c>
      <c r="C470" t="s">
        <v>40</v>
      </c>
      <c r="D470">
        <v>2022</v>
      </c>
      <c r="E470">
        <f>_xlfn.XLOOKUP(Table4[[#This Row],[year]],Table1[year],Table1[year_id])</f>
        <v>13</v>
      </c>
      <c r="F470" t="s">
        <v>27</v>
      </c>
      <c r="G470" t="s">
        <v>28</v>
      </c>
      <c r="H470" cm="1">
        <f t="array" ref="H470">_xlfn.XLOOKUP(Table4[[#This Row],[vehicle_segment]]&amp;Table4[[#This Row],[powertrain_type]],Table3[vehicle_segment]&amp;Table3[powertrain_type],Table3[vehicle_id])</f>
        <v>1</v>
      </c>
      <c r="I470">
        <v>511</v>
      </c>
      <c r="J470">
        <v>91957</v>
      </c>
      <c r="K470">
        <v>61304</v>
      </c>
      <c r="L470">
        <v>153772</v>
      </c>
      <c r="M470">
        <v>0.33</v>
      </c>
      <c r="N470">
        <v>1453</v>
      </c>
      <c r="O470">
        <v>19.600000000000001</v>
      </c>
      <c r="P470">
        <v>359</v>
      </c>
      <c r="Q470">
        <v>0.89700000000000002</v>
      </c>
      <c r="R470">
        <v>8.5000000000000006E-2</v>
      </c>
      <c r="S470">
        <v>4808</v>
      </c>
      <c r="T470">
        <v>57.4</v>
      </c>
      <c r="U470">
        <v>144.1</v>
      </c>
      <c r="V470">
        <v>1389</v>
      </c>
      <c r="W470">
        <v>39.700000000000003</v>
      </c>
      <c r="X470">
        <v>300</v>
      </c>
      <c r="Y470">
        <v>0</v>
      </c>
    </row>
    <row r="471" spans="1:25" x14ac:dyDescent="0.25">
      <c r="A471" t="s">
        <v>44</v>
      </c>
      <c r="B471">
        <f>_xlfn.XLOOKUP(Table4[[#This Row],[country]],Table2[country],Table2[country_id],FALSE)</f>
        <v>10</v>
      </c>
      <c r="C471" t="s">
        <v>40</v>
      </c>
      <c r="D471">
        <v>2022</v>
      </c>
      <c r="E471">
        <f>_xlfn.XLOOKUP(Table4[[#This Row],[year]],Table1[year],Table1[year_id])</f>
        <v>13</v>
      </c>
      <c r="F471" t="s">
        <v>29</v>
      </c>
      <c r="G471" t="s">
        <v>28</v>
      </c>
      <c r="H471" cm="1">
        <f t="array" ref="H471">_xlfn.XLOOKUP(Table4[[#This Row],[vehicle_segment]]&amp;Table4[[#This Row],[powertrain_type]],Table3[vehicle_segment]&amp;Table3[powertrain_type],Table3[vehicle_id])</f>
        <v>2</v>
      </c>
      <c r="I471">
        <v>5821</v>
      </c>
      <c r="J471">
        <v>534066</v>
      </c>
      <c r="K471">
        <v>72827</v>
      </c>
      <c r="L471">
        <v>612714</v>
      </c>
      <c r="M471">
        <v>0.95</v>
      </c>
      <c r="N471">
        <v>1453</v>
      </c>
      <c r="O471">
        <v>19.600000000000001</v>
      </c>
      <c r="P471">
        <v>359</v>
      </c>
      <c r="Q471">
        <v>0.89700000000000002</v>
      </c>
      <c r="R471">
        <v>8.5000000000000006E-2</v>
      </c>
      <c r="S471">
        <v>4808</v>
      </c>
      <c r="T471">
        <v>57.4</v>
      </c>
      <c r="U471">
        <v>144.1</v>
      </c>
      <c r="V471">
        <v>1389</v>
      </c>
      <c r="W471">
        <v>39.700000000000003</v>
      </c>
      <c r="X471">
        <v>300</v>
      </c>
      <c r="Y471">
        <v>0</v>
      </c>
    </row>
    <row r="472" spans="1:25" x14ac:dyDescent="0.25">
      <c r="A472" t="s">
        <v>44</v>
      </c>
      <c r="B472">
        <f>_xlfn.XLOOKUP(Table4[[#This Row],[country]],Table2[country],Table2[country_id],FALSE)</f>
        <v>10</v>
      </c>
      <c r="C472" t="s">
        <v>40</v>
      </c>
      <c r="D472">
        <v>2022</v>
      </c>
      <c r="E472">
        <f>_xlfn.XLOOKUP(Table4[[#This Row],[year]],Table1[year],Table1[year_id])</f>
        <v>13</v>
      </c>
      <c r="F472" t="s">
        <v>30</v>
      </c>
      <c r="G472" t="s">
        <v>28</v>
      </c>
      <c r="H472" cm="1">
        <f t="array" ref="H472">_xlfn.XLOOKUP(Table4[[#This Row],[vehicle_segment]]&amp;Table4[[#This Row],[powertrain_type]],Table3[vehicle_segment]&amp;Table3[powertrain_type],Table3[vehicle_id])</f>
        <v>3</v>
      </c>
      <c r="I472">
        <v>3500</v>
      </c>
      <c r="J472">
        <v>230524</v>
      </c>
      <c r="K472">
        <v>20046</v>
      </c>
      <c r="L472">
        <v>254070</v>
      </c>
      <c r="M472">
        <v>1.38</v>
      </c>
      <c r="N472">
        <v>1453</v>
      </c>
      <c r="O472">
        <v>19.600000000000001</v>
      </c>
      <c r="P472">
        <v>359</v>
      </c>
      <c r="Q472">
        <v>0.89700000000000002</v>
      </c>
      <c r="R472">
        <v>8.5000000000000006E-2</v>
      </c>
      <c r="S472">
        <v>4808</v>
      </c>
      <c r="T472">
        <v>57.4</v>
      </c>
      <c r="U472">
        <v>144.1</v>
      </c>
      <c r="V472">
        <v>1389</v>
      </c>
      <c r="W472">
        <v>39.700000000000003</v>
      </c>
      <c r="X472">
        <v>300</v>
      </c>
      <c r="Y472">
        <v>0</v>
      </c>
    </row>
    <row r="473" spans="1:25" x14ac:dyDescent="0.25">
      <c r="A473" t="s">
        <v>44</v>
      </c>
      <c r="B473">
        <f>_xlfn.XLOOKUP(Table4[[#This Row],[country]],Table2[country],Table2[country_id],FALSE)</f>
        <v>10</v>
      </c>
      <c r="C473" t="s">
        <v>40</v>
      </c>
      <c r="D473">
        <v>2023</v>
      </c>
      <c r="E473">
        <f>_xlfn.XLOOKUP(Table4[[#This Row],[year]],Table1[year],Table1[year_id])</f>
        <v>14</v>
      </c>
      <c r="F473" t="s">
        <v>27</v>
      </c>
      <c r="G473" t="s">
        <v>28</v>
      </c>
      <c r="H473" cm="1">
        <f t="array" ref="H473">_xlfn.XLOOKUP(Table4[[#This Row],[vehicle_segment]]&amp;Table4[[#This Row],[powertrain_type]],Table3[vehicle_segment]&amp;Table3[powertrain_type],Table3[vehicle_id])</f>
        <v>1</v>
      </c>
      <c r="I473">
        <v>905</v>
      </c>
      <c r="J473">
        <v>91286</v>
      </c>
      <c r="K473">
        <v>60858</v>
      </c>
      <c r="L473">
        <v>153049</v>
      </c>
      <c r="M473">
        <v>0.59</v>
      </c>
      <c r="N473">
        <v>2818</v>
      </c>
      <c r="O473">
        <v>21.7</v>
      </c>
      <c r="P473">
        <v>384</v>
      </c>
      <c r="Q473">
        <v>0.91700000000000004</v>
      </c>
      <c r="R473">
        <v>8.6999999999999994E-2</v>
      </c>
      <c r="S473">
        <v>4960</v>
      </c>
      <c r="T473">
        <v>58.2</v>
      </c>
      <c r="U473">
        <v>148.5</v>
      </c>
      <c r="V473">
        <v>1526</v>
      </c>
      <c r="W473">
        <v>41.6</v>
      </c>
      <c r="X473">
        <v>77.099999999999994</v>
      </c>
      <c r="Y473">
        <v>0</v>
      </c>
    </row>
    <row r="474" spans="1:25" x14ac:dyDescent="0.25">
      <c r="A474" t="s">
        <v>44</v>
      </c>
      <c r="B474">
        <f>_xlfn.XLOOKUP(Table4[[#This Row],[country]],Table2[country],Table2[country_id],FALSE)</f>
        <v>10</v>
      </c>
      <c r="C474" t="s">
        <v>40</v>
      </c>
      <c r="D474">
        <v>2023</v>
      </c>
      <c r="E474">
        <f>_xlfn.XLOOKUP(Table4[[#This Row],[year]],Table1[year],Table1[year_id])</f>
        <v>14</v>
      </c>
      <c r="F474" t="s">
        <v>29</v>
      </c>
      <c r="G474" t="s">
        <v>28</v>
      </c>
      <c r="H474" cm="1">
        <f t="array" ref="H474">_xlfn.XLOOKUP(Table4[[#This Row],[vehicle_segment]]&amp;Table4[[#This Row],[powertrain_type]],Table3[vehicle_segment]&amp;Table3[powertrain_type],Table3[vehicle_id])</f>
        <v>2</v>
      </c>
      <c r="I474">
        <v>10302</v>
      </c>
      <c r="J474">
        <v>527358</v>
      </c>
      <c r="K474">
        <v>71912</v>
      </c>
      <c r="L474">
        <v>609572</v>
      </c>
      <c r="M474">
        <v>1.69</v>
      </c>
      <c r="N474">
        <v>2818</v>
      </c>
      <c r="O474">
        <v>21.7</v>
      </c>
      <c r="P474">
        <v>384</v>
      </c>
      <c r="Q474">
        <v>0.91700000000000004</v>
      </c>
      <c r="R474">
        <v>8.6999999999999994E-2</v>
      </c>
      <c r="S474">
        <v>4960</v>
      </c>
      <c r="T474">
        <v>58.2</v>
      </c>
      <c r="U474">
        <v>148.5</v>
      </c>
      <c r="V474">
        <v>1526</v>
      </c>
      <c r="W474">
        <v>41.6</v>
      </c>
      <c r="X474">
        <v>76.98</v>
      </c>
      <c r="Y474">
        <v>0</v>
      </c>
    </row>
    <row r="475" spans="1:25" x14ac:dyDescent="0.25">
      <c r="A475" t="s">
        <v>44</v>
      </c>
      <c r="B475">
        <f>_xlfn.XLOOKUP(Table4[[#This Row],[country]],Table2[country],Table2[country_id],FALSE)</f>
        <v>10</v>
      </c>
      <c r="C475" t="s">
        <v>40</v>
      </c>
      <c r="D475">
        <v>2023</v>
      </c>
      <c r="E475">
        <f>_xlfn.XLOOKUP(Table4[[#This Row],[year]],Table1[year],Table1[year_id])</f>
        <v>14</v>
      </c>
      <c r="F475" t="s">
        <v>30</v>
      </c>
      <c r="G475" t="s">
        <v>28</v>
      </c>
      <c r="H475" cm="1">
        <f t="array" ref="H475">_xlfn.XLOOKUP(Table4[[#This Row],[vehicle_segment]]&amp;Table4[[#This Row],[powertrain_type]],Table3[vehicle_segment]&amp;Table3[powertrain_type],Table3[vehicle_id])</f>
        <v>3</v>
      </c>
      <c r="I475">
        <v>6052</v>
      </c>
      <c r="J475">
        <v>221660</v>
      </c>
      <c r="K475">
        <v>19275</v>
      </c>
      <c r="L475">
        <v>246987</v>
      </c>
      <c r="M475">
        <v>2.4500000000000002</v>
      </c>
      <c r="N475">
        <v>2818</v>
      </c>
      <c r="O475">
        <v>21.7</v>
      </c>
      <c r="P475">
        <v>384</v>
      </c>
      <c r="Q475">
        <v>0.91700000000000004</v>
      </c>
      <c r="R475">
        <v>8.6999999999999994E-2</v>
      </c>
      <c r="S475">
        <v>4960</v>
      </c>
      <c r="T475">
        <v>58.2</v>
      </c>
      <c r="U475">
        <v>148.5</v>
      </c>
      <c r="V475">
        <v>1526</v>
      </c>
      <c r="W475">
        <v>41.6</v>
      </c>
      <c r="X475">
        <v>72.91</v>
      </c>
      <c r="Y475">
        <v>0</v>
      </c>
    </row>
    <row r="476" spans="1:25" x14ac:dyDescent="0.25">
      <c r="A476" t="s">
        <v>44</v>
      </c>
      <c r="B476">
        <f>_xlfn.XLOOKUP(Table4[[#This Row],[country]],Table2[country],Table2[country_id],FALSE)</f>
        <v>10</v>
      </c>
      <c r="C476" t="s">
        <v>40</v>
      </c>
      <c r="D476">
        <v>2024</v>
      </c>
      <c r="E476">
        <f>_xlfn.XLOOKUP(Table4[[#This Row],[year]],Table1[year],Table1[year_id])</f>
        <v>15</v>
      </c>
      <c r="F476" t="s">
        <v>27</v>
      </c>
      <c r="G476" t="s">
        <v>28</v>
      </c>
      <c r="H476" cm="1">
        <f t="array" ref="H476">_xlfn.XLOOKUP(Table4[[#This Row],[vehicle_segment]]&amp;Table4[[#This Row],[powertrain_type]],Table3[vehicle_segment]&amp;Table3[powertrain_type],Table3[vehicle_id])</f>
        <v>1</v>
      </c>
      <c r="I476">
        <v>1517</v>
      </c>
      <c r="J476">
        <v>92308</v>
      </c>
      <c r="K476">
        <v>61539</v>
      </c>
      <c r="L476">
        <v>155364</v>
      </c>
      <c r="M476">
        <v>0.98</v>
      </c>
      <c r="N476">
        <v>6436</v>
      </c>
      <c r="O476">
        <v>25.6</v>
      </c>
      <c r="P476">
        <v>406</v>
      </c>
      <c r="Q476">
        <v>0.88700000000000001</v>
      </c>
      <c r="R476">
        <v>8.7999999999999995E-2</v>
      </c>
      <c r="S476">
        <v>5087</v>
      </c>
      <c r="T476">
        <v>58.8</v>
      </c>
      <c r="U476">
        <v>151.1</v>
      </c>
      <c r="V476">
        <v>1470</v>
      </c>
      <c r="W476">
        <v>44.7</v>
      </c>
      <c r="X476">
        <v>67.62</v>
      </c>
      <c r="Y476">
        <v>0</v>
      </c>
    </row>
    <row r="477" spans="1:25" x14ac:dyDescent="0.25">
      <c r="A477" t="s">
        <v>44</v>
      </c>
      <c r="B477">
        <f>_xlfn.XLOOKUP(Table4[[#This Row],[country]],Table2[country],Table2[country_id],FALSE)</f>
        <v>10</v>
      </c>
      <c r="C477" t="s">
        <v>40</v>
      </c>
      <c r="D477">
        <v>2024</v>
      </c>
      <c r="E477">
        <f>_xlfn.XLOOKUP(Table4[[#This Row],[year]],Table1[year],Table1[year_id])</f>
        <v>15</v>
      </c>
      <c r="F477" t="s">
        <v>29</v>
      </c>
      <c r="G477" t="s">
        <v>28</v>
      </c>
      <c r="H477" cm="1">
        <f t="array" ref="H477">_xlfn.XLOOKUP(Table4[[#This Row],[vehicle_segment]]&amp;Table4[[#This Row],[powertrain_type]],Table3[vehicle_segment]&amp;Table3[powertrain_type],Table3[vehicle_id])</f>
        <v>2</v>
      </c>
      <c r="I477">
        <v>17555</v>
      </c>
      <c r="J477">
        <v>538261</v>
      </c>
      <c r="K477">
        <v>73399</v>
      </c>
      <c r="L477">
        <v>629215</v>
      </c>
      <c r="M477">
        <v>2.79</v>
      </c>
      <c r="N477">
        <v>6436</v>
      </c>
      <c r="O477">
        <v>25.6</v>
      </c>
      <c r="P477">
        <v>406</v>
      </c>
      <c r="Q477">
        <v>0.88700000000000001</v>
      </c>
      <c r="R477">
        <v>8.7999999999999995E-2</v>
      </c>
      <c r="S477">
        <v>5087</v>
      </c>
      <c r="T477">
        <v>58.8</v>
      </c>
      <c r="U477">
        <v>151.1</v>
      </c>
      <c r="V477">
        <v>1470</v>
      </c>
      <c r="W477">
        <v>44.7</v>
      </c>
      <c r="X477">
        <v>70.400000000000006</v>
      </c>
      <c r="Y477">
        <v>0</v>
      </c>
    </row>
    <row r="478" spans="1:25" x14ac:dyDescent="0.25">
      <c r="A478" t="s">
        <v>44</v>
      </c>
      <c r="B478">
        <f>_xlfn.XLOOKUP(Table4[[#This Row],[country]],Table2[country],Table2[country_id],FALSE)</f>
        <v>10</v>
      </c>
      <c r="C478" t="s">
        <v>40</v>
      </c>
      <c r="D478">
        <v>2024</v>
      </c>
      <c r="E478">
        <f>_xlfn.XLOOKUP(Table4[[#This Row],[year]],Table1[year],Table1[year_id])</f>
        <v>15</v>
      </c>
      <c r="F478" t="s">
        <v>30</v>
      </c>
      <c r="G478" t="s">
        <v>28</v>
      </c>
      <c r="H478" cm="1">
        <f t="array" ref="H478">_xlfn.XLOOKUP(Table4[[#This Row],[vehicle_segment]]&amp;Table4[[#This Row],[powertrain_type]],Table3[vehicle_segment]&amp;Table3[powertrain_type],Table3[vehicle_id])</f>
        <v>3</v>
      </c>
      <c r="I478">
        <v>10544</v>
      </c>
      <c r="J478">
        <v>230081</v>
      </c>
      <c r="K478">
        <v>20007</v>
      </c>
      <c r="L478">
        <v>260632</v>
      </c>
      <c r="M478">
        <v>4.05</v>
      </c>
      <c r="N478">
        <v>6436</v>
      </c>
      <c r="O478">
        <v>25.6</v>
      </c>
      <c r="P478">
        <v>406</v>
      </c>
      <c r="Q478">
        <v>0.88700000000000001</v>
      </c>
      <c r="R478">
        <v>8.7999999999999995E-2</v>
      </c>
      <c r="S478">
        <v>5087</v>
      </c>
      <c r="T478">
        <v>58.8</v>
      </c>
      <c r="U478">
        <v>151.1</v>
      </c>
      <c r="V478">
        <v>1470</v>
      </c>
      <c r="W478">
        <v>44.7</v>
      </c>
      <c r="X478">
        <v>74.22</v>
      </c>
      <c r="Y478">
        <v>0</v>
      </c>
    </row>
    <row r="479" spans="1:25" x14ac:dyDescent="0.25">
      <c r="A479" t="s">
        <v>44</v>
      </c>
      <c r="B479">
        <f>_xlfn.XLOOKUP(Table4[[#This Row],[country]],Table2[country],Table2[country_id],FALSE)</f>
        <v>10</v>
      </c>
      <c r="C479" t="s">
        <v>40</v>
      </c>
      <c r="D479">
        <v>2025</v>
      </c>
      <c r="E479">
        <f>_xlfn.XLOOKUP(Table4[[#This Row],[year]],Table1[year],Table1[year_id])</f>
        <v>16</v>
      </c>
      <c r="F479" t="s">
        <v>27</v>
      </c>
      <c r="G479" t="s">
        <v>28</v>
      </c>
      <c r="H479" cm="1">
        <f t="array" ref="H479">_xlfn.XLOOKUP(Table4[[#This Row],[vehicle_segment]]&amp;Table4[[#This Row],[powertrain_type]],Table3[vehicle_segment]&amp;Table3[powertrain_type],Table3[vehicle_id])</f>
        <v>1</v>
      </c>
      <c r="I479">
        <v>2166</v>
      </c>
      <c r="J479">
        <v>93907</v>
      </c>
      <c r="K479">
        <v>62605</v>
      </c>
      <c r="L479">
        <v>158678</v>
      </c>
      <c r="M479">
        <v>1.37</v>
      </c>
      <c r="N479">
        <v>9977</v>
      </c>
      <c r="O479">
        <v>29.7</v>
      </c>
      <c r="P479">
        <v>429</v>
      </c>
      <c r="Q479">
        <v>0.85</v>
      </c>
      <c r="R479">
        <v>8.5999999999999993E-2</v>
      </c>
      <c r="S479">
        <v>5253</v>
      </c>
      <c r="T479">
        <v>59.1</v>
      </c>
      <c r="U479">
        <v>154.69999999999999</v>
      </c>
      <c r="V479">
        <v>1506</v>
      </c>
      <c r="W479">
        <v>48.7</v>
      </c>
      <c r="X479">
        <v>42.78</v>
      </c>
      <c r="Y479">
        <v>0</v>
      </c>
    </row>
    <row r="480" spans="1:25" x14ac:dyDescent="0.25">
      <c r="A480" t="s">
        <v>44</v>
      </c>
      <c r="B480">
        <f>_xlfn.XLOOKUP(Table4[[#This Row],[country]],Table2[country],Table2[country_id],FALSE)</f>
        <v>10</v>
      </c>
      <c r="C480" t="s">
        <v>40</v>
      </c>
      <c r="D480">
        <v>2025</v>
      </c>
      <c r="E480">
        <f>_xlfn.XLOOKUP(Table4[[#This Row],[year]],Table1[year],Table1[year_id])</f>
        <v>16</v>
      </c>
      <c r="F480" t="s">
        <v>29</v>
      </c>
      <c r="G480" t="s">
        <v>28</v>
      </c>
      <c r="H480" cm="1">
        <f t="array" ref="H480">_xlfn.XLOOKUP(Table4[[#This Row],[vehicle_segment]]&amp;Table4[[#This Row],[powertrain_type]],Table3[vehicle_segment]&amp;Table3[powertrain_type],Table3[vehicle_id])</f>
        <v>2</v>
      </c>
      <c r="I480">
        <v>25097</v>
      </c>
      <c r="J480">
        <v>544205</v>
      </c>
      <c r="K480">
        <v>74210</v>
      </c>
      <c r="L480">
        <v>643512</v>
      </c>
      <c r="M480">
        <v>3.9</v>
      </c>
      <c r="N480">
        <v>9977</v>
      </c>
      <c r="O480">
        <v>29.7</v>
      </c>
      <c r="P480">
        <v>429</v>
      </c>
      <c r="Q480">
        <v>0.85</v>
      </c>
      <c r="R480">
        <v>8.5999999999999993E-2</v>
      </c>
      <c r="S480">
        <v>5253</v>
      </c>
      <c r="T480">
        <v>59.1</v>
      </c>
      <c r="U480">
        <v>154.69999999999999</v>
      </c>
      <c r="V480">
        <v>1506</v>
      </c>
      <c r="W480">
        <v>48.7</v>
      </c>
      <c r="X480">
        <v>42.96</v>
      </c>
      <c r="Y480">
        <v>0</v>
      </c>
    </row>
    <row r="481" spans="1:25" x14ac:dyDescent="0.25">
      <c r="A481" t="s">
        <v>44</v>
      </c>
      <c r="B481">
        <f>_xlfn.XLOOKUP(Table4[[#This Row],[country]],Table2[country],Table2[country_id],FALSE)</f>
        <v>10</v>
      </c>
      <c r="C481" t="s">
        <v>40</v>
      </c>
      <c r="D481">
        <v>2025</v>
      </c>
      <c r="E481">
        <f>_xlfn.XLOOKUP(Table4[[#This Row],[year]],Table1[year],Table1[year_id])</f>
        <v>16</v>
      </c>
      <c r="F481" t="s">
        <v>30</v>
      </c>
      <c r="G481" t="s">
        <v>28</v>
      </c>
      <c r="H481" cm="1">
        <f t="array" ref="H481">_xlfn.XLOOKUP(Table4[[#This Row],[vehicle_segment]]&amp;Table4[[#This Row],[powertrain_type]],Table3[vehicle_segment]&amp;Table3[powertrain_type],Table3[vehicle_id])</f>
        <v>3</v>
      </c>
      <c r="I481">
        <v>14956</v>
      </c>
      <c r="J481">
        <v>229559</v>
      </c>
      <c r="K481">
        <v>19962</v>
      </c>
      <c r="L481">
        <v>264477</v>
      </c>
      <c r="M481">
        <v>5.65</v>
      </c>
      <c r="N481">
        <v>9977</v>
      </c>
      <c r="O481">
        <v>29.7</v>
      </c>
      <c r="P481">
        <v>429</v>
      </c>
      <c r="Q481">
        <v>0.85</v>
      </c>
      <c r="R481">
        <v>8.5999999999999993E-2</v>
      </c>
      <c r="S481">
        <v>5253</v>
      </c>
      <c r="T481">
        <v>59.1</v>
      </c>
      <c r="U481">
        <v>154.69999999999999</v>
      </c>
      <c r="V481">
        <v>1506</v>
      </c>
      <c r="W481">
        <v>48.7</v>
      </c>
      <c r="X481">
        <v>41.84</v>
      </c>
      <c r="Y481">
        <v>0</v>
      </c>
    </row>
    <row r="482" spans="1:25" x14ac:dyDescent="0.25">
      <c r="A482" t="s">
        <v>45</v>
      </c>
      <c r="B482">
        <f>_xlfn.XLOOKUP(Table4[[#This Row],[country]],Table2[country],Table2[country_id],FALSE)</f>
        <v>11</v>
      </c>
      <c r="C482" t="s">
        <v>32</v>
      </c>
      <c r="D482">
        <v>2010</v>
      </c>
      <c r="E482">
        <f>_xlfn.XLOOKUP(Table4[[#This Row],[year]],Table1[year],Table1[year_id])</f>
        <v>1</v>
      </c>
      <c r="F482" t="s">
        <v>27</v>
      </c>
      <c r="G482" t="s">
        <v>28</v>
      </c>
      <c r="H482" cm="1">
        <f t="array" ref="H482">_xlfn.XLOOKUP(Table4[[#This Row],[vehicle_segment]]&amp;Table4[[#This Row],[powertrain_type]],Table3[vehicle_segment]&amp;Table3[powertrain_type],Table3[vehicle_id])</f>
        <v>1</v>
      </c>
      <c r="I482">
        <v>7</v>
      </c>
      <c r="J482">
        <v>173469</v>
      </c>
      <c r="K482">
        <v>115650</v>
      </c>
      <c r="L482">
        <v>289126</v>
      </c>
      <c r="M482">
        <v>0</v>
      </c>
      <c r="N482">
        <v>47</v>
      </c>
      <c r="O482">
        <v>2.1</v>
      </c>
      <c r="P482">
        <v>123</v>
      </c>
      <c r="Q482">
        <v>1.48</v>
      </c>
      <c r="R482">
        <v>0.22600000000000001</v>
      </c>
      <c r="S482">
        <v>35991</v>
      </c>
      <c r="T482">
        <v>68.5</v>
      </c>
      <c r="U482">
        <v>110.6</v>
      </c>
      <c r="V482">
        <v>0</v>
      </c>
      <c r="W482">
        <v>49.7</v>
      </c>
      <c r="X482">
        <v>0</v>
      </c>
      <c r="Y482">
        <v>0</v>
      </c>
    </row>
    <row r="483" spans="1:25" x14ac:dyDescent="0.25">
      <c r="A483" t="s">
        <v>45</v>
      </c>
      <c r="B483">
        <f>_xlfn.XLOOKUP(Table4[[#This Row],[country]],Table2[country],Table2[country_id],FALSE)</f>
        <v>11</v>
      </c>
      <c r="C483" t="s">
        <v>32</v>
      </c>
      <c r="D483">
        <v>2010</v>
      </c>
      <c r="E483">
        <f>_xlfn.XLOOKUP(Table4[[#This Row],[year]],Table1[year],Table1[year_id])</f>
        <v>1</v>
      </c>
      <c r="F483" t="s">
        <v>29</v>
      </c>
      <c r="G483" t="s">
        <v>28</v>
      </c>
      <c r="H483" cm="1">
        <f t="array" ref="H483">_xlfn.XLOOKUP(Table4[[#This Row],[vehicle_segment]]&amp;Table4[[#This Row],[powertrain_type]],Table3[vehicle_segment]&amp;Table3[powertrain_type],Table3[vehicle_id])</f>
        <v>2</v>
      </c>
      <c r="I483">
        <v>102</v>
      </c>
      <c r="J483">
        <v>1050397</v>
      </c>
      <c r="K483">
        <v>143250</v>
      </c>
      <c r="L483">
        <v>1193749</v>
      </c>
      <c r="M483">
        <v>0.01</v>
      </c>
      <c r="N483">
        <v>47</v>
      </c>
      <c r="O483">
        <v>2.1</v>
      </c>
      <c r="P483">
        <v>123</v>
      </c>
      <c r="Q483">
        <v>1.48</v>
      </c>
      <c r="R483">
        <v>0.22600000000000001</v>
      </c>
      <c r="S483">
        <v>35991</v>
      </c>
      <c r="T483">
        <v>68.5</v>
      </c>
      <c r="U483">
        <v>110.6</v>
      </c>
      <c r="V483">
        <v>0</v>
      </c>
      <c r="W483">
        <v>49.7</v>
      </c>
      <c r="X483">
        <v>0</v>
      </c>
      <c r="Y483">
        <v>0</v>
      </c>
    </row>
    <row r="484" spans="1:25" x14ac:dyDescent="0.25">
      <c r="A484" t="s">
        <v>45</v>
      </c>
      <c r="B484">
        <f>_xlfn.XLOOKUP(Table4[[#This Row],[country]],Table2[country],Table2[country_id],FALSE)</f>
        <v>11</v>
      </c>
      <c r="C484" t="s">
        <v>32</v>
      </c>
      <c r="D484">
        <v>2010</v>
      </c>
      <c r="E484">
        <f>_xlfn.XLOOKUP(Table4[[#This Row],[year]],Table1[year],Table1[year_id])</f>
        <v>1</v>
      </c>
      <c r="F484" t="s">
        <v>30</v>
      </c>
      <c r="G484" t="s">
        <v>28</v>
      </c>
      <c r="H484" cm="1">
        <f t="array" ref="H484">_xlfn.XLOOKUP(Table4[[#This Row],[vehicle_segment]]&amp;Table4[[#This Row],[powertrain_type]],Table3[vehicle_segment]&amp;Table3[powertrain_type],Table3[vehicle_id])</f>
        <v>3</v>
      </c>
      <c r="I484">
        <v>54</v>
      </c>
      <c r="J484">
        <v>448869</v>
      </c>
      <c r="K484">
        <v>39037</v>
      </c>
      <c r="L484">
        <v>487960</v>
      </c>
      <c r="M484">
        <v>0.01</v>
      </c>
      <c r="N484">
        <v>47</v>
      </c>
      <c r="O484">
        <v>2.1</v>
      </c>
      <c r="P484">
        <v>123</v>
      </c>
      <c r="Q484">
        <v>1.48</v>
      </c>
      <c r="R484">
        <v>0.22600000000000001</v>
      </c>
      <c r="S484">
        <v>35991</v>
      </c>
      <c r="T484">
        <v>68.5</v>
      </c>
      <c r="U484">
        <v>110.6</v>
      </c>
      <c r="V484">
        <v>0</v>
      </c>
      <c r="W484">
        <v>49.7</v>
      </c>
      <c r="X484">
        <v>0</v>
      </c>
      <c r="Y484">
        <v>0</v>
      </c>
    </row>
    <row r="485" spans="1:25" x14ac:dyDescent="0.25">
      <c r="A485" t="s">
        <v>45</v>
      </c>
      <c r="B485">
        <f>_xlfn.XLOOKUP(Table4[[#This Row],[country]],Table2[country],Table2[country_id],FALSE)</f>
        <v>11</v>
      </c>
      <c r="C485" t="s">
        <v>32</v>
      </c>
      <c r="D485">
        <v>2011</v>
      </c>
      <c r="E485">
        <f>_xlfn.XLOOKUP(Table4[[#This Row],[year]],Table1[year],Table1[year_id])</f>
        <v>2</v>
      </c>
      <c r="F485" t="s">
        <v>27</v>
      </c>
      <c r="G485" t="s">
        <v>28</v>
      </c>
      <c r="H485" cm="1">
        <f t="array" ref="H485">_xlfn.XLOOKUP(Table4[[#This Row],[vehicle_segment]]&amp;Table4[[#This Row],[powertrain_type]],Table3[vehicle_segment]&amp;Table3[powertrain_type],Table3[vehicle_id])</f>
        <v>1</v>
      </c>
      <c r="I485">
        <v>18</v>
      </c>
      <c r="J485">
        <v>155450</v>
      </c>
      <c r="K485">
        <v>103634</v>
      </c>
      <c r="L485">
        <v>259102</v>
      </c>
      <c r="M485">
        <v>0.01</v>
      </c>
      <c r="N485">
        <v>209</v>
      </c>
      <c r="O485">
        <v>2.7</v>
      </c>
      <c r="P485">
        <v>130</v>
      </c>
      <c r="Q485">
        <v>1.5129999999999999</v>
      </c>
      <c r="R485">
        <v>0.22700000000000001</v>
      </c>
      <c r="S485">
        <v>33736</v>
      </c>
      <c r="T485">
        <v>68.8</v>
      </c>
      <c r="U485">
        <v>107.6</v>
      </c>
      <c r="V485">
        <v>664</v>
      </c>
      <c r="W485">
        <v>51.4</v>
      </c>
      <c r="X485">
        <v>157.13999999999999</v>
      </c>
      <c r="Y485">
        <v>0</v>
      </c>
    </row>
    <row r="486" spans="1:25" x14ac:dyDescent="0.25">
      <c r="A486" t="s">
        <v>45</v>
      </c>
      <c r="B486">
        <f>_xlfn.XLOOKUP(Table4[[#This Row],[country]],Table2[country],Table2[country_id],FALSE)</f>
        <v>11</v>
      </c>
      <c r="C486" t="s">
        <v>32</v>
      </c>
      <c r="D486">
        <v>2011</v>
      </c>
      <c r="E486">
        <f>_xlfn.XLOOKUP(Table4[[#This Row],[year]],Table1[year],Table1[year_id])</f>
        <v>2</v>
      </c>
      <c r="F486" t="s">
        <v>29</v>
      </c>
      <c r="G486" t="s">
        <v>28</v>
      </c>
      <c r="H486" cm="1">
        <f t="array" ref="H486">_xlfn.XLOOKUP(Table4[[#This Row],[vehicle_segment]]&amp;Table4[[#This Row],[powertrain_type]],Table3[vehicle_segment]&amp;Table3[powertrain_type],Table3[vehicle_id])</f>
        <v>2</v>
      </c>
      <c r="I486">
        <v>207</v>
      </c>
      <c r="J486">
        <v>909862</v>
      </c>
      <c r="K486">
        <v>124072</v>
      </c>
      <c r="L486">
        <v>1034141</v>
      </c>
      <c r="M486">
        <v>0.02</v>
      </c>
      <c r="N486">
        <v>209</v>
      </c>
      <c r="O486">
        <v>2.7</v>
      </c>
      <c r="P486">
        <v>130</v>
      </c>
      <c r="Q486">
        <v>1.5129999999999999</v>
      </c>
      <c r="R486">
        <v>0.22700000000000001</v>
      </c>
      <c r="S486">
        <v>33736</v>
      </c>
      <c r="T486">
        <v>68.8</v>
      </c>
      <c r="U486">
        <v>107.6</v>
      </c>
      <c r="V486">
        <v>664</v>
      </c>
      <c r="W486">
        <v>51.4</v>
      </c>
      <c r="X486">
        <v>102.94</v>
      </c>
      <c r="Y486">
        <v>0</v>
      </c>
    </row>
    <row r="487" spans="1:25" x14ac:dyDescent="0.25">
      <c r="A487" t="s">
        <v>45</v>
      </c>
      <c r="B487">
        <f>_xlfn.XLOOKUP(Table4[[#This Row],[country]],Table2[country],Table2[country_id],FALSE)</f>
        <v>11</v>
      </c>
      <c r="C487" t="s">
        <v>32</v>
      </c>
      <c r="D487">
        <v>2011</v>
      </c>
      <c r="E487">
        <f>_xlfn.XLOOKUP(Table4[[#This Row],[year]],Table1[year],Table1[year_id])</f>
        <v>2</v>
      </c>
      <c r="F487" t="s">
        <v>30</v>
      </c>
      <c r="G487" t="s">
        <v>28</v>
      </c>
      <c r="H487" cm="1">
        <f t="array" ref="H487">_xlfn.XLOOKUP(Table4[[#This Row],[vehicle_segment]]&amp;Table4[[#This Row],[powertrain_type]],Table3[vehicle_segment]&amp;Table3[powertrain_type],Table3[vehicle_id])</f>
        <v>3</v>
      </c>
      <c r="I487">
        <v>122</v>
      </c>
      <c r="J487">
        <v>386672</v>
      </c>
      <c r="K487">
        <v>33624</v>
      </c>
      <c r="L487">
        <v>420418</v>
      </c>
      <c r="M487">
        <v>0.03</v>
      </c>
      <c r="N487">
        <v>209</v>
      </c>
      <c r="O487">
        <v>2.7</v>
      </c>
      <c r="P487">
        <v>130</v>
      </c>
      <c r="Q487">
        <v>1.5129999999999999</v>
      </c>
      <c r="R487">
        <v>0.22700000000000001</v>
      </c>
      <c r="S487">
        <v>33736</v>
      </c>
      <c r="T487">
        <v>68.8</v>
      </c>
      <c r="U487">
        <v>107.6</v>
      </c>
      <c r="V487">
        <v>664</v>
      </c>
      <c r="W487">
        <v>51.4</v>
      </c>
      <c r="X487">
        <v>125.93</v>
      </c>
      <c r="Y487">
        <v>0</v>
      </c>
    </row>
    <row r="488" spans="1:25" x14ac:dyDescent="0.25">
      <c r="A488" t="s">
        <v>45</v>
      </c>
      <c r="B488">
        <f>_xlfn.XLOOKUP(Table4[[#This Row],[country]],Table2[country],Table2[country_id],FALSE)</f>
        <v>11</v>
      </c>
      <c r="C488" t="s">
        <v>32</v>
      </c>
      <c r="D488">
        <v>2012</v>
      </c>
      <c r="E488">
        <f>_xlfn.XLOOKUP(Table4[[#This Row],[year]],Table1[year],Table1[year_id])</f>
        <v>3</v>
      </c>
      <c r="F488" t="s">
        <v>27</v>
      </c>
      <c r="G488" t="s">
        <v>28</v>
      </c>
      <c r="H488" cm="1">
        <f t="array" ref="H488">_xlfn.XLOOKUP(Table4[[#This Row],[vehicle_segment]]&amp;Table4[[#This Row],[powertrain_type]],Table3[vehicle_segment]&amp;Table3[powertrain_type],Table3[vehicle_id])</f>
        <v>1</v>
      </c>
      <c r="I488">
        <v>24</v>
      </c>
      <c r="J488">
        <v>136301</v>
      </c>
      <c r="K488">
        <v>90868</v>
      </c>
      <c r="L488">
        <v>227193</v>
      </c>
      <c r="M488">
        <v>0.01</v>
      </c>
      <c r="N488">
        <v>343</v>
      </c>
      <c r="O488">
        <v>3.3</v>
      </c>
      <c r="P488">
        <v>146</v>
      </c>
      <c r="Q488">
        <v>1.5269999999999999</v>
      </c>
      <c r="R488">
        <v>0.23100000000000001</v>
      </c>
      <c r="S488">
        <v>33628</v>
      </c>
      <c r="T488">
        <v>68.400000000000006</v>
      </c>
      <c r="U488">
        <v>105.7</v>
      </c>
      <c r="V488">
        <v>1327</v>
      </c>
      <c r="W488">
        <v>53</v>
      </c>
      <c r="X488">
        <v>85.16</v>
      </c>
      <c r="Y488">
        <v>0</v>
      </c>
    </row>
    <row r="489" spans="1:25" x14ac:dyDescent="0.25">
      <c r="A489" t="s">
        <v>45</v>
      </c>
      <c r="B489">
        <f>_xlfn.XLOOKUP(Table4[[#This Row],[country]],Table2[country],Table2[country_id],FALSE)</f>
        <v>11</v>
      </c>
      <c r="C489" t="s">
        <v>32</v>
      </c>
      <c r="D489">
        <v>2012</v>
      </c>
      <c r="E489">
        <f>_xlfn.XLOOKUP(Table4[[#This Row],[year]],Table1[year],Table1[year_id])</f>
        <v>3</v>
      </c>
      <c r="F489" t="s">
        <v>29</v>
      </c>
      <c r="G489" t="s">
        <v>28</v>
      </c>
      <c r="H489" cm="1">
        <f t="array" ref="H489">_xlfn.XLOOKUP(Table4[[#This Row],[vehicle_segment]]&amp;Table4[[#This Row],[powertrain_type]],Table3[vehicle_segment]&amp;Table3[powertrain_type],Table3[vehicle_id])</f>
        <v>2</v>
      </c>
      <c r="I489">
        <v>271</v>
      </c>
      <c r="J489">
        <v>796079</v>
      </c>
      <c r="K489">
        <v>108556</v>
      </c>
      <c r="L489">
        <v>904906</v>
      </c>
      <c r="M489">
        <v>0.03</v>
      </c>
      <c r="N489">
        <v>343</v>
      </c>
      <c r="O489">
        <v>3.3</v>
      </c>
      <c r="P489">
        <v>146</v>
      </c>
      <c r="Q489">
        <v>1.5269999999999999</v>
      </c>
      <c r="R489">
        <v>0.23100000000000001</v>
      </c>
      <c r="S489">
        <v>33628</v>
      </c>
      <c r="T489">
        <v>68.400000000000006</v>
      </c>
      <c r="U489">
        <v>105.7</v>
      </c>
      <c r="V489">
        <v>1327</v>
      </c>
      <c r="W489">
        <v>53</v>
      </c>
      <c r="X489">
        <v>30.92</v>
      </c>
      <c r="Y489">
        <v>0</v>
      </c>
    </row>
    <row r="490" spans="1:25" x14ac:dyDescent="0.25">
      <c r="A490" t="s">
        <v>45</v>
      </c>
      <c r="B490">
        <f>_xlfn.XLOOKUP(Table4[[#This Row],[country]],Table2[country],Table2[country_id],FALSE)</f>
        <v>11</v>
      </c>
      <c r="C490" t="s">
        <v>32</v>
      </c>
      <c r="D490">
        <v>2012</v>
      </c>
      <c r="E490">
        <f>_xlfn.XLOOKUP(Table4[[#This Row],[year]],Table1[year],Table1[year_id])</f>
        <v>3</v>
      </c>
      <c r="F490" t="s">
        <v>30</v>
      </c>
      <c r="G490" t="s">
        <v>28</v>
      </c>
      <c r="H490" cm="1">
        <f t="array" ref="H490">_xlfn.XLOOKUP(Table4[[#This Row],[vehicle_segment]]&amp;Table4[[#This Row],[powertrain_type]],Table3[vehicle_segment]&amp;Table3[powertrain_type],Table3[vehicle_id])</f>
        <v>3</v>
      </c>
      <c r="I490">
        <v>166</v>
      </c>
      <c r="J490">
        <v>350698</v>
      </c>
      <c r="K490">
        <v>30496</v>
      </c>
      <c r="L490">
        <v>381360</v>
      </c>
      <c r="M490">
        <v>0.04</v>
      </c>
      <c r="N490">
        <v>343</v>
      </c>
      <c r="O490">
        <v>3.3</v>
      </c>
      <c r="P490">
        <v>146</v>
      </c>
      <c r="Q490">
        <v>1.5269999999999999</v>
      </c>
      <c r="R490">
        <v>0.23100000000000001</v>
      </c>
      <c r="S490">
        <v>33628</v>
      </c>
      <c r="T490">
        <v>68.400000000000006</v>
      </c>
      <c r="U490">
        <v>105.7</v>
      </c>
      <c r="V490">
        <v>1327</v>
      </c>
      <c r="W490">
        <v>53</v>
      </c>
      <c r="X490">
        <v>36.07</v>
      </c>
      <c r="Y490">
        <v>0</v>
      </c>
    </row>
    <row r="491" spans="1:25" x14ac:dyDescent="0.25">
      <c r="A491" t="s">
        <v>45</v>
      </c>
      <c r="B491">
        <f>_xlfn.XLOOKUP(Table4[[#This Row],[country]],Table2[country],Table2[country_id],FALSE)</f>
        <v>11</v>
      </c>
      <c r="C491" t="s">
        <v>32</v>
      </c>
      <c r="D491">
        <v>2013</v>
      </c>
      <c r="E491">
        <f>_xlfn.XLOOKUP(Table4[[#This Row],[year]],Table1[year],Table1[year_id])</f>
        <v>4</v>
      </c>
      <c r="F491" t="s">
        <v>27</v>
      </c>
      <c r="G491" t="s">
        <v>28</v>
      </c>
      <c r="H491" cm="1">
        <f t="array" ref="H491">_xlfn.XLOOKUP(Table4[[#This Row],[vehicle_segment]]&amp;Table4[[#This Row],[powertrain_type]],Table3[vehicle_segment]&amp;Table3[powertrain_type],Table3[vehicle_id])</f>
        <v>1</v>
      </c>
      <c r="I491">
        <v>54</v>
      </c>
      <c r="J491">
        <v>114655</v>
      </c>
      <c r="K491">
        <v>76437</v>
      </c>
      <c r="L491">
        <v>191146</v>
      </c>
      <c r="M491">
        <v>0.03</v>
      </c>
      <c r="N491">
        <v>517</v>
      </c>
      <c r="O491">
        <v>3.7</v>
      </c>
      <c r="P491">
        <v>153</v>
      </c>
      <c r="Q491">
        <v>1.53</v>
      </c>
      <c r="R491">
        <v>0.23899999999999999</v>
      </c>
      <c r="S491">
        <v>33153</v>
      </c>
      <c r="T491">
        <v>68.8</v>
      </c>
      <c r="U491">
        <v>105.1</v>
      </c>
      <c r="V491">
        <v>2021</v>
      </c>
      <c r="W491">
        <v>54.6</v>
      </c>
      <c r="X491">
        <v>97.59</v>
      </c>
      <c r="Y491">
        <v>0</v>
      </c>
    </row>
    <row r="492" spans="1:25" x14ac:dyDescent="0.25">
      <c r="A492" t="s">
        <v>45</v>
      </c>
      <c r="B492">
        <f>_xlfn.XLOOKUP(Table4[[#This Row],[country]],Table2[country],Table2[country_id],FALSE)</f>
        <v>11</v>
      </c>
      <c r="C492" t="s">
        <v>32</v>
      </c>
      <c r="D492">
        <v>2013</v>
      </c>
      <c r="E492">
        <f>_xlfn.XLOOKUP(Table4[[#This Row],[year]],Table1[year],Table1[year_id])</f>
        <v>4</v>
      </c>
      <c r="F492" t="s">
        <v>29</v>
      </c>
      <c r="G492" t="s">
        <v>28</v>
      </c>
      <c r="H492" cm="1">
        <f t="array" ref="H492">_xlfn.XLOOKUP(Table4[[#This Row],[vehicle_segment]]&amp;Table4[[#This Row],[powertrain_type]],Table3[vehicle_segment]&amp;Table3[powertrain_type],Table3[vehicle_id])</f>
        <v>2</v>
      </c>
      <c r="I492">
        <v>605</v>
      </c>
      <c r="J492">
        <v>664462</v>
      </c>
      <c r="K492">
        <v>90609</v>
      </c>
      <c r="L492">
        <v>755676</v>
      </c>
      <c r="M492">
        <v>0.08</v>
      </c>
      <c r="N492">
        <v>517</v>
      </c>
      <c r="O492">
        <v>3.7</v>
      </c>
      <c r="P492">
        <v>153</v>
      </c>
      <c r="Q492">
        <v>1.53</v>
      </c>
      <c r="R492">
        <v>0.23899999999999999</v>
      </c>
      <c r="S492">
        <v>33153</v>
      </c>
      <c r="T492">
        <v>68.8</v>
      </c>
      <c r="U492">
        <v>105.1</v>
      </c>
      <c r="V492">
        <v>2021</v>
      </c>
      <c r="W492">
        <v>54.6</v>
      </c>
      <c r="X492">
        <v>123.25</v>
      </c>
      <c r="Y492">
        <v>0</v>
      </c>
    </row>
    <row r="493" spans="1:25" x14ac:dyDescent="0.25">
      <c r="A493" t="s">
        <v>45</v>
      </c>
      <c r="B493">
        <f>_xlfn.XLOOKUP(Table4[[#This Row],[country]],Table2[country],Table2[country_id],FALSE)</f>
        <v>11</v>
      </c>
      <c r="C493" t="s">
        <v>32</v>
      </c>
      <c r="D493">
        <v>2013</v>
      </c>
      <c r="E493">
        <f>_xlfn.XLOOKUP(Table4[[#This Row],[year]],Table1[year],Table1[year_id])</f>
        <v>4</v>
      </c>
      <c r="F493" t="s">
        <v>30</v>
      </c>
      <c r="G493" t="s">
        <v>28</v>
      </c>
      <c r="H493" cm="1">
        <f t="array" ref="H493">_xlfn.XLOOKUP(Table4[[#This Row],[vehicle_segment]]&amp;Table4[[#This Row],[powertrain_type]],Table3[vehicle_segment]&amp;Table3[powertrain_type],Table3[vehicle_id])</f>
        <v>3</v>
      </c>
      <c r="I493">
        <v>379</v>
      </c>
      <c r="J493">
        <v>300107</v>
      </c>
      <c r="K493">
        <v>26096</v>
      </c>
      <c r="L493">
        <v>326582</v>
      </c>
      <c r="M493">
        <v>0.12</v>
      </c>
      <c r="N493">
        <v>517</v>
      </c>
      <c r="O493">
        <v>3.7</v>
      </c>
      <c r="P493">
        <v>153</v>
      </c>
      <c r="Q493">
        <v>1.53</v>
      </c>
      <c r="R493">
        <v>0.23899999999999999</v>
      </c>
      <c r="S493">
        <v>33153</v>
      </c>
      <c r="T493">
        <v>68.8</v>
      </c>
      <c r="U493">
        <v>105.1</v>
      </c>
      <c r="V493">
        <v>2021</v>
      </c>
      <c r="W493">
        <v>54.6</v>
      </c>
      <c r="X493">
        <v>128.31</v>
      </c>
      <c r="Y493">
        <v>0</v>
      </c>
    </row>
    <row r="494" spans="1:25" x14ac:dyDescent="0.25">
      <c r="A494" t="s">
        <v>45</v>
      </c>
      <c r="B494">
        <f>_xlfn.XLOOKUP(Table4[[#This Row],[country]],Table2[country],Table2[country_id],FALSE)</f>
        <v>11</v>
      </c>
      <c r="C494" t="s">
        <v>32</v>
      </c>
      <c r="D494">
        <v>2014</v>
      </c>
      <c r="E494">
        <f>_xlfn.XLOOKUP(Table4[[#This Row],[year]],Table1[year],Table1[year_id])</f>
        <v>5</v>
      </c>
      <c r="F494" t="s">
        <v>27</v>
      </c>
      <c r="G494" t="s">
        <v>28</v>
      </c>
      <c r="H494" cm="1">
        <f t="array" ref="H494">_xlfn.XLOOKUP(Table4[[#This Row],[vehicle_segment]]&amp;Table4[[#This Row],[powertrain_type]],Table3[vehicle_segment]&amp;Table3[powertrain_type],Table3[vehicle_id])</f>
        <v>1</v>
      </c>
      <c r="I494">
        <v>76</v>
      </c>
      <c r="J494">
        <v>129831</v>
      </c>
      <c r="K494">
        <v>86554</v>
      </c>
      <c r="L494">
        <v>216461</v>
      </c>
      <c r="M494">
        <v>0.04</v>
      </c>
      <c r="N494">
        <v>1246</v>
      </c>
      <c r="O494">
        <v>4.4000000000000004</v>
      </c>
      <c r="P494">
        <v>154</v>
      </c>
      <c r="Q494">
        <v>1.5469999999999999</v>
      </c>
      <c r="R494">
        <v>0.24399999999999999</v>
      </c>
      <c r="S494">
        <v>31584</v>
      </c>
      <c r="T494">
        <v>68.900000000000006</v>
      </c>
      <c r="U494">
        <v>101.7</v>
      </c>
      <c r="V494">
        <v>2613</v>
      </c>
      <c r="W494">
        <v>56.4</v>
      </c>
      <c r="X494">
        <v>61.63</v>
      </c>
      <c r="Y494">
        <v>0</v>
      </c>
    </row>
    <row r="495" spans="1:25" x14ac:dyDescent="0.25">
      <c r="A495" t="s">
        <v>45</v>
      </c>
      <c r="B495">
        <f>_xlfn.XLOOKUP(Table4[[#This Row],[country]],Table2[country],Table2[country_id],FALSE)</f>
        <v>11</v>
      </c>
      <c r="C495" t="s">
        <v>32</v>
      </c>
      <c r="D495">
        <v>2014</v>
      </c>
      <c r="E495">
        <f>_xlfn.XLOOKUP(Table4[[#This Row],[year]],Table1[year],Table1[year_id])</f>
        <v>5</v>
      </c>
      <c r="F495" t="s">
        <v>29</v>
      </c>
      <c r="G495" t="s">
        <v>28</v>
      </c>
      <c r="H495" cm="1">
        <f t="array" ref="H495">_xlfn.XLOOKUP(Table4[[#This Row],[vehicle_segment]]&amp;Table4[[#This Row],[powertrain_type]],Table3[vehicle_segment]&amp;Table3[powertrain_type],Table3[vehicle_id])</f>
        <v>2</v>
      </c>
      <c r="I495">
        <v>867</v>
      </c>
      <c r="J495">
        <v>762097</v>
      </c>
      <c r="K495">
        <v>103922</v>
      </c>
      <c r="L495">
        <v>866886</v>
      </c>
      <c r="M495">
        <v>0.1</v>
      </c>
      <c r="N495">
        <v>1246</v>
      </c>
      <c r="O495">
        <v>4.4000000000000004</v>
      </c>
      <c r="P495">
        <v>154</v>
      </c>
      <c r="Q495">
        <v>1.5469999999999999</v>
      </c>
      <c r="R495">
        <v>0.24399999999999999</v>
      </c>
      <c r="S495">
        <v>31584</v>
      </c>
      <c r="T495">
        <v>68.900000000000006</v>
      </c>
      <c r="U495">
        <v>101.7</v>
      </c>
      <c r="V495">
        <v>2613</v>
      </c>
      <c r="W495">
        <v>56.4</v>
      </c>
      <c r="X495">
        <v>43.31</v>
      </c>
      <c r="Y495">
        <v>0</v>
      </c>
    </row>
    <row r="496" spans="1:25" x14ac:dyDescent="0.25">
      <c r="A496" t="s">
        <v>45</v>
      </c>
      <c r="B496">
        <f>_xlfn.XLOOKUP(Table4[[#This Row],[country]],Table2[country],Table2[country_id],FALSE)</f>
        <v>11</v>
      </c>
      <c r="C496" t="s">
        <v>32</v>
      </c>
      <c r="D496">
        <v>2014</v>
      </c>
      <c r="E496">
        <f>_xlfn.XLOOKUP(Table4[[#This Row],[year]],Table1[year],Table1[year_id])</f>
        <v>5</v>
      </c>
      <c r="F496" t="s">
        <v>30</v>
      </c>
      <c r="G496" t="s">
        <v>28</v>
      </c>
      <c r="H496" cm="1">
        <f t="array" ref="H496">_xlfn.XLOOKUP(Table4[[#This Row],[vehicle_segment]]&amp;Table4[[#This Row],[powertrain_type]],Table3[vehicle_segment]&amp;Table3[powertrain_type],Table3[vehicle_id])</f>
        <v>3</v>
      </c>
      <c r="I496">
        <v>525</v>
      </c>
      <c r="J496">
        <v>332562</v>
      </c>
      <c r="K496">
        <v>28918</v>
      </c>
      <c r="L496">
        <v>362005</v>
      </c>
      <c r="M496">
        <v>0.15</v>
      </c>
      <c r="N496">
        <v>1246</v>
      </c>
      <c r="O496">
        <v>4.4000000000000004</v>
      </c>
      <c r="P496">
        <v>154</v>
      </c>
      <c r="Q496">
        <v>1.5469999999999999</v>
      </c>
      <c r="R496">
        <v>0.24399999999999999</v>
      </c>
      <c r="S496">
        <v>31584</v>
      </c>
      <c r="T496">
        <v>68.900000000000006</v>
      </c>
      <c r="U496">
        <v>101.7</v>
      </c>
      <c r="V496">
        <v>2613</v>
      </c>
      <c r="W496">
        <v>56.4</v>
      </c>
      <c r="X496">
        <v>38.520000000000003</v>
      </c>
      <c r="Y496">
        <v>0</v>
      </c>
    </row>
    <row r="497" spans="1:25" x14ac:dyDescent="0.25">
      <c r="A497" t="s">
        <v>45</v>
      </c>
      <c r="B497">
        <f>_xlfn.XLOOKUP(Table4[[#This Row],[country]],Table2[country],Table2[country_id],FALSE)</f>
        <v>11</v>
      </c>
      <c r="C497" t="s">
        <v>32</v>
      </c>
      <c r="D497">
        <v>2015</v>
      </c>
      <c r="E497">
        <f>_xlfn.XLOOKUP(Table4[[#This Row],[year]],Table1[year],Table1[year_id])</f>
        <v>6</v>
      </c>
      <c r="F497" t="s">
        <v>27</v>
      </c>
      <c r="G497" t="s">
        <v>28</v>
      </c>
      <c r="H497" cm="1">
        <f t="array" ref="H497">_xlfn.XLOOKUP(Table4[[#This Row],[vehicle_segment]]&amp;Table4[[#This Row],[powertrain_type]],Table3[vehicle_segment]&amp;Table3[powertrain_type],Table3[vehicle_id])</f>
        <v>1</v>
      </c>
      <c r="I497">
        <v>108</v>
      </c>
      <c r="J497">
        <v>142943</v>
      </c>
      <c r="K497">
        <v>95296</v>
      </c>
      <c r="L497">
        <v>238347</v>
      </c>
      <c r="M497">
        <v>0.05</v>
      </c>
      <c r="N497">
        <v>1768</v>
      </c>
      <c r="O497">
        <v>5.5</v>
      </c>
      <c r="P497">
        <v>175</v>
      </c>
      <c r="Q497">
        <v>1.5629999999999999</v>
      </c>
      <c r="R497">
        <v>0.251</v>
      </c>
      <c r="S497">
        <v>29917</v>
      </c>
      <c r="T497">
        <v>69.099999999999994</v>
      </c>
      <c r="U497">
        <v>100</v>
      </c>
      <c r="V497">
        <v>3313</v>
      </c>
      <c r="W497">
        <v>57.5</v>
      </c>
      <c r="X497">
        <v>65.099999999999994</v>
      </c>
      <c r="Y497">
        <v>0</v>
      </c>
    </row>
    <row r="498" spans="1:25" x14ac:dyDescent="0.25">
      <c r="A498" t="s">
        <v>45</v>
      </c>
      <c r="B498">
        <f>_xlfn.XLOOKUP(Table4[[#This Row],[country]],Table2[country],Table2[country_id],FALSE)</f>
        <v>11</v>
      </c>
      <c r="C498" t="s">
        <v>32</v>
      </c>
      <c r="D498">
        <v>2015</v>
      </c>
      <c r="E498">
        <f>_xlfn.XLOOKUP(Table4[[#This Row],[year]],Table1[year],Table1[year_id])</f>
        <v>6</v>
      </c>
      <c r="F498" t="s">
        <v>29</v>
      </c>
      <c r="G498" t="s">
        <v>28</v>
      </c>
      <c r="H498" cm="1">
        <f t="array" ref="H498">_xlfn.XLOOKUP(Table4[[#This Row],[vehicle_segment]]&amp;Table4[[#This Row],[powertrain_type]],Table3[vehicle_segment]&amp;Table3[powertrain_type],Table3[vehicle_id])</f>
        <v>2</v>
      </c>
      <c r="I498">
        <v>1239</v>
      </c>
      <c r="J498">
        <v>837862</v>
      </c>
      <c r="K498">
        <v>114254</v>
      </c>
      <c r="L498">
        <v>953355</v>
      </c>
      <c r="M498">
        <v>0.13</v>
      </c>
      <c r="N498">
        <v>1768</v>
      </c>
      <c r="O498">
        <v>5.5</v>
      </c>
      <c r="P498">
        <v>175</v>
      </c>
      <c r="Q498">
        <v>1.5629999999999999</v>
      </c>
      <c r="R498">
        <v>0.251</v>
      </c>
      <c r="S498">
        <v>29917</v>
      </c>
      <c r="T498">
        <v>69.099999999999994</v>
      </c>
      <c r="U498">
        <v>100</v>
      </c>
      <c r="V498">
        <v>3313</v>
      </c>
      <c r="W498">
        <v>57.5</v>
      </c>
      <c r="X498">
        <v>42.91</v>
      </c>
      <c r="Y498">
        <v>0</v>
      </c>
    </row>
    <row r="499" spans="1:25" x14ac:dyDescent="0.25">
      <c r="A499" t="s">
        <v>45</v>
      </c>
      <c r="B499">
        <f>_xlfn.XLOOKUP(Table4[[#This Row],[country]],Table2[country],Table2[country_id],FALSE)</f>
        <v>11</v>
      </c>
      <c r="C499" t="s">
        <v>32</v>
      </c>
      <c r="D499">
        <v>2015</v>
      </c>
      <c r="E499">
        <f>_xlfn.XLOOKUP(Table4[[#This Row],[year]],Table1[year],Table1[year_id])</f>
        <v>6</v>
      </c>
      <c r="F499" t="s">
        <v>30</v>
      </c>
      <c r="G499" t="s">
        <v>28</v>
      </c>
      <c r="H499" cm="1">
        <f t="array" ref="H499">_xlfn.XLOOKUP(Table4[[#This Row],[vehicle_segment]]&amp;Table4[[#This Row],[powertrain_type]],Table3[vehicle_segment]&amp;Table3[powertrain_type],Table3[vehicle_id])</f>
        <v>3</v>
      </c>
      <c r="I499">
        <v>753</v>
      </c>
      <c r="J499">
        <v>366649</v>
      </c>
      <c r="K499">
        <v>31883</v>
      </c>
      <c r="L499">
        <v>399285</v>
      </c>
      <c r="M499">
        <v>0.19</v>
      </c>
      <c r="N499">
        <v>1768</v>
      </c>
      <c r="O499">
        <v>5.5</v>
      </c>
      <c r="P499">
        <v>175</v>
      </c>
      <c r="Q499">
        <v>1.5629999999999999</v>
      </c>
      <c r="R499">
        <v>0.251</v>
      </c>
      <c r="S499">
        <v>29917</v>
      </c>
      <c r="T499">
        <v>69.099999999999994</v>
      </c>
      <c r="U499">
        <v>100</v>
      </c>
      <c r="V499">
        <v>3313</v>
      </c>
      <c r="W499">
        <v>57.5</v>
      </c>
      <c r="X499">
        <v>43.43</v>
      </c>
      <c r="Y499">
        <v>0</v>
      </c>
    </row>
    <row r="500" spans="1:25" x14ac:dyDescent="0.25">
      <c r="A500" t="s">
        <v>45</v>
      </c>
      <c r="B500">
        <f>_xlfn.XLOOKUP(Table4[[#This Row],[country]],Table2[country],Table2[country_id],FALSE)</f>
        <v>11</v>
      </c>
      <c r="C500" t="s">
        <v>32</v>
      </c>
      <c r="D500">
        <v>2016</v>
      </c>
      <c r="E500">
        <f>_xlfn.XLOOKUP(Table4[[#This Row],[year]],Table1[year],Table1[year_id])</f>
        <v>7</v>
      </c>
      <c r="F500" t="s">
        <v>27</v>
      </c>
      <c r="G500" t="s">
        <v>28</v>
      </c>
      <c r="H500" cm="1">
        <f t="array" ref="H500">_xlfn.XLOOKUP(Table4[[#This Row],[vehicle_segment]]&amp;Table4[[#This Row],[powertrain_type]],Table3[vehicle_segment]&amp;Table3[powertrain_type],Table3[vehicle_id])</f>
        <v>1</v>
      </c>
      <c r="I500">
        <v>136</v>
      </c>
      <c r="J500">
        <v>166586</v>
      </c>
      <c r="K500">
        <v>111057</v>
      </c>
      <c r="L500">
        <v>277779</v>
      </c>
      <c r="M500">
        <v>0.05</v>
      </c>
      <c r="N500">
        <v>3104</v>
      </c>
      <c r="O500">
        <v>5.9</v>
      </c>
      <c r="P500">
        <v>191</v>
      </c>
      <c r="Q500">
        <v>1.577</v>
      </c>
      <c r="R500">
        <v>0.252</v>
      </c>
      <c r="S500">
        <v>31725</v>
      </c>
      <c r="T500">
        <v>69.400000000000006</v>
      </c>
      <c r="U500">
        <v>99.2</v>
      </c>
      <c r="V500">
        <v>4042</v>
      </c>
      <c r="W500">
        <v>60.2</v>
      </c>
      <c r="X500">
        <v>25.93</v>
      </c>
      <c r="Y500">
        <v>0</v>
      </c>
    </row>
    <row r="501" spans="1:25" x14ac:dyDescent="0.25">
      <c r="A501" t="s">
        <v>45</v>
      </c>
      <c r="B501">
        <f>_xlfn.XLOOKUP(Table4[[#This Row],[country]],Table2[country],Table2[country_id],FALSE)</f>
        <v>11</v>
      </c>
      <c r="C501" t="s">
        <v>32</v>
      </c>
      <c r="D501">
        <v>2016</v>
      </c>
      <c r="E501">
        <f>_xlfn.XLOOKUP(Table4[[#This Row],[year]],Table1[year],Table1[year_id])</f>
        <v>7</v>
      </c>
      <c r="F501" t="s">
        <v>29</v>
      </c>
      <c r="G501" t="s">
        <v>28</v>
      </c>
      <c r="H501" cm="1">
        <f t="array" ref="H501">_xlfn.XLOOKUP(Table4[[#This Row],[vehicle_segment]]&amp;Table4[[#This Row],[powertrain_type]],Table3[vehicle_segment]&amp;Table3[powertrain_type],Table3[vehicle_id])</f>
        <v>2</v>
      </c>
      <c r="I501">
        <v>1534</v>
      </c>
      <c r="J501">
        <v>962968</v>
      </c>
      <c r="K501">
        <v>131314</v>
      </c>
      <c r="L501">
        <v>1095816</v>
      </c>
      <c r="M501">
        <v>0.14000000000000001</v>
      </c>
      <c r="N501">
        <v>3104</v>
      </c>
      <c r="O501">
        <v>5.9</v>
      </c>
      <c r="P501">
        <v>191</v>
      </c>
      <c r="Q501">
        <v>1.577</v>
      </c>
      <c r="R501">
        <v>0.252</v>
      </c>
      <c r="S501">
        <v>31725</v>
      </c>
      <c r="T501">
        <v>69.400000000000006</v>
      </c>
      <c r="U501">
        <v>99.2</v>
      </c>
      <c r="V501">
        <v>4042</v>
      </c>
      <c r="W501">
        <v>60.2</v>
      </c>
      <c r="X501">
        <v>23.81</v>
      </c>
      <c r="Y501">
        <v>0</v>
      </c>
    </row>
    <row r="502" spans="1:25" x14ac:dyDescent="0.25">
      <c r="A502" t="s">
        <v>45</v>
      </c>
      <c r="B502">
        <f>_xlfn.XLOOKUP(Table4[[#This Row],[country]],Table2[country],Table2[country_id],FALSE)</f>
        <v>11</v>
      </c>
      <c r="C502" t="s">
        <v>32</v>
      </c>
      <c r="D502">
        <v>2016</v>
      </c>
      <c r="E502">
        <f>_xlfn.XLOOKUP(Table4[[#This Row],[year]],Table1[year],Table1[year_id])</f>
        <v>7</v>
      </c>
      <c r="F502" t="s">
        <v>30</v>
      </c>
      <c r="G502" t="s">
        <v>28</v>
      </c>
      <c r="H502" cm="1">
        <f t="array" ref="H502">_xlfn.XLOOKUP(Table4[[#This Row],[vehicle_segment]]&amp;Table4[[#This Row],[powertrain_type]],Table3[vehicle_segment]&amp;Table3[powertrain_type],Table3[vehicle_id])</f>
        <v>3</v>
      </c>
      <c r="I502">
        <v>924</v>
      </c>
      <c r="J502">
        <v>417697</v>
      </c>
      <c r="K502">
        <v>36321</v>
      </c>
      <c r="L502">
        <v>454942</v>
      </c>
      <c r="M502">
        <v>0.2</v>
      </c>
      <c r="N502">
        <v>3104</v>
      </c>
      <c r="O502">
        <v>5.9</v>
      </c>
      <c r="P502">
        <v>191</v>
      </c>
      <c r="Q502">
        <v>1.577</v>
      </c>
      <c r="R502">
        <v>0.252</v>
      </c>
      <c r="S502">
        <v>31725</v>
      </c>
      <c r="T502">
        <v>69.400000000000006</v>
      </c>
      <c r="U502">
        <v>99.2</v>
      </c>
      <c r="V502">
        <v>4042</v>
      </c>
      <c r="W502">
        <v>60.2</v>
      </c>
      <c r="X502">
        <v>22.71</v>
      </c>
      <c r="Y502">
        <v>0</v>
      </c>
    </row>
    <row r="503" spans="1:25" x14ac:dyDescent="0.25">
      <c r="A503" t="s">
        <v>45</v>
      </c>
      <c r="B503">
        <f>_xlfn.XLOOKUP(Table4[[#This Row],[country]],Table2[country],Table2[country_id],FALSE)</f>
        <v>11</v>
      </c>
      <c r="C503" t="s">
        <v>32</v>
      </c>
      <c r="D503">
        <v>2017</v>
      </c>
      <c r="E503">
        <f>_xlfn.XLOOKUP(Table4[[#This Row],[year]],Table1[year],Table1[year_id])</f>
        <v>8</v>
      </c>
      <c r="F503" t="s">
        <v>27</v>
      </c>
      <c r="G503" t="s">
        <v>28</v>
      </c>
      <c r="H503" cm="1">
        <f t="array" ref="H503">_xlfn.XLOOKUP(Table4[[#This Row],[vehicle_segment]]&amp;Table4[[#This Row],[powertrain_type]],Table3[vehicle_segment]&amp;Table3[powertrain_type],Table3[vehicle_id])</f>
        <v>1</v>
      </c>
      <c r="I503">
        <v>319</v>
      </c>
      <c r="J503">
        <v>176401</v>
      </c>
      <c r="K503">
        <v>117601</v>
      </c>
      <c r="L503">
        <v>294321</v>
      </c>
      <c r="M503">
        <v>0.11</v>
      </c>
      <c r="N503">
        <v>3817</v>
      </c>
      <c r="O503">
        <v>7</v>
      </c>
      <c r="P503">
        <v>223</v>
      </c>
      <c r="Q503">
        <v>1.5669999999999999</v>
      </c>
      <c r="R503">
        <v>0.25800000000000001</v>
      </c>
      <c r="S503">
        <v>31490</v>
      </c>
      <c r="T503">
        <v>69.8</v>
      </c>
      <c r="U503">
        <v>99.2</v>
      </c>
      <c r="V503">
        <v>4682</v>
      </c>
      <c r="W503">
        <v>61.5</v>
      </c>
      <c r="X503">
        <v>134.56</v>
      </c>
      <c r="Y503">
        <v>0</v>
      </c>
    </row>
    <row r="504" spans="1:25" x14ac:dyDescent="0.25">
      <c r="A504" t="s">
        <v>45</v>
      </c>
      <c r="B504">
        <f>_xlfn.XLOOKUP(Table4[[#This Row],[country]],Table2[country],Table2[country_id],FALSE)</f>
        <v>11</v>
      </c>
      <c r="C504" t="s">
        <v>32</v>
      </c>
      <c r="D504">
        <v>2017</v>
      </c>
      <c r="E504">
        <f>_xlfn.XLOOKUP(Table4[[#This Row],[year]],Table1[year],Table1[year_id])</f>
        <v>8</v>
      </c>
      <c r="F504" t="s">
        <v>29</v>
      </c>
      <c r="G504" t="s">
        <v>28</v>
      </c>
      <c r="H504" cm="1">
        <f t="array" ref="H504">_xlfn.XLOOKUP(Table4[[#This Row],[vehicle_segment]]&amp;Table4[[#This Row],[powertrain_type]],Table3[vehicle_segment]&amp;Table3[powertrain_type],Table3[vehicle_id])</f>
        <v>2</v>
      </c>
      <c r="I504">
        <v>3768</v>
      </c>
      <c r="J504">
        <v>1066177</v>
      </c>
      <c r="K504">
        <v>145388</v>
      </c>
      <c r="L504">
        <v>1215333</v>
      </c>
      <c r="M504">
        <v>0.31</v>
      </c>
      <c r="N504">
        <v>3817</v>
      </c>
      <c r="O504">
        <v>7</v>
      </c>
      <c r="P504">
        <v>223</v>
      </c>
      <c r="Q504">
        <v>1.5669999999999999</v>
      </c>
      <c r="R504">
        <v>0.25800000000000001</v>
      </c>
      <c r="S504">
        <v>31490</v>
      </c>
      <c r="T504">
        <v>69.8</v>
      </c>
      <c r="U504">
        <v>99.2</v>
      </c>
      <c r="V504">
        <v>4682</v>
      </c>
      <c r="W504">
        <v>61.5</v>
      </c>
      <c r="X504">
        <v>145.63</v>
      </c>
      <c r="Y504">
        <v>0</v>
      </c>
    </row>
    <row r="505" spans="1:25" x14ac:dyDescent="0.25">
      <c r="A505" t="s">
        <v>45</v>
      </c>
      <c r="B505">
        <f>_xlfn.XLOOKUP(Table4[[#This Row],[country]],Table2[country],Table2[country_id],FALSE)</f>
        <v>11</v>
      </c>
      <c r="C505" t="s">
        <v>32</v>
      </c>
      <c r="D505">
        <v>2017</v>
      </c>
      <c r="E505">
        <f>_xlfn.XLOOKUP(Table4[[#This Row],[year]],Table1[year],Table1[year_id])</f>
        <v>8</v>
      </c>
      <c r="F505" t="s">
        <v>30</v>
      </c>
      <c r="G505" t="s">
        <v>28</v>
      </c>
      <c r="H505" cm="1">
        <f t="array" ref="H505">_xlfn.XLOOKUP(Table4[[#This Row],[vehicle_segment]]&amp;Table4[[#This Row],[powertrain_type]],Table3[vehicle_segment]&amp;Table3[powertrain_type],Table3[vehicle_id])</f>
        <v>3</v>
      </c>
      <c r="I505">
        <v>2280</v>
      </c>
      <c r="J505">
        <v>464492</v>
      </c>
      <c r="K505">
        <v>40391</v>
      </c>
      <c r="L505">
        <v>507163</v>
      </c>
      <c r="M505">
        <v>0.45</v>
      </c>
      <c r="N505">
        <v>3817</v>
      </c>
      <c r="O505">
        <v>7</v>
      </c>
      <c r="P505">
        <v>223</v>
      </c>
      <c r="Q505">
        <v>1.5669999999999999</v>
      </c>
      <c r="R505">
        <v>0.25800000000000001</v>
      </c>
      <c r="S505">
        <v>31490</v>
      </c>
      <c r="T505">
        <v>69.8</v>
      </c>
      <c r="U505">
        <v>99.2</v>
      </c>
      <c r="V505">
        <v>4682</v>
      </c>
      <c r="W505">
        <v>61.5</v>
      </c>
      <c r="X505">
        <v>146.75</v>
      </c>
      <c r="Y505">
        <v>0</v>
      </c>
    </row>
    <row r="506" spans="1:25" x14ac:dyDescent="0.25">
      <c r="A506" t="s">
        <v>45</v>
      </c>
      <c r="B506">
        <f>_xlfn.XLOOKUP(Table4[[#This Row],[country]],Table2[country],Table2[country_id],FALSE)</f>
        <v>11</v>
      </c>
      <c r="C506" t="s">
        <v>32</v>
      </c>
      <c r="D506">
        <v>2018</v>
      </c>
      <c r="E506">
        <f>_xlfn.XLOOKUP(Table4[[#This Row],[year]],Table1[year],Table1[year_id])</f>
        <v>9</v>
      </c>
      <c r="F506" t="s">
        <v>27</v>
      </c>
      <c r="G506" t="s">
        <v>28</v>
      </c>
      <c r="H506" cm="1">
        <f t="array" ref="H506">_xlfn.XLOOKUP(Table4[[#This Row],[vehicle_segment]]&amp;Table4[[#This Row],[powertrain_type]],Table3[vehicle_segment]&amp;Table3[powertrain_type],Table3[vehicle_id])</f>
        <v>1</v>
      </c>
      <c r="I506">
        <v>520</v>
      </c>
      <c r="J506">
        <v>174341</v>
      </c>
      <c r="K506">
        <v>116227</v>
      </c>
      <c r="L506">
        <v>291088</v>
      </c>
      <c r="M506">
        <v>0.18</v>
      </c>
      <c r="N506">
        <v>6437</v>
      </c>
      <c r="O506">
        <v>7.6</v>
      </c>
      <c r="P506">
        <v>262</v>
      </c>
      <c r="Q506">
        <v>1.593</v>
      </c>
      <c r="R506">
        <v>0.25900000000000001</v>
      </c>
      <c r="S506">
        <v>32673</v>
      </c>
      <c r="T506">
        <v>70.3</v>
      </c>
      <c r="U506">
        <v>97.1</v>
      </c>
      <c r="V506">
        <v>5407</v>
      </c>
      <c r="W506">
        <v>66.099999999999994</v>
      </c>
      <c r="X506">
        <v>63.01</v>
      </c>
      <c r="Y506">
        <v>0</v>
      </c>
    </row>
    <row r="507" spans="1:25" x14ac:dyDescent="0.25">
      <c r="A507" t="s">
        <v>45</v>
      </c>
      <c r="B507">
        <f>_xlfn.XLOOKUP(Table4[[#This Row],[country]],Table2[country],Table2[country_id],FALSE)</f>
        <v>11</v>
      </c>
      <c r="C507" t="s">
        <v>32</v>
      </c>
      <c r="D507">
        <v>2018</v>
      </c>
      <c r="E507">
        <f>_xlfn.XLOOKUP(Table4[[#This Row],[year]],Table1[year],Table1[year_id])</f>
        <v>9</v>
      </c>
      <c r="F507" t="s">
        <v>29</v>
      </c>
      <c r="G507" t="s">
        <v>28</v>
      </c>
      <c r="H507" cm="1">
        <f t="array" ref="H507">_xlfn.XLOOKUP(Table4[[#This Row],[vehicle_segment]]&amp;Table4[[#This Row],[powertrain_type]],Table3[vehicle_segment]&amp;Table3[powertrain_type],Table3[vehicle_id])</f>
        <v>2</v>
      </c>
      <c r="I507">
        <v>5963</v>
      </c>
      <c r="J507">
        <v>1023579</v>
      </c>
      <c r="K507">
        <v>139579</v>
      </c>
      <c r="L507">
        <v>1169121</v>
      </c>
      <c r="M507">
        <v>0.51</v>
      </c>
      <c r="N507">
        <v>6437</v>
      </c>
      <c r="O507">
        <v>7.6</v>
      </c>
      <c r="P507">
        <v>262</v>
      </c>
      <c r="Q507">
        <v>1.593</v>
      </c>
      <c r="R507">
        <v>0.25900000000000001</v>
      </c>
      <c r="S507">
        <v>32673</v>
      </c>
      <c r="T507">
        <v>70.3</v>
      </c>
      <c r="U507">
        <v>97.1</v>
      </c>
      <c r="V507">
        <v>5407</v>
      </c>
      <c r="W507">
        <v>66.099999999999994</v>
      </c>
      <c r="X507">
        <v>58.25</v>
      </c>
      <c r="Y507">
        <v>0</v>
      </c>
    </row>
    <row r="508" spans="1:25" x14ac:dyDescent="0.25">
      <c r="A508" t="s">
        <v>45</v>
      </c>
      <c r="B508">
        <f>_xlfn.XLOOKUP(Table4[[#This Row],[country]],Table2[country],Table2[country_id],FALSE)</f>
        <v>11</v>
      </c>
      <c r="C508" t="s">
        <v>32</v>
      </c>
      <c r="D508">
        <v>2018</v>
      </c>
      <c r="E508">
        <f>_xlfn.XLOOKUP(Table4[[#This Row],[year]],Table1[year],Table1[year_id])</f>
        <v>9</v>
      </c>
      <c r="F508" t="s">
        <v>30</v>
      </c>
      <c r="G508" t="s">
        <v>28</v>
      </c>
      <c r="H508" cm="1">
        <f t="array" ref="H508">_xlfn.XLOOKUP(Table4[[#This Row],[vehicle_segment]]&amp;Table4[[#This Row],[powertrain_type]],Table3[vehicle_segment]&amp;Table3[powertrain_type],Table3[vehicle_id])</f>
        <v>3</v>
      </c>
      <c r="I508">
        <v>3565</v>
      </c>
      <c r="J508">
        <v>440223</v>
      </c>
      <c r="K508">
        <v>38280</v>
      </c>
      <c r="L508">
        <v>482068</v>
      </c>
      <c r="M508">
        <v>0.74</v>
      </c>
      <c r="N508">
        <v>6437</v>
      </c>
      <c r="O508">
        <v>7.6</v>
      </c>
      <c r="P508">
        <v>262</v>
      </c>
      <c r="Q508">
        <v>1.593</v>
      </c>
      <c r="R508">
        <v>0.25900000000000001</v>
      </c>
      <c r="S508">
        <v>32673</v>
      </c>
      <c r="T508">
        <v>70.3</v>
      </c>
      <c r="U508">
        <v>97.1</v>
      </c>
      <c r="V508">
        <v>5407</v>
      </c>
      <c r="W508">
        <v>66.099999999999994</v>
      </c>
      <c r="X508">
        <v>56.36</v>
      </c>
      <c r="Y508">
        <v>0</v>
      </c>
    </row>
    <row r="509" spans="1:25" x14ac:dyDescent="0.25">
      <c r="A509" t="s">
        <v>45</v>
      </c>
      <c r="B509">
        <f>_xlfn.XLOOKUP(Table4[[#This Row],[country]],Table2[country],Table2[country_id],FALSE)</f>
        <v>11</v>
      </c>
      <c r="C509" t="s">
        <v>32</v>
      </c>
      <c r="D509">
        <v>2019</v>
      </c>
      <c r="E509">
        <f>_xlfn.XLOOKUP(Table4[[#This Row],[year]],Table1[year],Table1[year_id])</f>
        <v>10</v>
      </c>
      <c r="F509" t="s">
        <v>27</v>
      </c>
      <c r="G509" t="s">
        <v>28</v>
      </c>
      <c r="H509" cm="1">
        <f t="array" ref="H509">_xlfn.XLOOKUP(Table4[[#This Row],[vehicle_segment]]&amp;Table4[[#This Row],[powertrain_type]],Table3[vehicle_segment]&amp;Table3[powertrain_type],Table3[vehicle_id])</f>
        <v>1</v>
      </c>
      <c r="I509">
        <v>905</v>
      </c>
      <c r="J509">
        <v>173696</v>
      </c>
      <c r="K509">
        <v>115798</v>
      </c>
      <c r="L509">
        <v>290399</v>
      </c>
      <c r="M509">
        <v>0.31</v>
      </c>
      <c r="N509">
        <v>9006</v>
      </c>
      <c r="O509">
        <v>7.6</v>
      </c>
      <c r="P509">
        <v>299</v>
      </c>
      <c r="Q509">
        <v>1.653</v>
      </c>
      <c r="R509">
        <v>0.26700000000000002</v>
      </c>
      <c r="S509">
        <v>32947</v>
      </c>
      <c r="T509">
        <v>70.400000000000006</v>
      </c>
      <c r="U509">
        <v>90.5</v>
      </c>
      <c r="V509">
        <v>5962</v>
      </c>
      <c r="W509">
        <v>68.3</v>
      </c>
      <c r="X509">
        <v>74.040000000000006</v>
      </c>
      <c r="Y509">
        <v>0</v>
      </c>
    </row>
    <row r="510" spans="1:25" x14ac:dyDescent="0.25">
      <c r="A510" t="s">
        <v>45</v>
      </c>
      <c r="B510">
        <f>_xlfn.XLOOKUP(Table4[[#This Row],[country]],Table2[country],Table2[country_id],FALSE)</f>
        <v>11</v>
      </c>
      <c r="C510" t="s">
        <v>32</v>
      </c>
      <c r="D510">
        <v>2019</v>
      </c>
      <c r="E510">
        <f>_xlfn.XLOOKUP(Table4[[#This Row],[year]],Table1[year],Table1[year_id])</f>
        <v>10</v>
      </c>
      <c r="F510" t="s">
        <v>29</v>
      </c>
      <c r="G510" t="s">
        <v>28</v>
      </c>
      <c r="H510" cm="1">
        <f t="array" ref="H510">_xlfn.XLOOKUP(Table4[[#This Row],[vehicle_segment]]&amp;Table4[[#This Row],[powertrain_type]],Table3[vehicle_segment]&amp;Table3[powertrain_type],Table3[vehicle_id])</f>
        <v>2</v>
      </c>
      <c r="I510">
        <v>10387</v>
      </c>
      <c r="J510">
        <v>1017917</v>
      </c>
      <c r="K510">
        <v>138807</v>
      </c>
      <c r="L510">
        <v>1167111</v>
      </c>
      <c r="M510">
        <v>0.89</v>
      </c>
      <c r="N510">
        <v>9006</v>
      </c>
      <c r="O510">
        <v>7.6</v>
      </c>
      <c r="P510">
        <v>299</v>
      </c>
      <c r="Q510">
        <v>1.653</v>
      </c>
      <c r="R510">
        <v>0.26700000000000002</v>
      </c>
      <c r="S510">
        <v>32947</v>
      </c>
      <c r="T510">
        <v>70.400000000000006</v>
      </c>
      <c r="U510">
        <v>90.5</v>
      </c>
      <c r="V510">
        <v>5962</v>
      </c>
      <c r="W510">
        <v>68.3</v>
      </c>
      <c r="X510">
        <v>74.19</v>
      </c>
      <c r="Y510">
        <v>0</v>
      </c>
    </row>
    <row r="511" spans="1:25" x14ac:dyDescent="0.25">
      <c r="A511" t="s">
        <v>45</v>
      </c>
      <c r="B511">
        <f>_xlfn.XLOOKUP(Table4[[#This Row],[country]],Table2[country],Table2[country_id],FALSE)</f>
        <v>11</v>
      </c>
      <c r="C511" t="s">
        <v>32</v>
      </c>
      <c r="D511">
        <v>2019</v>
      </c>
      <c r="E511">
        <f>_xlfn.XLOOKUP(Table4[[#This Row],[year]],Table1[year],Table1[year_id])</f>
        <v>10</v>
      </c>
      <c r="F511" t="s">
        <v>30</v>
      </c>
      <c r="G511" t="s">
        <v>28</v>
      </c>
      <c r="H511" cm="1">
        <f t="array" ref="H511">_xlfn.XLOOKUP(Table4[[#This Row],[vehicle_segment]]&amp;Table4[[#This Row],[powertrain_type]],Table3[vehicle_segment]&amp;Table3[powertrain_type],Table3[vehicle_id])</f>
        <v>3</v>
      </c>
      <c r="I511">
        <v>6225</v>
      </c>
      <c r="J511">
        <v>438075</v>
      </c>
      <c r="K511">
        <v>38094</v>
      </c>
      <c r="L511">
        <v>482394</v>
      </c>
      <c r="M511">
        <v>1.29</v>
      </c>
      <c r="N511">
        <v>9006</v>
      </c>
      <c r="O511">
        <v>7.6</v>
      </c>
      <c r="P511">
        <v>299</v>
      </c>
      <c r="Q511">
        <v>1.653</v>
      </c>
      <c r="R511">
        <v>0.26700000000000002</v>
      </c>
      <c r="S511">
        <v>32947</v>
      </c>
      <c r="T511">
        <v>70.400000000000006</v>
      </c>
      <c r="U511">
        <v>90.5</v>
      </c>
      <c r="V511">
        <v>5962</v>
      </c>
      <c r="W511">
        <v>68.3</v>
      </c>
      <c r="X511">
        <v>74.61</v>
      </c>
      <c r="Y511">
        <v>0</v>
      </c>
    </row>
    <row r="512" spans="1:25" x14ac:dyDescent="0.25">
      <c r="A512" t="s">
        <v>45</v>
      </c>
      <c r="B512">
        <f>_xlfn.XLOOKUP(Table4[[#This Row],[country]],Table2[country],Table2[country_id],FALSE)</f>
        <v>11</v>
      </c>
      <c r="C512" t="s">
        <v>32</v>
      </c>
      <c r="D512">
        <v>2020</v>
      </c>
      <c r="E512">
        <f>_xlfn.XLOOKUP(Table4[[#This Row],[year]],Table1[year],Table1[year_id])</f>
        <v>11</v>
      </c>
      <c r="F512" t="s">
        <v>27</v>
      </c>
      <c r="G512" t="s">
        <v>28</v>
      </c>
      <c r="H512" cm="1">
        <f t="array" ref="H512">_xlfn.XLOOKUP(Table4[[#This Row],[vehicle_segment]]&amp;Table4[[#This Row],[powertrain_type]],Table3[vehicle_segment]&amp;Table3[powertrain_type],Table3[vehicle_id])</f>
        <v>1</v>
      </c>
      <c r="I512">
        <v>3323</v>
      </c>
      <c r="J512">
        <v>120514</v>
      </c>
      <c r="K512">
        <v>80343</v>
      </c>
      <c r="L512">
        <v>204180</v>
      </c>
      <c r="M512">
        <v>1.63</v>
      </c>
      <c r="N512">
        <v>12642</v>
      </c>
      <c r="O512">
        <v>11.1</v>
      </c>
      <c r="P512">
        <v>345</v>
      </c>
      <c r="Q512">
        <v>1.79</v>
      </c>
      <c r="R512">
        <v>0.29499999999999998</v>
      </c>
      <c r="S512">
        <v>32676</v>
      </c>
      <c r="T512">
        <v>71.5</v>
      </c>
      <c r="U512">
        <v>86.5</v>
      </c>
      <c r="V512">
        <v>5901</v>
      </c>
      <c r="W512">
        <v>72.599999999999994</v>
      </c>
      <c r="X512">
        <v>267.18</v>
      </c>
      <c r="Y512">
        <v>0</v>
      </c>
    </row>
    <row r="513" spans="1:25" x14ac:dyDescent="0.25">
      <c r="A513" t="s">
        <v>45</v>
      </c>
      <c r="B513">
        <f>_xlfn.XLOOKUP(Table4[[#This Row],[country]],Table2[country],Table2[country_id],FALSE)</f>
        <v>11</v>
      </c>
      <c r="C513" t="s">
        <v>32</v>
      </c>
      <c r="D513">
        <v>2020</v>
      </c>
      <c r="E513">
        <f>_xlfn.XLOOKUP(Table4[[#This Row],[year]],Table1[year],Table1[year_id])</f>
        <v>11</v>
      </c>
      <c r="F513" t="s">
        <v>29</v>
      </c>
      <c r="G513" t="s">
        <v>28</v>
      </c>
      <c r="H513" cm="1">
        <f t="array" ref="H513">_xlfn.XLOOKUP(Table4[[#This Row],[vehicle_segment]]&amp;Table4[[#This Row],[powertrain_type]],Table3[vehicle_segment]&amp;Table3[powertrain_type],Table3[vehicle_id])</f>
        <v>2</v>
      </c>
      <c r="I513">
        <v>37366</v>
      </c>
      <c r="J513">
        <v>674257</v>
      </c>
      <c r="K513">
        <v>91944</v>
      </c>
      <c r="L513">
        <v>803567</v>
      </c>
      <c r="M513">
        <v>4.6500000000000004</v>
      </c>
      <c r="N513">
        <v>12642</v>
      </c>
      <c r="O513">
        <v>11.1</v>
      </c>
      <c r="P513">
        <v>345</v>
      </c>
      <c r="Q513">
        <v>1.79</v>
      </c>
      <c r="R513">
        <v>0.29499999999999998</v>
      </c>
      <c r="S513">
        <v>32676</v>
      </c>
      <c r="T513">
        <v>71.5</v>
      </c>
      <c r="U513">
        <v>86.5</v>
      </c>
      <c r="V513">
        <v>5901</v>
      </c>
      <c r="W513">
        <v>72.599999999999994</v>
      </c>
      <c r="X513">
        <v>259.74</v>
      </c>
      <c r="Y513">
        <v>0</v>
      </c>
    </row>
    <row r="514" spans="1:25" x14ac:dyDescent="0.25">
      <c r="A514" t="s">
        <v>45</v>
      </c>
      <c r="B514">
        <f>_xlfn.XLOOKUP(Table4[[#This Row],[country]],Table2[country],Table2[country_id],FALSE)</f>
        <v>11</v>
      </c>
      <c r="C514" t="s">
        <v>32</v>
      </c>
      <c r="D514">
        <v>2020</v>
      </c>
      <c r="E514">
        <f>_xlfn.XLOOKUP(Table4[[#This Row],[year]],Table1[year],Table1[year_id])</f>
        <v>11</v>
      </c>
      <c r="F514" t="s">
        <v>30</v>
      </c>
      <c r="G514" t="s">
        <v>28</v>
      </c>
      <c r="H514" cm="1">
        <f t="array" ref="H514">_xlfn.XLOOKUP(Table4[[#This Row],[vehicle_segment]]&amp;Table4[[#This Row],[powertrain_type]],Table3[vehicle_segment]&amp;Table3[powertrain_type],Table3[vehicle_id])</f>
        <v>3</v>
      </c>
      <c r="I514">
        <v>22713</v>
      </c>
      <c r="J514">
        <v>289022</v>
      </c>
      <c r="K514">
        <v>25132</v>
      </c>
      <c r="L514">
        <v>336867</v>
      </c>
      <c r="M514">
        <v>6.74</v>
      </c>
      <c r="N514">
        <v>12642</v>
      </c>
      <c r="O514">
        <v>11.1</v>
      </c>
      <c r="P514">
        <v>345</v>
      </c>
      <c r="Q514">
        <v>1.79</v>
      </c>
      <c r="R514">
        <v>0.29499999999999998</v>
      </c>
      <c r="S514">
        <v>32676</v>
      </c>
      <c r="T514">
        <v>71.5</v>
      </c>
      <c r="U514">
        <v>86.5</v>
      </c>
      <c r="V514">
        <v>5901</v>
      </c>
      <c r="W514">
        <v>72.599999999999994</v>
      </c>
      <c r="X514">
        <v>264.87</v>
      </c>
      <c r="Y514">
        <v>0</v>
      </c>
    </row>
    <row r="515" spans="1:25" x14ac:dyDescent="0.25">
      <c r="A515" t="s">
        <v>45</v>
      </c>
      <c r="B515">
        <f>_xlfn.XLOOKUP(Table4[[#This Row],[country]],Table2[country],Table2[country_id],FALSE)</f>
        <v>11</v>
      </c>
      <c r="C515" t="s">
        <v>32</v>
      </c>
      <c r="D515">
        <v>2021</v>
      </c>
      <c r="E515">
        <f>_xlfn.XLOOKUP(Table4[[#This Row],[year]],Table1[year],Table1[year_id])</f>
        <v>12</v>
      </c>
      <c r="F515" t="s">
        <v>27</v>
      </c>
      <c r="G515" t="s">
        <v>28</v>
      </c>
      <c r="H515" cm="1">
        <f t="array" ref="H515">_xlfn.XLOOKUP(Table4[[#This Row],[vehicle_segment]]&amp;Table4[[#This Row],[powertrain_type]],Table3[vehicle_segment]&amp;Table3[powertrain_type],Table3[vehicle_id])</f>
        <v>1</v>
      </c>
      <c r="I515">
        <v>7689</v>
      </c>
      <c r="J515">
        <v>128120</v>
      </c>
      <c r="K515">
        <v>85413</v>
      </c>
      <c r="L515">
        <v>221222</v>
      </c>
      <c r="M515">
        <v>3.48</v>
      </c>
      <c r="N515">
        <v>22496</v>
      </c>
      <c r="O515">
        <v>12.4</v>
      </c>
      <c r="P515">
        <v>377</v>
      </c>
      <c r="Q515">
        <v>1.96</v>
      </c>
      <c r="R515">
        <v>0.34899999999999998</v>
      </c>
      <c r="S515">
        <v>33894</v>
      </c>
      <c r="T515">
        <v>71.2</v>
      </c>
      <c r="U515">
        <v>84.6</v>
      </c>
      <c r="V515">
        <v>5459</v>
      </c>
      <c r="W515">
        <v>73.599999999999994</v>
      </c>
      <c r="X515">
        <v>131.38999999999999</v>
      </c>
      <c r="Y515">
        <v>0</v>
      </c>
    </row>
    <row r="516" spans="1:25" x14ac:dyDescent="0.25">
      <c r="A516" t="s">
        <v>45</v>
      </c>
      <c r="B516">
        <f>_xlfn.XLOOKUP(Table4[[#This Row],[country]],Table2[country],Table2[country_id],FALSE)</f>
        <v>11</v>
      </c>
      <c r="C516" t="s">
        <v>32</v>
      </c>
      <c r="D516">
        <v>2021</v>
      </c>
      <c r="E516">
        <f>_xlfn.XLOOKUP(Table4[[#This Row],[year]],Table1[year],Table1[year_id])</f>
        <v>12</v>
      </c>
      <c r="F516" t="s">
        <v>29</v>
      </c>
      <c r="G516" t="s">
        <v>28</v>
      </c>
      <c r="H516" cm="1">
        <f t="array" ref="H516">_xlfn.XLOOKUP(Table4[[#This Row],[vehicle_segment]]&amp;Table4[[#This Row],[powertrain_type]],Table3[vehicle_segment]&amp;Table3[powertrain_type],Table3[vehicle_id])</f>
        <v>2</v>
      </c>
      <c r="I516">
        <v>88829</v>
      </c>
      <c r="J516">
        <v>709035</v>
      </c>
      <c r="K516">
        <v>96687</v>
      </c>
      <c r="L516">
        <v>894551</v>
      </c>
      <c r="M516">
        <v>9.93</v>
      </c>
      <c r="N516">
        <v>22496</v>
      </c>
      <c r="O516">
        <v>12.4</v>
      </c>
      <c r="P516">
        <v>377</v>
      </c>
      <c r="Q516">
        <v>1.96</v>
      </c>
      <c r="R516">
        <v>0.34899999999999998</v>
      </c>
      <c r="S516">
        <v>33894</v>
      </c>
      <c r="T516">
        <v>71.2</v>
      </c>
      <c r="U516">
        <v>84.6</v>
      </c>
      <c r="V516">
        <v>5459</v>
      </c>
      <c r="W516">
        <v>73.599999999999994</v>
      </c>
      <c r="X516">
        <v>137.72999999999999</v>
      </c>
      <c r="Y516">
        <v>0</v>
      </c>
    </row>
    <row r="517" spans="1:25" x14ac:dyDescent="0.25">
      <c r="A517" t="s">
        <v>45</v>
      </c>
      <c r="B517">
        <f>_xlfn.XLOOKUP(Table4[[#This Row],[country]],Table2[country],Table2[country_id],FALSE)</f>
        <v>11</v>
      </c>
      <c r="C517" t="s">
        <v>32</v>
      </c>
      <c r="D517">
        <v>2021</v>
      </c>
      <c r="E517">
        <f>_xlfn.XLOOKUP(Table4[[#This Row],[year]],Table1[year],Table1[year_id])</f>
        <v>12</v>
      </c>
      <c r="F517" t="s">
        <v>30</v>
      </c>
      <c r="G517" t="s">
        <v>28</v>
      </c>
      <c r="H517" cm="1">
        <f t="array" ref="H517">_xlfn.XLOOKUP(Table4[[#This Row],[vehicle_segment]]&amp;Table4[[#This Row],[powertrain_type]],Table3[vehicle_segment]&amp;Table3[powertrain_type],Table3[vehicle_id])</f>
        <v>3</v>
      </c>
      <c r="I517">
        <v>53160</v>
      </c>
      <c r="J517">
        <v>290759</v>
      </c>
      <c r="K517">
        <v>25283</v>
      </c>
      <c r="L517">
        <v>369202</v>
      </c>
      <c r="M517">
        <v>14.4</v>
      </c>
      <c r="N517">
        <v>22496</v>
      </c>
      <c r="O517">
        <v>12.4</v>
      </c>
      <c r="P517">
        <v>377</v>
      </c>
      <c r="Q517">
        <v>1.96</v>
      </c>
      <c r="R517">
        <v>0.34899999999999998</v>
      </c>
      <c r="S517">
        <v>33894</v>
      </c>
      <c r="T517">
        <v>71.2</v>
      </c>
      <c r="U517">
        <v>84.6</v>
      </c>
      <c r="V517">
        <v>5459</v>
      </c>
      <c r="W517">
        <v>73.599999999999994</v>
      </c>
      <c r="X517">
        <v>134.05000000000001</v>
      </c>
      <c r="Y517">
        <v>0</v>
      </c>
    </row>
    <row r="518" spans="1:25" x14ac:dyDescent="0.25">
      <c r="A518" t="s">
        <v>45</v>
      </c>
      <c r="B518">
        <f>_xlfn.XLOOKUP(Table4[[#This Row],[country]],Table2[country],Table2[country_id],FALSE)</f>
        <v>11</v>
      </c>
      <c r="C518" t="s">
        <v>32</v>
      </c>
      <c r="D518">
        <v>2022</v>
      </c>
      <c r="E518">
        <f>_xlfn.XLOOKUP(Table4[[#This Row],[year]],Table1[year],Table1[year_id])</f>
        <v>13</v>
      </c>
      <c r="F518" t="s">
        <v>27</v>
      </c>
      <c r="G518" t="s">
        <v>28</v>
      </c>
      <c r="H518" cm="1">
        <f t="array" ref="H518">_xlfn.XLOOKUP(Table4[[#This Row],[vehicle_segment]]&amp;Table4[[#This Row],[powertrain_type]],Table3[vehicle_segment]&amp;Table3[powertrain_type],Table3[vehicle_id])</f>
        <v>1</v>
      </c>
      <c r="I518">
        <v>5797</v>
      </c>
      <c r="J518">
        <v>115831</v>
      </c>
      <c r="K518">
        <v>77220</v>
      </c>
      <c r="L518">
        <v>198848</v>
      </c>
      <c r="M518">
        <v>2.92</v>
      </c>
      <c r="N518">
        <v>34576</v>
      </c>
      <c r="O518">
        <v>13.2</v>
      </c>
      <c r="P518">
        <v>400</v>
      </c>
      <c r="Q518">
        <v>2.0430000000000001</v>
      </c>
      <c r="R518">
        <v>0.37903999999999999</v>
      </c>
      <c r="S518">
        <v>34398</v>
      </c>
      <c r="T518">
        <v>71.099999999999994</v>
      </c>
      <c r="U518">
        <v>87.5</v>
      </c>
      <c r="V518">
        <v>5047</v>
      </c>
      <c r="W518">
        <v>77.8</v>
      </c>
      <c r="X518">
        <v>-24.61</v>
      </c>
      <c r="Y518">
        <v>0</v>
      </c>
    </row>
    <row r="519" spans="1:25" x14ac:dyDescent="0.25">
      <c r="A519" t="s">
        <v>45</v>
      </c>
      <c r="B519">
        <f>_xlfn.XLOOKUP(Table4[[#This Row],[country]],Table2[country],Table2[country_id],FALSE)</f>
        <v>11</v>
      </c>
      <c r="C519" t="s">
        <v>32</v>
      </c>
      <c r="D519">
        <v>2022</v>
      </c>
      <c r="E519">
        <f>_xlfn.XLOOKUP(Table4[[#This Row],[year]],Table1[year],Table1[year_id])</f>
        <v>13</v>
      </c>
      <c r="F519" t="s">
        <v>29</v>
      </c>
      <c r="G519" t="s">
        <v>28</v>
      </c>
      <c r="H519" cm="1">
        <f t="array" ref="H519">_xlfn.XLOOKUP(Table4[[#This Row],[vehicle_segment]]&amp;Table4[[#This Row],[powertrain_type]],Table3[vehicle_segment]&amp;Table3[powertrain_type],Table3[vehicle_id])</f>
        <v>2</v>
      </c>
      <c r="I519">
        <v>65788</v>
      </c>
      <c r="J519">
        <v>637103</v>
      </c>
      <c r="K519">
        <v>86878</v>
      </c>
      <c r="L519">
        <v>789769</v>
      </c>
      <c r="M519">
        <v>8.33</v>
      </c>
      <c r="N519">
        <v>34576</v>
      </c>
      <c r="O519">
        <v>13.2</v>
      </c>
      <c r="P519">
        <v>400</v>
      </c>
      <c r="Q519">
        <v>2.0430000000000001</v>
      </c>
      <c r="R519">
        <v>0.37903999999999999</v>
      </c>
      <c r="S519">
        <v>34398</v>
      </c>
      <c r="T519">
        <v>71.099999999999994</v>
      </c>
      <c r="U519">
        <v>87.5</v>
      </c>
      <c r="V519">
        <v>5047</v>
      </c>
      <c r="W519">
        <v>77.8</v>
      </c>
      <c r="X519">
        <v>-25.94</v>
      </c>
      <c r="Y519">
        <v>0</v>
      </c>
    </row>
    <row r="520" spans="1:25" x14ac:dyDescent="0.25">
      <c r="A520" t="s">
        <v>45</v>
      </c>
      <c r="B520">
        <f>_xlfn.XLOOKUP(Table4[[#This Row],[country]],Table2[country],Table2[country_id],FALSE)</f>
        <v>11</v>
      </c>
      <c r="C520" t="s">
        <v>32</v>
      </c>
      <c r="D520">
        <v>2022</v>
      </c>
      <c r="E520">
        <f>_xlfn.XLOOKUP(Table4[[#This Row],[year]],Table1[year],Table1[year_id])</f>
        <v>13</v>
      </c>
      <c r="F520" t="s">
        <v>30</v>
      </c>
      <c r="G520" t="s">
        <v>28</v>
      </c>
      <c r="H520" cm="1">
        <f t="array" ref="H520">_xlfn.XLOOKUP(Table4[[#This Row],[vehicle_segment]]&amp;Table4[[#This Row],[powertrain_type]],Table3[vehicle_segment]&amp;Table3[powertrain_type],Table3[vehicle_id])</f>
        <v>3</v>
      </c>
      <c r="I520">
        <v>42110</v>
      </c>
      <c r="J520">
        <v>261362</v>
      </c>
      <c r="K520">
        <v>22960</v>
      </c>
      <c r="L520">
        <v>326432</v>
      </c>
      <c r="M520">
        <v>12.9</v>
      </c>
      <c r="N520">
        <v>34576</v>
      </c>
      <c r="O520">
        <v>13.2</v>
      </c>
      <c r="P520">
        <v>400</v>
      </c>
      <c r="Q520">
        <v>2.0430000000000001</v>
      </c>
      <c r="R520">
        <v>0.37903999999999999</v>
      </c>
      <c r="S520">
        <v>34398</v>
      </c>
      <c r="T520">
        <v>71.099999999999994</v>
      </c>
      <c r="U520">
        <v>87.5</v>
      </c>
      <c r="V520">
        <v>5047</v>
      </c>
      <c r="W520">
        <v>77.8</v>
      </c>
      <c r="X520">
        <v>-20.79</v>
      </c>
      <c r="Y520">
        <v>0</v>
      </c>
    </row>
    <row r="521" spans="1:25" x14ac:dyDescent="0.25">
      <c r="A521" t="s">
        <v>45</v>
      </c>
      <c r="B521">
        <f>_xlfn.XLOOKUP(Table4[[#This Row],[country]],Table2[country],Table2[country_id],FALSE)</f>
        <v>11</v>
      </c>
      <c r="C521" t="s">
        <v>32</v>
      </c>
      <c r="D521">
        <v>2023</v>
      </c>
      <c r="E521">
        <f>_xlfn.XLOOKUP(Table4[[#This Row],[year]],Table1[year],Table1[year_id])</f>
        <v>14</v>
      </c>
      <c r="F521" t="s">
        <v>27</v>
      </c>
      <c r="G521" t="s">
        <v>28</v>
      </c>
      <c r="H521" cm="1">
        <f t="array" ref="H521">_xlfn.XLOOKUP(Table4[[#This Row],[vehicle_segment]]&amp;Table4[[#This Row],[powertrain_type]],Table3[vehicle_segment]&amp;Table3[powertrain_type],Table3[vehicle_id])</f>
        <v>1</v>
      </c>
      <c r="I521">
        <v>6759</v>
      </c>
      <c r="J521">
        <v>134378</v>
      </c>
      <c r="K521">
        <v>89585</v>
      </c>
      <c r="L521">
        <v>230722</v>
      </c>
      <c r="M521">
        <v>2.93</v>
      </c>
      <c r="N521">
        <v>48063</v>
      </c>
      <c r="O521">
        <v>16.100000000000001</v>
      </c>
      <c r="P521">
        <v>433</v>
      </c>
      <c r="Q521">
        <v>2.0529999999999999</v>
      </c>
      <c r="R521">
        <v>0.37903999999999999</v>
      </c>
      <c r="S521">
        <v>35756</v>
      </c>
      <c r="T521">
        <v>71.3</v>
      </c>
      <c r="U521">
        <v>86.8</v>
      </c>
      <c r="V521">
        <v>4499</v>
      </c>
      <c r="W521">
        <v>78.900000000000006</v>
      </c>
      <c r="X521">
        <v>16.59</v>
      </c>
      <c r="Y521">
        <v>0</v>
      </c>
    </row>
    <row r="522" spans="1:25" x14ac:dyDescent="0.25">
      <c r="A522" t="s">
        <v>45</v>
      </c>
      <c r="B522">
        <f>_xlfn.XLOOKUP(Table4[[#This Row],[country]],Table2[country],Table2[country_id],FALSE)</f>
        <v>11</v>
      </c>
      <c r="C522" t="s">
        <v>32</v>
      </c>
      <c r="D522">
        <v>2023</v>
      </c>
      <c r="E522">
        <f>_xlfn.XLOOKUP(Table4[[#This Row],[year]],Table1[year],Table1[year_id])</f>
        <v>14</v>
      </c>
      <c r="F522" t="s">
        <v>29</v>
      </c>
      <c r="G522" t="s">
        <v>28</v>
      </c>
      <c r="H522" cm="1">
        <f t="array" ref="H522">_xlfn.XLOOKUP(Table4[[#This Row],[vehicle_segment]]&amp;Table4[[#This Row],[powertrain_type]],Table3[vehicle_segment]&amp;Table3[powertrain_type],Table3[vehicle_id])</f>
        <v>2</v>
      </c>
      <c r="I522">
        <v>77963</v>
      </c>
      <c r="J522">
        <v>751073</v>
      </c>
      <c r="K522">
        <v>102419</v>
      </c>
      <c r="L522">
        <v>931455</v>
      </c>
      <c r="M522">
        <v>8.3699999999999992</v>
      </c>
      <c r="N522">
        <v>48063</v>
      </c>
      <c r="O522">
        <v>16.100000000000001</v>
      </c>
      <c r="P522">
        <v>433</v>
      </c>
      <c r="Q522">
        <v>2.0529999999999999</v>
      </c>
      <c r="R522">
        <v>0.37903999999999999</v>
      </c>
      <c r="S522">
        <v>35756</v>
      </c>
      <c r="T522">
        <v>71.3</v>
      </c>
      <c r="U522">
        <v>86.8</v>
      </c>
      <c r="V522">
        <v>4499</v>
      </c>
      <c r="W522">
        <v>78.900000000000006</v>
      </c>
      <c r="X522">
        <v>18.510000000000002</v>
      </c>
      <c r="Y522">
        <v>0</v>
      </c>
    </row>
    <row r="523" spans="1:25" x14ac:dyDescent="0.25">
      <c r="A523" t="s">
        <v>45</v>
      </c>
      <c r="B523">
        <f>_xlfn.XLOOKUP(Table4[[#This Row],[country]],Table2[country],Table2[country_id],FALSE)</f>
        <v>11</v>
      </c>
      <c r="C523" t="s">
        <v>32</v>
      </c>
      <c r="D523">
        <v>2023</v>
      </c>
      <c r="E523">
        <f>_xlfn.XLOOKUP(Table4[[#This Row],[year]],Table1[year],Table1[year_id])</f>
        <v>14</v>
      </c>
      <c r="F523" t="s">
        <v>30</v>
      </c>
      <c r="G523" t="s">
        <v>28</v>
      </c>
      <c r="H523" cm="1">
        <f t="array" ref="H523">_xlfn.XLOOKUP(Table4[[#This Row],[vehicle_segment]]&amp;Table4[[#This Row],[powertrain_type]],Table3[vehicle_segment]&amp;Table3[powertrain_type],Table3[vehicle_id])</f>
        <v>3</v>
      </c>
      <c r="I523">
        <v>47092</v>
      </c>
      <c r="J523">
        <v>313652</v>
      </c>
      <c r="K523">
        <v>27274</v>
      </c>
      <c r="L523">
        <v>388018</v>
      </c>
      <c r="M523">
        <v>12.14</v>
      </c>
      <c r="N523">
        <v>48063</v>
      </c>
      <c r="O523">
        <v>16.100000000000001</v>
      </c>
      <c r="P523">
        <v>433</v>
      </c>
      <c r="Q523">
        <v>2.0529999999999999</v>
      </c>
      <c r="R523">
        <v>0.37903999999999999</v>
      </c>
      <c r="S523">
        <v>35756</v>
      </c>
      <c r="T523">
        <v>71.3</v>
      </c>
      <c r="U523">
        <v>86.8</v>
      </c>
      <c r="V523">
        <v>4499</v>
      </c>
      <c r="W523">
        <v>78.900000000000006</v>
      </c>
      <c r="X523">
        <v>11.83</v>
      </c>
      <c r="Y523">
        <v>0</v>
      </c>
    </row>
    <row r="524" spans="1:25" x14ac:dyDescent="0.25">
      <c r="A524" t="s">
        <v>45</v>
      </c>
      <c r="B524">
        <f>_xlfn.XLOOKUP(Table4[[#This Row],[country]],Table2[country],Table2[country_id],FALSE)</f>
        <v>11</v>
      </c>
      <c r="C524" t="s">
        <v>32</v>
      </c>
      <c r="D524">
        <v>2024</v>
      </c>
      <c r="E524">
        <f>_xlfn.XLOOKUP(Table4[[#This Row],[year]],Table1[year],Table1[year_id])</f>
        <v>15</v>
      </c>
      <c r="F524" t="s">
        <v>27</v>
      </c>
      <c r="G524" t="s">
        <v>28</v>
      </c>
      <c r="H524" cm="1">
        <f t="array" ref="H524">_xlfn.XLOOKUP(Table4[[#This Row],[vehicle_segment]]&amp;Table4[[#This Row],[powertrain_type]],Table3[vehicle_segment]&amp;Table3[powertrain_type],Table3[vehicle_id])</f>
        <v>1</v>
      </c>
      <c r="I524">
        <v>8175</v>
      </c>
      <c r="J524">
        <v>140020</v>
      </c>
      <c r="K524">
        <v>93347</v>
      </c>
      <c r="L524">
        <v>241542</v>
      </c>
      <c r="M524">
        <v>3.38</v>
      </c>
      <c r="N524">
        <v>65326</v>
      </c>
      <c r="O524">
        <v>17.600000000000001</v>
      </c>
      <c r="P524">
        <v>462</v>
      </c>
      <c r="Q524">
        <v>1.9630000000000001</v>
      </c>
      <c r="R524">
        <v>0.35199999999999998</v>
      </c>
      <c r="S524">
        <v>37218</v>
      </c>
      <c r="T524">
        <v>71.8</v>
      </c>
      <c r="U524">
        <v>84.9</v>
      </c>
      <c r="V524">
        <v>3973</v>
      </c>
      <c r="W524">
        <v>82.7</v>
      </c>
      <c r="X524">
        <v>20.95</v>
      </c>
      <c r="Y524">
        <v>0</v>
      </c>
    </row>
    <row r="525" spans="1:25" x14ac:dyDescent="0.25">
      <c r="A525" t="s">
        <v>45</v>
      </c>
      <c r="B525">
        <f>_xlfn.XLOOKUP(Table4[[#This Row],[country]],Table2[country],Table2[country_id],FALSE)</f>
        <v>11</v>
      </c>
      <c r="C525" t="s">
        <v>32</v>
      </c>
      <c r="D525">
        <v>2024</v>
      </c>
      <c r="E525">
        <f>_xlfn.XLOOKUP(Table4[[#This Row],[year]],Table1[year],Table1[year_id])</f>
        <v>15</v>
      </c>
      <c r="F525" t="s">
        <v>29</v>
      </c>
      <c r="G525" t="s">
        <v>28</v>
      </c>
      <c r="H525" cm="1">
        <f t="array" ref="H525">_xlfn.XLOOKUP(Table4[[#This Row],[vehicle_segment]]&amp;Table4[[#This Row],[powertrain_type]],Table3[vehicle_segment]&amp;Table3[powertrain_type],Table3[vehicle_id])</f>
        <v>2</v>
      </c>
      <c r="I525">
        <v>92430</v>
      </c>
      <c r="J525">
        <v>759806</v>
      </c>
      <c r="K525">
        <v>103610</v>
      </c>
      <c r="L525">
        <v>955846</v>
      </c>
      <c r="M525">
        <v>9.67</v>
      </c>
      <c r="N525">
        <v>65326</v>
      </c>
      <c r="O525">
        <v>17.600000000000001</v>
      </c>
      <c r="P525">
        <v>462</v>
      </c>
      <c r="Q525">
        <v>1.9630000000000001</v>
      </c>
      <c r="R525">
        <v>0.35199999999999998</v>
      </c>
      <c r="S525">
        <v>37218</v>
      </c>
      <c r="T525">
        <v>71.8</v>
      </c>
      <c r="U525">
        <v>84.9</v>
      </c>
      <c r="V525">
        <v>3973</v>
      </c>
      <c r="W525">
        <v>82.7</v>
      </c>
      <c r="X525">
        <v>18.559999999999999</v>
      </c>
      <c r="Y525">
        <v>0</v>
      </c>
    </row>
    <row r="526" spans="1:25" x14ac:dyDescent="0.25">
      <c r="A526" t="s">
        <v>45</v>
      </c>
      <c r="B526">
        <f>_xlfn.XLOOKUP(Table4[[#This Row],[country]],Table2[country],Table2[country_id],FALSE)</f>
        <v>11</v>
      </c>
      <c r="C526" t="s">
        <v>32</v>
      </c>
      <c r="D526">
        <v>2024</v>
      </c>
      <c r="E526">
        <f>_xlfn.XLOOKUP(Table4[[#This Row],[year]],Table1[year],Table1[year_id])</f>
        <v>15</v>
      </c>
      <c r="F526" t="s">
        <v>30</v>
      </c>
      <c r="G526" t="s">
        <v>28</v>
      </c>
      <c r="H526" cm="1">
        <f t="array" ref="H526">_xlfn.XLOOKUP(Table4[[#This Row],[vehicle_segment]]&amp;Table4[[#This Row],[powertrain_type]],Table3[vehicle_segment]&amp;Table3[powertrain_type],Table3[vehicle_id])</f>
        <v>3</v>
      </c>
      <c r="I526">
        <v>57073</v>
      </c>
      <c r="J526">
        <v>321971</v>
      </c>
      <c r="K526">
        <v>27998</v>
      </c>
      <c r="L526">
        <v>407042</v>
      </c>
      <c r="M526">
        <v>14.02</v>
      </c>
      <c r="N526">
        <v>65326</v>
      </c>
      <c r="O526">
        <v>17.600000000000001</v>
      </c>
      <c r="P526">
        <v>462</v>
      </c>
      <c r="Q526">
        <v>1.9630000000000001</v>
      </c>
      <c r="R526">
        <v>0.35199999999999998</v>
      </c>
      <c r="S526">
        <v>37218</v>
      </c>
      <c r="T526">
        <v>71.8</v>
      </c>
      <c r="U526">
        <v>84.9</v>
      </c>
      <c r="V526">
        <v>3973</v>
      </c>
      <c r="W526">
        <v>82.7</v>
      </c>
      <c r="X526">
        <v>21.19</v>
      </c>
      <c r="Y526">
        <v>0</v>
      </c>
    </row>
    <row r="527" spans="1:25" x14ac:dyDescent="0.25">
      <c r="A527" t="s">
        <v>45</v>
      </c>
      <c r="B527">
        <f>_xlfn.XLOOKUP(Table4[[#This Row],[country]],Table2[country],Table2[country_id],FALSE)</f>
        <v>11</v>
      </c>
      <c r="C527" t="s">
        <v>32</v>
      </c>
      <c r="D527">
        <v>2025</v>
      </c>
      <c r="E527">
        <f>_xlfn.XLOOKUP(Table4[[#This Row],[year]],Table1[year],Table1[year_id])</f>
        <v>16</v>
      </c>
      <c r="F527" t="s">
        <v>27</v>
      </c>
      <c r="G527" t="s">
        <v>28</v>
      </c>
      <c r="H527" cm="1">
        <f t="array" ref="H527">_xlfn.XLOOKUP(Table4[[#This Row],[vehicle_segment]]&amp;Table4[[#This Row],[powertrain_type]],Table3[vehicle_segment]&amp;Table3[powertrain_type],Table3[vehicle_id])</f>
        <v>1</v>
      </c>
      <c r="I527">
        <v>10080</v>
      </c>
      <c r="J527">
        <v>136411</v>
      </c>
      <c r="K527">
        <v>90941</v>
      </c>
      <c r="L527">
        <v>237432</v>
      </c>
      <c r="M527">
        <v>4.25</v>
      </c>
      <c r="N527">
        <v>77783</v>
      </c>
      <c r="O527">
        <v>19.3</v>
      </c>
      <c r="P527">
        <v>469</v>
      </c>
      <c r="Q527">
        <v>1.89</v>
      </c>
      <c r="R527">
        <v>0.32600000000000001</v>
      </c>
      <c r="S527">
        <v>38575</v>
      </c>
      <c r="T527">
        <v>71.900000000000006</v>
      </c>
      <c r="U527">
        <v>82.5</v>
      </c>
      <c r="V527">
        <v>2975</v>
      </c>
      <c r="W527">
        <v>84.6</v>
      </c>
      <c r="X527">
        <v>23.3</v>
      </c>
      <c r="Y527">
        <v>0</v>
      </c>
    </row>
    <row r="528" spans="1:25" x14ac:dyDescent="0.25">
      <c r="A528" t="s">
        <v>45</v>
      </c>
      <c r="B528">
        <f>_xlfn.XLOOKUP(Table4[[#This Row],[country]],Table2[country],Table2[country_id],FALSE)</f>
        <v>11</v>
      </c>
      <c r="C528" t="s">
        <v>32</v>
      </c>
      <c r="D528">
        <v>2025</v>
      </c>
      <c r="E528">
        <f>_xlfn.XLOOKUP(Table4[[#This Row],[year]],Table1[year],Table1[year_id])</f>
        <v>16</v>
      </c>
      <c r="F528" t="s">
        <v>29</v>
      </c>
      <c r="G528" t="s">
        <v>28</v>
      </c>
      <c r="H528" cm="1">
        <f t="array" ref="H528">_xlfn.XLOOKUP(Table4[[#This Row],[vehicle_segment]]&amp;Table4[[#This Row],[powertrain_type]],Table3[vehicle_segment]&amp;Table3[powertrain_type],Table3[vehicle_id])</f>
        <v>2</v>
      </c>
      <c r="I528">
        <v>118074</v>
      </c>
      <c r="J528">
        <v>752690</v>
      </c>
      <c r="K528">
        <v>102639</v>
      </c>
      <c r="L528">
        <v>973403</v>
      </c>
      <c r="M528">
        <v>12.13</v>
      </c>
      <c r="N528">
        <v>77783</v>
      </c>
      <c r="O528">
        <v>19.3</v>
      </c>
      <c r="P528">
        <v>469</v>
      </c>
      <c r="Q528">
        <v>1.89</v>
      </c>
      <c r="R528">
        <v>0.32600000000000001</v>
      </c>
      <c r="S528">
        <v>38575</v>
      </c>
      <c r="T528">
        <v>71.900000000000006</v>
      </c>
      <c r="U528">
        <v>82.5</v>
      </c>
      <c r="V528">
        <v>2975</v>
      </c>
      <c r="W528">
        <v>84.6</v>
      </c>
      <c r="X528">
        <v>27.74</v>
      </c>
      <c r="Y528">
        <v>0</v>
      </c>
    </row>
    <row r="529" spans="1:25" x14ac:dyDescent="0.25">
      <c r="A529" t="s">
        <v>45</v>
      </c>
      <c r="B529">
        <f>_xlfn.XLOOKUP(Table4[[#This Row],[country]],Table2[country],Table2[country_id],FALSE)</f>
        <v>11</v>
      </c>
      <c r="C529" t="s">
        <v>32</v>
      </c>
      <c r="D529">
        <v>2025</v>
      </c>
      <c r="E529">
        <f>_xlfn.XLOOKUP(Table4[[#This Row],[year]],Table1[year],Table1[year_id])</f>
        <v>16</v>
      </c>
      <c r="F529" t="s">
        <v>30</v>
      </c>
      <c r="G529" t="s">
        <v>28</v>
      </c>
      <c r="H529" cm="1">
        <f t="array" ref="H529">_xlfn.XLOOKUP(Table4[[#This Row],[vehicle_segment]]&amp;Table4[[#This Row],[powertrain_type]],Table3[vehicle_segment]&amp;Table3[powertrain_type],Table3[vehicle_id])</f>
        <v>3</v>
      </c>
      <c r="I529">
        <v>70098</v>
      </c>
      <c r="J529">
        <v>302173</v>
      </c>
      <c r="K529">
        <v>26276</v>
      </c>
      <c r="L529">
        <v>398547</v>
      </c>
      <c r="M529">
        <v>17.59</v>
      </c>
      <c r="N529">
        <v>77783</v>
      </c>
      <c r="O529">
        <v>19.3</v>
      </c>
      <c r="P529">
        <v>469</v>
      </c>
      <c r="Q529">
        <v>1.89</v>
      </c>
      <c r="R529">
        <v>0.32600000000000001</v>
      </c>
      <c r="S529">
        <v>38575</v>
      </c>
      <c r="T529">
        <v>71.900000000000006</v>
      </c>
      <c r="U529">
        <v>82.5</v>
      </c>
      <c r="V529">
        <v>2975</v>
      </c>
      <c r="W529">
        <v>84.6</v>
      </c>
      <c r="X529">
        <v>22.82</v>
      </c>
      <c r="Y529">
        <v>0</v>
      </c>
    </row>
    <row r="530" spans="1:25" x14ac:dyDescent="0.25">
      <c r="A530" t="s">
        <v>46</v>
      </c>
      <c r="B530">
        <f>_xlfn.XLOOKUP(Table4[[#This Row],[country]],Table2[country],Table2[country_id],FALSE)</f>
        <v>12</v>
      </c>
      <c r="C530" t="s">
        <v>40</v>
      </c>
      <c r="D530">
        <v>2010</v>
      </c>
      <c r="E530">
        <f>_xlfn.XLOOKUP(Table4[[#This Row],[year]],Table1[year],Table1[year_id])</f>
        <v>1</v>
      </c>
      <c r="F530" t="s">
        <v>27</v>
      </c>
      <c r="G530" t="s">
        <v>28</v>
      </c>
      <c r="H530" cm="1">
        <f t="array" ref="H530">_xlfn.XLOOKUP(Table4[[#This Row],[vehicle_segment]]&amp;Table4[[#This Row],[powertrain_type]],Table3[vehicle_segment]&amp;Table3[powertrain_type],Table3[vehicle_id])</f>
        <v>1</v>
      </c>
      <c r="I530">
        <v>107</v>
      </c>
      <c r="J530">
        <v>459304</v>
      </c>
      <c r="K530">
        <v>306203</v>
      </c>
      <c r="L530">
        <v>765614</v>
      </c>
      <c r="M530">
        <v>0.01</v>
      </c>
      <c r="N530">
        <v>991</v>
      </c>
      <c r="O530">
        <v>9.8000000000000007</v>
      </c>
      <c r="P530">
        <v>129</v>
      </c>
      <c r="Q530">
        <v>1.29</v>
      </c>
      <c r="R530">
        <v>0.18</v>
      </c>
      <c r="S530">
        <v>44864</v>
      </c>
      <c r="T530">
        <v>90.3</v>
      </c>
      <c r="U530">
        <v>223.2</v>
      </c>
      <c r="V530">
        <v>4452</v>
      </c>
      <c r="W530">
        <v>48.8</v>
      </c>
      <c r="X530">
        <v>0</v>
      </c>
      <c r="Y530">
        <v>0</v>
      </c>
    </row>
    <row r="531" spans="1:25" x14ac:dyDescent="0.25">
      <c r="A531" t="s">
        <v>46</v>
      </c>
      <c r="B531">
        <f>_xlfn.XLOOKUP(Table4[[#This Row],[country]],Table2[country],Table2[country_id],FALSE)</f>
        <v>12</v>
      </c>
      <c r="C531" t="s">
        <v>40</v>
      </c>
      <c r="D531">
        <v>2010</v>
      </c>
      <c r="E531">
        <f>_xlfn.XLOOKUP(Table4[[#This Row],[year]],Table1[year],Table1[year_id])</f>
        <v>1</v>
      </c>
      <c r="F531" t="s">
        <v>29</v>
      </c>
      <c r="G531" t="s">
        <v>28</v>
      </c>
      <c r="H531" cm="1">
        <f t="array" ref="H531">_xlfn.XLOOKUP(Table4[[#This Row],[vehicle_segment]]&amp;Table4[[#This Row],[powertrain_type]],Table3[vehicle_segment]&amp;Table3[powertrain_type],Table3[vehicle_id])</f>
        <v>2</v>
      </c>
      <c r="I531">
        <v>1211</v>
      </c>
      <c r="J531">
        <v>2663470</v>
      </c>
      <c r="K531">
        <v>363200</v>
      </c>
      <c r="L531">
        <v>3027881</v>
      </c>
      <c r="M531">
        <v>0.04</v>
      </c>
      <c r="N531">
        <v>991</v>
      </c>
      <c r="O531">
        <v>9.8000000000000007</v>
      </c>
      <c r="P531">
        <v>129</v>
      </c>
      <c r="Q531">
        <v>1.29</v>
      </c>
      <c r="R531">
        <v>0.18</v>
      </c>
      <c r="S531">
        <v>44864</v>
      </c>
      <c r="T531">
        <v>90.3</v>
      </c>
      <c r="U531">
        <v>223.2</v>
      </c>
      <c r="V531">
        <v>4452</v>
      </c>
      <c r="W531">
        <v>48.8</v>
      </c>
      <c r="X531">
        <v>0</v>
      </c>
      <c r="Y531">
        <v>0</v>
      </c>
    </row>
    <row r="532" spans="1:25" x14ac:dyDescent="0.25">
      <c r="A532" t="s">
        <v>46</v>
      </c>
      <c r="B532">
        <f>_xlfn.XLOOKUP(Table4[[#This Row],[country]],Table2[country],Table2[country_id],FALSE)</f>
        <v>12</v>
      </c>
      <c r="C532" t="s">
        <v>40</v>
      </c>
      <c r="D532">
        <v>2010</v>
      </c>
      <c r="E532">
        <f>_xlfn.XLOOKUP(Table4[[#This Row],[year]],Table1[year],Table1[year_id])</f>
        <v>1</v>
      </c>
      <c r="F532" t="s">
        <v>30</v>
      </c>
      <c r="G532" t="s">
        <v>28</v>
      </c>
      <c r="H532" cm="1">
        <f t="array" ref="H532">_xlfn.XLOOKUP(Table4[[#This Row],[vehicle_segment]]&amp;Table4[[#This Row],[powertrain_type]],Table3[vehicle_segment]&amp;Table3[powertrain_type],Table3[vehicle_id])</f>
        <v>3</v>
      </c>
      <c r="I532">
        <v>718</v>
      </c>
      <c r="J532">
        <v>1138264</v>
      </c>
      <c r="K532">
        <v>98979</v>
      </c>
      <c r="L532">
        <v>1237961</v>
      </c>
      <c r="M532">
        <v>0.06</v>
      </c>
      <c r="N532">
        <v>991</v>
      </c>
      <c r="O532">
        <v>9.8000000000000007</v>
      </c>
      <c r="P532">
        <v>129</v>
      </c>
      <c r="Q532">
        <v>1.29</v>
      </c>
      <c r="R532">
        <v>0.18</v>
      </c>
      <c r="S532">
        <v>44864</v>
      </c>
      <c r="T532">
        <v>90.3</v>
      </c>
      <c r="U532">
        <v>223.2</v>
      </c>
      <c r="V532">
        <v>4452</v>
      </c>
      <c r="W532">
        <v>48.8</v>
      </c>
      <c r="X532">
        <v>0</v>
      </c>
      <c r="Y532">
        <v>0</v>
      </c>
    </row>
    <row r="533" spans="1:25" x14ac:dyDescent="0.25">
      <c r="A533" t="s">
        <v>46</v>
      </c>
      <c r="B533">
        <f>_xlfn.XLOOKUP(Table4[[#This Row],[country]],Table2[country],Table2[country_id],FALSE)</f>
        <v>12</v>
      </c>
      <c r="C533" t="s">
        <v>40</v>
      </c>
      <c r="D533">
        <v>2011</v>
      </c>
      <c r="E533">
        <f>_xlfn.XLOOKUP(Table4[[#This Row],[year]],Table1[year],Table1[year_id])</f>
        <v>2</v>
      </c>
      <c r="F533" t="s">
        <v>27</v>
      </c>
      <c r="G533" t="s">
        <v>28</v>
      </c>
      <c r="H533" cm="1">
        <f t="array" ref="H533">_xlfn.XLOOKUP(Table4[[#This Row],[vehicle_segment]]&amp;Table4[[#This Row],[powertrain_type]],Table3[vehicle_segment]&amp;Table3[powertrain_type],Table3[vehicle_id])</f>
        <v>1</v>
      </c>
      <c r="I533">
        <v>840</v>
      </c>
      <c r="J533">
        <v>464224</v>
      </c>
      <c r="K533">
        <v>309482</v>
      </c>
      <c r="L533">
        <v>774546</v>
      </c>
      <c r="M533">
        <v>0.11</v>
      </c>
      <c r="N533">
        <v>2318</v>
      </c>
      <c r="O533">
        <v>13</v>
      </c>
      <c r="P533">
        <v>129</v>
      </c>
      <c r="Q533">
        <v>1.26</v>
      </c>
      <c r="R533">
        <v>0.19</v>
      </c>
      <c r="S533">
        <v>42613</v>
      </c>
      <c r="T533">
        <v>91.1</v>
      </c>
      <c r="U533">
        <v>226.3</v>
      </c>
      <c r="V533">
        <v>4308</v>
      </c>
      <c r="W533">
        <v>49.3</v>
      </c>
      <c r="X533">
        <v>300</v>
      </c>
      <c r="Y533">
        <v>0</v>
      </c>
    </row>
    <row r="534" spans="1:25" x14ac:dyDescent="0.25">
      <c r="A534" t="s">
        <v>46</v>
      </c>
      <c r="B534">
        <f>_xlfn.XLOOKUP(Table4[[#This Row],[country]],Table2[country],Table2[country_id],FALSE)</f>
        <v>12</v>
      </c>
      <c r="C534" t="s">
        <v>40</v>
      </c>
      <c r="D534">
        <v>2011</v>
      </c>
      <c r="E534">
        <f>_xlfn.XLOOKUP(Table4[[#This Row],[year]],Table1[year],Table1[year_id])</f>
        <v>2</v>
      </c>
      <c r="F534" t="s">
        <v>29</v>
      </c>
      <c r="G534" t="s">
        <v>28</v>
      </c>
      <c r="H534" cm="1">
        <f t="array" ref="H534">_xlfn.XLOOKUP(Table4[[#This Row],[vehicle_segment]]&amp;Table4[[#This Row],[powertrain_type]],Table3[vehicle_segment]&amp;Table3[powertrain_type],Table3[vehicle_id])</f>
        <v>2</v>
      </c>
      <c r="I534">
        <v>9777</v>
      </c>
      <c r="J534">
        <v>2766736</v>
      </c>
      <c r="K534">
        <v>377282</v>
      </c>
      <c r="L534">
        <v>3153795</v>
      </c>
      <c r="M534">
        <v>0.31</v>
      </c>
      <c r="N534">
        <v>2318</v>
      </c>
      <c r="O534">
        <v>13</v>
      </c>
      <c r="P534">
        <v>129</v>
      </c>
      <c r="Q534">
        <v>1.26</v>
      </c>
      <c r="R534">
        <v>0.19</v>
      </c>
      <c r="S534">
        <v>42613</v>
      </c>
      <c r="T534">
        <v>91.1</v>
      </c>
      <c r="U534">
        <v>226.3</v>
      </c>
      <c r="V534">
        <v>4308</v>
      </c>
      <c r="W534">
        <v>49.3</v>
      </c>
      <c r="X534">
        <v>300</v>
      </c>
      <c r="Y534">
        <v>0</v>
      </c>
    </row>
    <row r="535" spans="1:25" x14ac:dyDescent="0.25">
      <c r="A535" t="s">
        <v>46</v>
      </c>
      <c r="B535">
        <f>_xlfn.XLOOKUP(Table4[[#This Row],[country]],Table2[country],Table2[country_id],FALSE)</f>
        <v>12</v>
      </c>
      <c r="C535" t="s">
        <v>40</v>
      </c>
      <c r="D535">
        <v>2011</v>
      </c>
      <c r="E535">
        <f>_xlfn.XLOOKUP(Table4[[#This Row],[year]],Table1[year],Table1[year_id])</f>
        <v>2</v>
      </c>
      <c r="F535" t="s">
        <v>30</v>
      </c>
      <c r="G535" t="s">
        <v>28</v>
      </c>
      <c r="H535" cm="1">
        <f t="array" ref="H535">_xlfn.XLOOKUP(Table4[[#This Row],[vehicle_segment]]&amp;Table4[[#This Row],[powertrain_type]],Table3[vehicle_segment]&amp;Table3[powertrain_type],Table3[vehicle_id])</f>
        <v>3</v>
      </c>
      <c r="I535">
        <v>5821</v>
      </c>
      <c r="J535">
        <v>1185941</v>
      </c>
      <c r="K535">
        <v>103125</v>
      </c>
      <c r="L535">
        <v>1294887</v>
      </c>
      <c r="M535">
        <v>0.45</v>
      </c>
      <c r="N535">
        <v>2318</v>
      </c>
      <c r="O535">
        <v>13</v>
      </c>
      <c r="P535">
        <v>129</v>
      </c>
      <c r="Q535">
        <v>1.26</v>
      </c>
      <c r="R535">
        <v>0.19</v>
      </c>
      <c r="S535">
        <v>42613</v>
      </c>
      <c r="T535">
        <v>91.1</v>
      </c>
      <c r="U535">
        <v>226.3</v>
      </c>
      <c r="V535">
        <v>4308</v>
      </c>
      <c r="W535">
        <v>49.3</v>
      </c>
      <c r="X535">
        <v>300</v>
      </c>
      <c r="Y535">
        <v>0</v>
      </c>
    </row>
    <row r="536" spans="1:25" x14ac:dyDescent="0.25">
      <c r="A536" t="s">
        <v>46</v>
      </c>
      <c r="B536">
        <f>_xlfn.XLOOKUP(Table4[[#This Row],[country]],Table2[country],Table2[country_id],FALSE)</f>
        <v>12</v>
      </c>
      <c r="C536" t="s">
        <v>40</v>
      </c>
      <c r="D536">
        <v>2012</v>
      </c>
      <c r="E536">
        <f>_xlfn.XLOOKUP(Table4[[#This Row],[year]],Table1[year],Table1[year_id])</f>
        <v>3</v>
      </c>
      <c r="F536" t="s">
        <v>27</v>
      </c>
      <c r="G536" t="s">
        <v>28</v>
      </c>
      <c r="H536" cm="1">
        <f t="array" ref="H536">_xlfn.XLOOKUP(Table4[[#This Row],[vehicle_segment]]&amp;Table4[[#This Row],[powertrain_type]],Table3[vehicle_segment]&amp;Table3[powertrain_type],Table3[vehicle_id])</f>
        <v>1</v>
      </c>
      <c r="I536">
        <v>1354</v>
      </c>
      <c r="J536">
        <v>482781</v>
      </c>
      <c r="K536">
        <v>321854</v>
      </c>
      <c r="L536">
        <v>805989</v>
      </c>
      <c r="M536">
        <v>0.17</v>
      </c>
      <c r="N536">
        <v>3571</v>
      </c>
      <c r="O536">
        <v>14.5</v>
      </c>
      <c r="P536">
        <v>143</v>
      </c>
      <c r="Q536">
        <v>1.24</v>
      </c>
      <c r="R536">
        <v>0.19700000000000001</v>
      </c>
      <c r="S536">
        <v>40459</v>
      </c>
      <c r="T536">
        <v>91.2</v>
      </c>
      <c r="U536">
        <v>225.5</v>
      </c>
      <c r="V536">
        <v>4154</v>
      </c>
      <c r="W536">
        <v>51.6</v>
      </c>
      <c r="X536">
        <v>61.19</v>
      </c>
      <c r="Y536">
        <v>0</v>
      </c>
    </row>
    <row r="537" spans="1:25" x14ac:dyDescent="0.25">
      <c r="A537" t="s">
        <v>46</v>
      </c>
      <c r="B537">
        <f>_xlfn.XLOOKUP(Table4[[#This Row],[country]],Table2[country],Table2[country_id],FALSE)</f>
        <v>12</v>
      </c>
      <c r="C537" t="s">
        <v>40</v>
      </c>
      <c r="D537">
        <v>2012</v>
      </c>
      <c r="E537">
        <f>_xlfn.XLOOKUP(Table4[[#This Row],[year]],Table1[year],Table1[year_id])</f>
        <v>3</v>
      </c>
      <c r="F537" t="s">
        <v>29</v>
      </c>
      <c r="G537" t="s">
        <v>28</v>
      </c>
      <c r="H537" cm="1">
        <f t="array" ref="H537">_xlfn.XLOOKUP(Table4[[#This Row],[vehicle_segment]]&amp;Table4[[#This Row],[powertrain_type]],Table3[vehicle_segment]&amp;Table3[powertrain_type],Table3[vehicle_id])</f>
        <v>2</v>
      </c>
      <c r="I537">
        <v>15367</v>
      </c>
      <c r="J537">
        <v>2803798</v>
      </c>
      <c r="K537">
        <v>382336</v>
      </c>
      <c r="L537">
        <v>3201501</v>
      </c>
      <c r="M537">
        <v>0.48</v>
      </c>
      <c r="N537">
        <v>3571</v>
      </c>
      <c r="O537">
        <v>14.5</v>
      </c>
      <c r="P537">
        <v>143</v>
      </c>
      <c r="Q537">
        <v>1.24</v>
      </c>
      <c r="R537">
        <v>0.19700000000000001</v>
      </c>
      <c r="S537">
        <v>40459</v>
      </c>
      <c r="T537">
        <v>91.2</v>
      </c>
      <c r="U537">
        <v>225.5</v>
      </c>
      <c r="V537">
        <v>4154</v>
      </c>
      <c r="W537">
        <v>51.6</v>
      </c>
      <c r="X537">
        <v>57.18</v>
      </c>
      <c r="Y537">
        <v>0</v>
      </c>
    </row>
    <row r="538" spans="1:25" x14ac:dyDescent="0.25">
      <c r="A538" t="s">
        <v>46</v>
      </c>
      <c r="B538">
        <f>_xlfn.XLOOKUP(Table4[[#This Row],[country]],Table2[country],Table2[country_id],FALSE)</f>
        <v>12</v>
      </c>
      <c r="C538" t="s">
        <v>40</v>
      </c>
      <c r="D538">
        <v>2012</v>
      </c>
      <c r="E538">
        <f>_xlfn.XLOOKUP(Table4[[#This Row],[year]],Table1[year],Table1[year_id])</f>
        <v>3</v>
      </c>
      <c r="F538" t="s">
        <v>30</v>
      </c>
      <c r="G538" t="s">
        <v>28</v>
      </c>
      <c r="H538" cm="1">
        <f t="array" ref="H538">_xlfn.XLOOKUP(Table4[[#This Row],[vehicle_segment]]&amp;Table4[[#This Row],[powertrain_type]],Table3[vehicle_segment]&amp;Table3[powertrain_type],Table3[vehicle_id])</f>
        <v>3</v>
      </c>
      <c r="I538">
        <v>9244</v>
      </c>
      <c r="J538">
        <v>1213398</v>
      </c>
      <c r="K538">
        <v>105513</v>
      </c>
      <c r="L538">
        <v>1328155</v>
      </c>
      <c r="M538">
        <v>0.7</v>
      </c>
      <c r="N538">
        <v>3571</v>
      </c>
      <c r="O538">
        <v>14.5</v>
      </c>
      <c r="P538">
        <v>143</v>
      </c>
      <c r="Q538">
        <v>1.24</v>
      </c>
      <c r="R538">
        <v>0.19700000000000001</v>
      </c>
      <c r="S538">
        <v>40459</v>
      </c>
      <c r="T538">
        <v>91.2</v>
      </c>
      <c r="U538">
        <v>225.5</v>
      </c>
      <c r="V538">
        <v>4154</v>
      </c>
      <c r="W538">
        <v>51.6</v>
      </c>
      <c r="X538">
        <v>58.8</v>
      </c>
      <c r="Y538">
        <v>0</v>
      </c>
    </row>
    <row r="539" spans="1:25" x14ac:dyDescent="0.25">
      <c r="A539" t="s">
        <v>46</v>
      </c>
      <c r="B539">
        <f>_xlfn.XLOOKUP(Table4[[#This Row],[country]],Table2[country],Table2[country_id],FALSE)</f>
        <v>12</v>
      </c>
      <c r="C539" t="s">
        <v>40</v>
      </c>
      <c r="D539">
        <v>2013</v>
      </c>
      <c r="E539">
        <f>_xlfn.XLOOKUP(Table4[[#This Row],[year]],Table1[year],Table1[year_id])</f>
        <v>4</v>
      </c>
      <c r="F539" t="s">
        <v>27</v>
      </c>
      <c r="G539" t="s">
        <v>28</v>
      </c>
      <c r="H539" cm="1">
        <f t="array" ref="H539">_xlfn.XLOOKUP(Table4[[#This Row],[vehicle_segment]]&amp;Table4[[#This Row],[powertrain_type]],Table3[vehicle_segment]&amp;Table3[powertrain_type],Table3[vehicle_id])</f>
        <v>1</v>
      </c>
      <c r="I539">
        <v>1561</v>
      </c>
      <c r="J539">
        <v>494524</v>
      </c>
      <c r="K539">
        <v>329682</v>
      </c>
      <c r="L539">
        <v>825767</v>
      </c>
      <c r="M539">
        <v>0.19</v>
      </c>
      <c r="N539">
        <v>4680</v>
      </c>
      <c r="O539">
        <v>18.8</v>
      </c>
      <c r="P539">
        <v>145</v>
      </c>
      <c r="Q539">
        <v>1.2070000000000001</v>
      </c>
      <c r="R539">
        <v>0.20300000000000001</v>
      </c>
      <c r="S539">
        <v>38450</v>
      </c>
      <c r="T539">
        <v>91.2</v>
      </c>
      <c r="U539">
        <v>219.5</v>
      </c>
      <c r="V539">
        <v>3902</v>
      </c>
      <c r="W539">
        <v>53.1</v>
      </c>
      <c r="X539">
        <v>15.29</v>
      </c>
      <c r="Y539">
        <v>0</v>
      </c>
    </row>
    <row r="540" spans="1:25" x14ac:dyDescent="0.25">
      <c r="A540" t="s">
        <v>46</v>
      </c>
      <c r="B540">
        <f>_xlfn.XLOOKUP(Table4[[#This Row],[country]],Table2[country],Table2[country_id],FALSE)</f>
        <v>12</v>
      </c>
      <c r="C540" t="s">
        <v>40</v>
      </c>
      <c r="D540">
        <v>2013</v>
      </c>
      <c r="E540">
        <f>_xlfn.XLOOKUP(Table4[[#This Row],[year]],Table1[year],Table1[year_id])</f>
        <v>4</v>
      </c>
      <c r="F540" t="s">
        <v>29</v>
      </c>
      <c r="G540" t="s">
        <v>28</v>
      </c>
      <c r="H540" cm="1">
        <f t="array" ref="H540">_xlfn.XLOOKUP(Table4[[#This Row],[vehicle_segment]]&amp;Table4[[#This Row],[powertrain_type]],Table3[vehicle_segment]&amp;Table3[powertrain_type],Table3[vehicle_id])</f>
        <v>2</v>
      </c>
      <c r="I540">
        <v>17874</v>
      </c>
      <c r="J540">
        <v>2896997</v>
      </c>
      <c r="K540">
        <v>395045</v>
      </c>
      <c r="L540">
        <v>3309916</v>
      </c>
      <c r="M540">
        <v>0.54</v>
      </c>
      <c r="N540">
        <v>4680</v>
      </c>
      <c r="O540">
        <v>18.8</v>
      </c>
      <c r="P540">
        <v>145</v>
      </c>
      <c r="Q540">
        <v>1.2070000000000001</v>
      </c>
      <c r="R540">
        <v>0.20300000000000001</v>
      </c>
      <c r="S540">
        <v>38450</v>
      </c>
      <c r="T540">
        <v>91.2</v>
      </c>
      <c r="U540">
        <v>219.5</v>
      </c>
      <c r="V540">
        <v>3902</v>
      </c>
      <c r="W540">
        <v>53.1</v>
      </c>
      <c r="X540">
        <v>16.309999999999999</v>
      </c>
      <c r="Y540">
        <v>0</v>
      </c>
    </row>
    <row r="541" spans="1:25" x14ac:dyDescent="0.25">
      <c r="A541" t="s">
        <v>46</v>
      </c>
      <c r="B541">
        <f>_xlfn.XLOOKUP(Table4[[#This Row],[country]],Table2[country],Table2[country_id],FALSE)</f>
        <v>12</v>
      </c>
      <c r="C541" t="s">
        <v>40</v>
      </c>
      <c r="D541">
        <v>2013</v>
      </c>
      <c r="E541">
        <f>_xlfn.XLOOKUP(Table4[[#This Row],[year]],Table1[year],Table1[year_id])</f>
        <v>4</v>
      </c>
      <c r="F541" t="s">
        <v>30</v>
      </c>
      <c r="G541" t="s">
        <v>28</v>
      </c>
      <c r="H541" cm="1">
        <f t="array" ref="H541">_xlfn.XLOOKUP(Table4[[#This Row],[vehicle_segment]]&amp;Table4[[#This Row],[powertrain_type]],Table3[vehicle_segment]&amp;Table3[powertrain_type],Table3[vehicle_id])</f>
        <v>3</v>
      </c>
      <c r="I541">
        <v>10743</v>
      </c>
      <c r="J541">
        <v>1252407</v>
      </c>
      <c r="K541">
        <v>108905</v>
      </c>
      <c r="L541">
        <v>1372055</v>
      </c>
      <c r="M541">
        <v>0.78</v>
      </c>
      <c r="N541">
        <v>4680</v>
      </c>
      <c r="O541">
        <v>18.8</v>
      </c>
      <c r="P541">
        <v>145</v>
      </c>
      <c r="Q541">
        <v>1.2070000000000001</v>
      </c>
      <c r="R541">
        <v>0.20300000000000001</v>
      </c>
      <c r="S541">
        <v>38450</v>
      </c>
      <c r="T541">
        <v>91.2</v>
      </c>
      <c r="U541">
        <v>219.5</v>
      </c>
      <c r="V541">
        <v>3902</v>
      </c>
      <c r="W541">
        <v>53.1</v>
      </c>
      <c r="X541">
        <v>16.22</v>
      </c>
      <c r="Y541">
        <v>0</v>
      </c>
    </row>
    <row r="542" spans="1:25" x14ac:dyDescent="0.25">
      <c r="A542" t="s">
        <v>46</v>
      </c>
      <c r="B542">
        <f>_xlfn.XLOOKUP(Table4[[#This Row],[country]],Table2[country],Table2[country_id],FALSE)</f>
        <v>12</v>
      </c>
      <c r="C542" t="s">
        <v>40</v>
      </c>
      <c r="D542">
        <v>2014</v>
      </c>
      <c r="E542">
        <f>_xlfn.XLOOKUP(Table4[[#This Row],[year]],Table1[year],Table1[year_id])</f>
        <v>5</v>
      </c>
      <c r="F542" t="s">
        <v>27</v>
      </c>
      <c r="G542" t="s">
        <v>28</v>
      </c>
      <c r="H542" cm="1">
        <f t="array" ref="H542">_xlfn.XLOOKUP(Table4[[#This Row],[vehicle_segment]]&amp;Table4[[#This Row],[powertrain_type]],Table3[vehicle_segment]&amp;Table3[powertrain_type],Table3[vehicle_id])</f>
        <v>1</v>
      </c>
      <c r="I542">
        <v>1555</v>
      </c>
      <c r="J542">
        <v>483602</v>
      </c>
      <c r="K542">
        <v>322402</v>
      </c>
      <c r="L542">
        <v>807559</v>
      </c>
      <c r="M542">
        <v>0.19</v>
      </c>
      <c r="N542">
        <v>13099</v>
      </c>
      <c r="O542">
        <v>20.5</v>
      </c>
      <c r="P542">
        <v>156</v>
      </c>
      <c r="Q542">
        <v>1.1599999999999999</v>
      </c>
      <c r="R542">
        <v>0.20899999999999999</v>
      </c>
      <c r="S542">
        <v>36364</v>
      </c>
      <c r="T542">
        <v>91.1</v>
      </c>
      <c r="U542">
        <v>214.1</v>
      </c>
      <c r="V542">
        <v>3697</v>
      </c>
      <c r="W542">
        <v>54.2</v>
      </c>
      <c r="X542">
        <v>-0.38</v>
      </c>
      <c r="Y542">
        <v>0</v>
      </c>
    </row>
    <row r="543" spans="1:25" x14ac:dyDescent="0.25">
      <c r="A543" t="s">
        <v>46</v>
      </c>
      <c r="B543">
        <f>_xlfn.XLOOKUP(Table4[[#This Row],[country]],Table2[country],Table2[country_id],FALSE)</f>
        <v>12</v>
      </c>
      <c r="C543" t="s">
        <v>40</v>
      </c>
      <c r="D543">
        <v>2014</v>
      </c>
      <c r="E543">
        <f>_xlfn.XLOOKUP(Table4[[#This Row],[year]],Table1[year],Table1[year_id])</f>
        <v>5</v>
      </c>
      <c r="F543" t="s">
        <v>29</v>
      </c>
      <c r="G543" t="s">
        <v>28</v>
      </c>
      <c r="H543" cm="1">
        <f t="array" ref="H543">_xlfn.XLOOKUP(Table4[[#This Row],[vehicle_segment]]&amp;Table4[[#This Row],[powertrain_type]],Table3[vehicle_segment]&amp;Table3[powertrain_type],Table3[vehicle_id])</f>
        <v>2</v>
      </c>
      <c r="I543">
        <v>17334</v>
      </c>
      <c r="J543">
        <v>2758127</v>
      </c>
      <c r="K543">
        <v>376108</v>
      </c>
      <c r="L543">
        <v>3151569</v>
      </c>
      <c r="M543">
        <v>0.55000000000000004</v>
      </c>
      <c r="N543">
        <v>13099</v>
      </c>
      <c r="O543">
        <v>20.5</v>
      </c>
      <c r="P543">
        <v>156</v>
      </c>
      <c r="Q543">
        <v>1.1599999999999999</v>
      </c>
      <c r="R543">
        <v>0.20899999999999999</v>
      </c>
      <c r="S543">
        <v>36364</v>
      </c>
      <c r="T543">
        <v>91.1</v>
      </c>
      <c r="U543">
        <v>214.1</v>
      </c>
      <c r="V543">
        <v>3697</v>
      </c>
      <c r="W543">
        <v>54.2</v>
      </c>
      <c r="X543">
        <v>-3.02</v>
      </c>
      <c r="Y543">
        <v>0</v>
      </c>
    </row>
    <row r="544" spans="1:25" x14ac:dyDescent="0.25">
      <c r="A544" t="s">
        <v>46</v>
      </c>
      <c r="B544">
        <f>_xlfn.XLOOKUP(Table4[[#This Row],[country]],Table2[country],Table2[country_id],FALSE)</f>
        <v>12</v>
      </c>
      <c r="C544" t="s">
        <v>40</v>
      </c>
      <c r="D544">
        <v>2014</v>
      </c>
      <c r="E544">
        <f>_xlfn.XLOOKUP(Table4[[#This Row],[year]],Table1[year],Table1[year_id])</f>
        <v>5</v>
      </c>
      <c r="F544" t="s">
        <v>30</v>
      </c>
      <c r="G544" t="s">
        <v>28</v>
      </c>
      <c r="H544" cm="1">
        <f t="array" ref="H544">_xlfn.XLOOKUP(Table4[[#This Row],[vehicle_segment]]&amp;Table4[[#This Row],[powertrain_type]],Table3[vehicle_segment]&amp;Table3[powertrain_type],Table3[vehicle_id])</f>
        <v>3</v>
      </c>
      <c r="I544">
        <v>10511</v>
      </c>
      <c r="J544">
        <v>1202881</v>
      </c>
      <c r="K544">
        <v>104598</v>
      </c>
      <c r="L544">
        <v>1317990</v>
      </c>
      <c r="M544">
        <v>0.8</v>
      </c>
      <c r="N544">
        <v>13099</v>
      </c>
      <c r="O544">
        <v>20.5</v>
      </c>
      <c r="P544">
        <v>156</v>
      </c>
      <c r="Q544">
        <v>1.1599999999999999</v>
      </c>
      <c r="R544">
        <v>0.20899999999999999</v>
      </c>
      <c r="S544">
        <v>36364</v>
      </c>
      <c r="T544">
        <v>91.1</v>
      </c>
      <c r="U544">
        <v>214.1</v>
      </c>
      <c r="V544">
        <v>3697</v>
      </c>
      <c r="W544">
        <v>54.2</v>
      </c>
      <c r="X544">
        <v>-2.16</v>
      </c>
      <c r="Y544">
        <v>0</v>
      </c>
    </row>
    <row r="545" spans="1:25" x14ac:dyDescent="0.25">
      <c r="A545" t="s">
        <v>46</v>
      </c>
      <c r="B545">
        <f>_xlfn.XLOOKUP(Table4[[#This Row],[country]],Table2[country],Table2[country_id],FALSE)</f>
        <v>12</v>
      </c>
      <c r="C545" t="s">
        <v>40</v>
      </c>
      <c r="D545">
        <v>2015</v>
      </c>
      <c r="E545">
        <f>_xlfn.XLOOKUP(Table4[[#This Row],[year]],Table1[year],Table1[year_id])</f>
        <v>6</v>
      </c>
      <c r="F545" t="s">
        <v>27</v>
      </c>
      <c r="G545" t="s">
        <v>28</v>
      </c>
      <c r="H545" cm="1">
        <f t="array" ref="H545">_xlfn.XLOOKUP(Table4[[#This Row],[vehicle_segment]]&amp;Table4[[#This Row],[powertrain_type]],Table3[vehicle_segment]&amp;Table3[powertrain_type],Table3[vehicle_id])</f>
        <v>1</v>
      </c>
      <c r="I545">
        <v>1481</v>
      </c>
      <c r="J545">
        <v>444632</v>
      </c>
      <c r="K545">
        <v>296422</v>
      </c>
      <c r="L545">
        <v>742535</v>
      </c>
      <c r="M545">
        <v>0.2</v>
      </c>
      <c r="N545">
        <v>20717</v>
      </c>
      <c r="O545">
        <v>24.6</v>
      </c>
      <c r="P545">
        <v>170</v>
      </c>
      <c r="Q545">
        <v>1.1299999999999999</v>
      </c>
      <c r="R545">
        <v>0.217</v>
      </c>
      <c r="S545">
        <v>34987</v>
      </c>
      <c r="T545">
        <v>90.9</v>
      </c>
      <c r="U545">
        <v>209.6</v>
      </c>
      <c r="V545">
        <v>3494</v>
      </c>
      <c r="W545">
        <v>55.1</v>
      </c>
      <c r="X545">
        <v>-4.76</v>
      </c>
      <c r="Y545">
        <v>0</v>
      </c>
    </row>
    <row r="546" spans="1:25" x14ac:dyDescent="0.25">
      <c r="A546" t="s">
        <v>46</v>
      </c>
      <c r="B546">
        <f>_xlfn.XLOOKUP(Table4[[#This Row],[country]],Table2[country],Table2[country_id],FALSE)</f>
        <v>12</v>
      </c>
      <c r="C546" t="s">
        <v>40</v>
      </c>
      <c r="D546">
        <v>2015</v>
      </c>
      <c r="E546">
        <f>_xlfn.XLOOKUP(Table4[[#This Row],[year]],Table1[year],Table1[year_id])</f>
        <v>6</v>
      </c>
      <c r="F546" t="s">
        <v>29</v>
      </c>
      <c r="G546" t="s">
        <v>28</v>
      </c>
      <c r="H546" cm="1">
        <f t="array" ref="H546">_xlfn.XLOOKUP(Table4[[#This Row],[vehicle_segment]]&amp;Table4[[#This Row],[powertrain_type]],Table3[vehicle_segment]&amp;Table3[powertrain_type],Table3[vehicle_id])</f>
        <v>2</v>
      </c>
      <c r="I546">
        <v>16840</v>
      </c>
      <c r="J546">
        <v>2585057</v>
      </c>
      <c r="K546">
        <v>352508</v>
      </c>
      <c r="L546">
        <v>2954405</v>
      </c>
      <c r="M546">
        <v>0.56999999999999995</v>
      </c>
      <c r="N546">
        <v>20717</v>
      </c>
      <c r="O546">
        <v>24.6</v>
      </c>
      <c r="P546">
        <v>170</v>
      </c>
      <c r="Q546">
        <v>1.1299999999999999</v>
      </c>
      <c r="R546">
        <v>0.217</v>
      </c>
      <c r="S546">
        <v>34987</v>
      </c>
      <c r="T546">
        <v>90.9</v>
      </c>
      <c r="U546">
        <v>209.6</v>
      </c>
      <c r="V546">
        <v>3494</v>
      </c>
      <c r="W546">
        <v>55.1</v>
      </c>
      <c r="X546">
        <v>-2.85</v>
      </c>
      <c r="Y546">
        <v>0</v>
      </c>
    </row>
    <row r="547" spans="1:25" x14ac:dyDescent="0.25">
      <c r="A547" t="s">
        <v>46</v>
      </c>
      <c r="B547">
        <f>_xlfn.XLOOKUP(Table4[[#This Row],[country]],Table2[country],Table2[country_id],FALSE)</f>
        <v>12</v>
      </c>
      <c r="C547" t="s">
        <v>40</v>
      </c>
      <c r="D547">
        <v>2015</v>
      </c>
      <c r="E547">
        <f>_xlfn.XLOOKUP(Table4[[#This Row],[year]],Table1[year],Table1[year_id])</f>
        <v>6</v>
      </c>
      <c r="F547" t="s">
        <v>30</v>
      </c>
      <c r="G547" t="s">
        <v>28</v>
      </c>
      <c r="H547" cm="1">
        <f t="array" ref="H547">_xlfn.XLOOKUP(Table4[[#This Row],[vehicle_segment]]&amp;Table4[[#This Row],[powertrain_type]],Table3[vehicle_segment]&amp;Table3[powertrain_type],Table3[vehicle_id])</f>
        <v>3</v>
      </c>
      <c r="I547">
        <v>10195</v>
      </c>
      <c r="J547">
        <v>1125440</v>
      </c>
      <c r="K547">
        <v>97864</v>
      </c>
      <c r="L547">
        <v>1233499</v>
      </c>
      <c r="M547">
        <v>0.83</v>
      </c>
      <c r="N547">
        <v>20717</v>
      </c>
      <c r="O547">
        <v>24.6</v>
      </c>
      <c r="P547">
        <v>170</v>
      </c>
      <c r="Q547">
        <v>1.1299999999999999</v>
      </c>
      <c r="R547">
        <v>0.217</v>
      </c>
      <c r="S547">
        <v>34987</v>
      </c>
      <c r="T547">
        <v>90.9</v>
      </c>
      <c r="U547">
        <v>209.6</v>
      </c>
      <c r="V547">
        <v>3494</v>
      </c>
      <c r="W547">
        <v>55.1</v>
      </c>
      <c r="X547">
        <v>-3.01</v>
      </c>
      <c r="Y547">
        <v>0</v>
      </c>
    </row>
    <row r="548" spans="1:25" x14ac:dyDescent="0.25">
      <c r="A548" t="s">
        <v>46</v>
      </c>
      <c r="B548">
        <f>_xlfn.XLOOKUP(Table4[[#This Row],[country]],Table2[country],Table2[country_id],FALSE)</f>
        <v>12</v>
      </c>
      <c r="C548" t="s">
        <v>40</v>
      </c>
      <c r="D548">
        <v>2016</v>
      </c>
      <c r="E548">
        <f>_xlfn.XLOOKUP(Table4[[#This Row],[year]],Table1[year],Table1[year_id])</f>
        <v>7</v>
      </c>
      <c r="F548" t="s">
        <v>27</v>
      </c>
      <c r="G548" t="s">
        <v>28</v>
      </c>
      <c r="H548" cm="1">
        <f t="array" ref="H548">_xlfn.XLOOKUP(Table4[[#This Row],[vehicle_segment]]&amp;Table4[[#This Row],[powertrain_type]],Table3[vehicle_segment]&amp;Table3[powertrain_type],Table3[vehicle_id])</f>
        <v>1</v>
      </c>
      <c r="I548">
        <v>1296</v>
      </c>
      <c r="J548">
        <v>461954</v>
      </c>
      <c r="K548">
        <v>307970</v>
      </c>
      <c r="L548">
        <v>771220</v>
      </c>
      <c r="M548">
        <v>0.17</v>
      </c>
      <c r="N548">
        <v>25175</v>
      </c>
      <c r="O548">
        <v>24.7</v>
      </c>
      <c r="P548">
        <v>186</v>
      </c>
      <c r="Q548">
        <v>1.137</v>
      </c>
      <c r="R548">
        <v>0.222</v>
      </c>
      <c r="S548">
        <v>36638</v>
      </c>
      <c r="T548">
        <v>91.5</v>
      </c>
      <c r="U548">
        <v>210.7</v>
      </c>
      <c r="V548">
        <v>3570</v>
      </c>
      <c r="W548">
        <v>56.6</v>
      </c>
      <c r="X548">
        <v>-12.49</v>
      </c>
      <c r="Y548">
        <v>0</v>
      </c>
    </row>
    <row r="549" spans="1:25" x14ac:dyDescent="0.25">
      <c r="A549" t="s">
        <v>46</v>
      </c>
      <c r="B549">
        <f>_xlfn.XLOOKUP(Table4[[#This Row],[country]],Table2[country],Table2[country_id],FALSE)</f>
        <v>12</v>
      </c>
      <c r="C549" t="s">
        <v>40</v>
      </c>
      <c r="D549">
        <v>2016</v>
      </c>
      <c r="E549">
        <f>_xlfn.XLOOKUP(Table4[[#This Row],[year]],Table1[year],Table1[year_id])</f>
        <v>7</v>
      </c>
      <c r="F549" t="s">
        <v>29</v>
      </c>
      <c r="G549" t="s">
        <v>28</v>
      </c>
      <c r="H549" cm="1">
        <f t="array" ref="H549">_xlfn.XLOOKUP(Table4[[#This Row],[vehicle_segment]]&amp;Table4[[#This Row],[powertrain_type]],Table3[vehicle_segment]&amp;Table3[powertrain_type],Table3[vehicle_id])</f>
        <v>2</v>
      </c>
      <c r="I549">
        <v>14837</v>
      </c>
      <c r="J549">
        <v>2707122</v>
      </c>
      <c r="K549">
        <v>369153</v>
      </c>
      <c r="L549">
        <v>3091112</v>
      </c>
      <c r="M549">
        <v>0.48</v>
      </c>
      <c r="N549">
        <v>25175</v>
      </c>
      <c r="O549">
        <v>24.7</v>
      </c>
      <c r="P549">
        <v>186</v>
      </c>
      <c r="Q549">
        <v>1.137</v>
      </c>
      <c r="R549">
        <v>0.222</v>
      </c>
      <c r="S549">
        <v>36638</v>
      </c>
      <c r="T549">
        <v>91.5</v>
      </c>
      <c r="U549">
        <v>210.7</v>
      </c>
      <c r="V549">
        <v>3570</v>
      </c>
      <c r="W549">
        <v>56.6</v>
      </c>
      <c r="X549">
        <v>-11.89</v>
      </c>
      <c r="Y549">
        <v>0</v>
      </c>
    </row>
    <row r="550" spans="1:25" x14ac:dyDescent="0.25">
      <c r="A550" t="s">
        <v>46</v>
      </c>
      <c r="B550">
        <f>_xlfn.XLOOKUP(Table4[[#This Row],[country]],Table2[country],Table2[country_id],FALSE)</f>
        <v>12</v>
      </c>
      <c r="C550" t="s">
        <v>40</v>
      </c>
      <c r="D550">
        <v>2016</v>
      </c>
      <c r="E550">
        <f>_xlfn.XLOOKUP(Table4[[#This Row],[year]],Table1[year],Table1[year_id])</f>
        <v>7</v>
      </c>
      <c r="F550" t="s">
        <v>30</v>
      </c>
      <c r="G550" t="s">
        <v>28</v>
      </c>
      <c r="H550" cm="1">
        <f t="array" ref="H550">_xlfn.XLOOKUP(Table4[[#This Row],[vehicle_segment]]&amp;Table4[[#This Row],[powertrain_type]],Table3[vehicle_segment]&amp;Table3[powertrain_type],Table3[vehicle_id])</f>
        <v>3</v>
      </c>
      <c r="I550">
        <v>9052</v>
      </c>
      <c r="J550">
        <v>1188232</v>
      </c>
      <c r="K550">
        <v>103324</v>
      </c>
      <c r="L550">
        <v>1300608</v>
      </c>
      <c r="M550">
        <v>0.7</v>
      </c>
      <c r="N550">
        <v>25175</v>
      </c>
      <c r="O550">
        <v>24.7</v>
      </c>
      <c r="P550">
        <v>186</v>
      </c>
      <c r="Q550">
        <v>1.137</v>
      </c>
      <c r="R550">
        <v>0.222</v>
      </c>
      <c r="S550">
        <v>36638</v>
      </c>
      <c r="T550">
        <v>91.5</v>
      </c>
      <c r="U550">
        <v>210.7</v>
      </c>
      <c r="V550">
        <v>3570</v>
      </c>
      <c r="W550">
        <v>56.6</v>
      </c>
      <c r="X550">
        <v>-11.21</v>
      </c>
      <c r="Y550">
        <v>0</v>
      </c>
    </row>
    <row r="551" spans="1:25" x14ac:dyDescent="0.25">
      <c r="A551" t="s">
        <v>46</v>
      </c>
      <c r="B551">
        <f>_xlfn.XLOOKUP(Table4[[#This Row],[country]],Table2[country],Table2[country_id],FALSE)</f>
        <v>12</v>
      </c>
      <c r="C551" t="s">
        <v>40</v>
      </c>
      <c r="D551">
        <v>2017</v>
      </c>
      <c r="E551">
        <f>_xlfn.XLOOKUP(Table4[[#This Row],[year]],Table1[year],Table1[year_id])</f>
        <v>8</v>
      </c>
      <c r="F551" t="s">
        <v>27</v>
      </c>
      <c r="G551" t="s">
        <v>28</v>
      </c>
      <c r="H551" cm="1">
        <f t="array" ref="H551">_xlfn.XLOOKUP(Table4[[#This Row],[vehicle_segment]]&amp;Table4[[#This Row],[powertrain_type]],Table3[vehicle_segment]&amp;Table3[powertrain_type],Table3[vehicle_id])</f>
        <v>1</v>
      </c>
      <c r="I551">
        <v>1934</v>
      </c>
      <c r="J551">
        <v>459325</v>
      </c>
      <c r="K551">
        <v>306216</v>
      </c>
      <c r="L551">
        <v>767475</v>
      </c>
      <c r="M551">
        <v>0.25</v>
      </c>
      <c r="N551">
        <v>29590</v>
      </c>
      <c r="O551">
        <v>24.4</v>
      </c>
      <c r="P551">
        <v>221</v>
      </c>
      <c r="Q551">
        <v>1.17</v>
      </c>
      <c r="R551">
        <v>0.223</v>
      </c>
      <c r="S551">
        <v>37440</v>
      </c>
      <c r="T551">
        <v>92</v>
      </c>
      <c r="U551">
        <v>209</v>
      </c>
      <c r="V551">
        <v>3740</v>
      </c>
      <c r="W551">
        <v>59.3</v>
      </c>
      <c r="X551">
        <v>49.23</v>
      </c>
      <c r="Y551">
        <v>0</v>
      </c>
    </row>
    <row r="552" spans="1:25" x14ac:dyDescent="0.25">
      <c r="A552" t="s">
        <v>46</v>
      </c>
      <c r="B552">
        <f>_xlfn.XLOOKUP(Table4[[#This Row],[country]],Table2[country],Table2[country_id],FALSE)</f>
        <v>12</v>
      </c>
      <c r="C552" t="s">
        <v>40</v>
      </c>
      <c r="D552">
        <v>2017</v>
      </c>
      <c r="E552">
        <f>_xlfn.XLOOKUP(Table4[[#This Row],[year]],Table1[year],Table1[year_id])</f>
        <v>8</v>
      </c>
      <c r="F552" t="s">
        <v>29</v>
      </c>
      <c r="G552" t="s">
        <v>28</v>
      </c>
      <c r="H552" cm="1">
        <f t="array" ref="H552">_xlfn.XLOOKUP(Table4[[#This Row],[vehicle_segment]]&amp;Table4[[#This Row],[powertrain_type]],Table3[vehicle_segment]&amp;Table3[powertrain_type],Table3[vehicle_id])</f>
        <v>2</v>
      </c>
      <c r="I552">
        <v>21625</v>
      </c>
      <c r="J552">
        <v>2623997</v>
      </c>
      <c r="K552">
        <v>357818</v>
      </c>
      <c r="L552">
        <v>3003440</v>
      </c>
      <c r="M552">
        <v>0.72</v>
      </c>
      <c r="N552">
        <v>29590</v>
      </c>
      <c r="O552">
        <v>24.4</v>
      </c>
      <c r="P552">
        <v>221</v>
      </c>
      <c r="Q552">
        <v>1.17</v>
      </c>
      <c r="R552">
        <v>0.223</v>
      </c>
      <c r="S552">
        <v>37440</v>
      </c>
      <c r="T552">
        <v>92</v>
      </c>
      <c r="U552">
        <v>209</v>
      </c>
      <c r="V552">
        <v>3740</v>
      </c>
      <c r="W552">
        <v>59.3</v>
      </c>
      <c r="X552">
        <v>45.75</v>
      </c>
      <c r="Y552">
        <v>0</v>
      </c>
    </row>
    <row r="553" spans="1:25" x14ac:dyDescent="0.25">
      <c r="A553" t="s">
        <v>46</v>
      </c>
      <c r="B553">
        <f>_xlfn.XLOOKUP(Table4[[#This Row],[country]],Table2[country],Table2[country_id],FALSE)</f>
        <v>12</v>
      </c>
      <c r="C553" t="s">
        <v>40</v>
      </c>
      <c r="D553">
        <v>2017</v>
      </c>
      <c r="E553">
        <f>_xlfn.XLOOKUP(Table4[[#This Row],[year]],Table1[year],Table1[year_id])</f>
        <v>8</v>
      </c>
      <c r="F553" t="s">
        <v>30</v>
      </c>
      <c r="G553" t="s">
        <v>28</v>
      </c>
      <c r="H553" cm="1">
        <f t="array" ref="H553">_xlfn.XLOOKUP(Table4[[#This Row],[vehicle_segment]]&amp;Table4[[#This Row],[powertrain_type]],Table3[vehicle_segment]&amp;Table3[powertrain_type],Table3[vehicle_id])</f>
        <v>3</v>
      </c>
      <c r="I553">
        <v>13428</v>
      </c>
      <c r="J553">
        <v>1170960</v>
      </c>
      <c r="K553">
        <v>101823</v>
      </c>
      <c r="L553">
        <v>1286211</v>
      </c>
      <c r="M553">
        <v>1.04</v>
      </c>
      <c r="N553">
        <v>29590</v>
      </c>
      <c r="O553">
        <v>24.4</v>
      </c>
      <c r="P553">
        <v>221</v>
      </c>
      <c r="Q553">
        <v>1.17</v>
      </c>
      <c r="R553">
        <v>0.223</v>
      </c>
      <c r="S553">
        <v>37440</v>
      </c>
      <c r="T553">
        <v>92</v>
      </c>
      <c r="U553">
        <v>209</v>
      </c>
      <c r="V553">
        <v>3740</v>
      </c>
      <c r="W553">
        <v>59.3</v>
      </c>
      <c r="X553">
        <v>48.34</v>
      </c>
      <c r="Y553">
        <v>0</v>
      </c>
    </row>
    <row r="554" spans="1:25" x14ac:dyDescent="0.25">
      <c r="A554" t="s">
        <v>46</v>
      </c>
      <c r="B554">
        <f>_xlfn.XLOOKUP(Table4[[#This Row],[country]],Table2[country],Table2[country_id],FALSE)</f>
        <v>12</v>
      </c>
      <c r="C554" t="s">
        <v>40</v>
      </c>
      <c r="D554">
        <v>2018</v>
      </c>
      <c r="E554">
        <f>_xlfn.XLOOKUP(Table4[[#This Row],[year]],Table1[year],Table1[year_id])</f>
        <v>9</v>
      </c>
      <c r="F554" t="s">
        <v>27</v>
      </c>
      <c r="G554" t="s">
        <v>28</v>
      </c>
      <c r="H554" cm="1">
        <f t="array" ref="H554">_xlfn.XLOOKUP(Table4[[#This Row],[vehicle_segment]]&amp;Table4[[#This Row],[powertrain_type]],Table3[vehicle_segment]&amp;Table3[powertrain_type],Table3[vehicle_id])</f>
        <v>1</v>
      </c>
      <c r="I554">
        <v>2592</v>
      </c>
      <c r="J554">
        <v>466173</v>
      </c>
      <c r="K554">
        <v>310782</v>
      </c>
      <c r="L554">
        <v>779547</v>
      </c>
      <c r="M554">
        <v>0.33</v>
      </c>
      <c r="N554">
        <v>29251</v>
      </c>
      <c r="O554">
        <v>25.9</v>
      </c>
      <c r="P554">
        <v>256</v>
      </c>
      <c r="Q554">
        <v>1.2130000000000001</v>
      </c>
      <c r="R554">
        <v>0.221</v>
      </c>
      <c r="S554">
        <v>38729</v>
      </c>
      <c r="T554">
        <v>91.5</v>
      </c>
      <c r="U554">
        <v>208.7</v>
      </c>
      <c r="V554">
        <v>3892</v>
      </c>
      <c r="W554">
        <v>61.2</v>
      </c>
      <c r="X554">
        <v>34.020000000000003</v>
      </c>
      <c r="Y554">
        <v>0</v>
      </c>
    </row>
    <row r="555" spans="1:25" x14ac:dyDescent="0.25">
      <c r="A555" t="s">
        <v>46</v>
      </c>
      <c r="B555">
        <f>_xlfn.XLOOKUP(Table4[[#This Row],[country]],Table2[country],Table2[country_id],FALSE)</f>
        <v>12</v>
      </c>
      <c r="C555" t="s">
        <v>40</v>
      </c>
      <c r="D555">
        <v>2018</v>
      </c>
      <c r="E555">
        <f>_xlfn.XLOOKUP(Table4[[#This Row],[year]],Table1[year],Table1[year_id])</f>
        <v>9</v>
      </c>
      <c r="F555" t="s">
        <v>29</v>
      </c>
      <c r="G555" t="s">
        <v>28</v>
      </c>
      <c r="H555" cm="1">
        <f t="array" ref="H555">_xlfn.XLOOKUP(Table4[[#This Row],[vehicle_segment]]&amp;Table4[[#This Row],[powertrain_type]],Table3[vehicle_segment]&amp;Table3[powertrain_type],Table3[vehicle_id])</f>
        <v>2</v>
      </c>
      <c r="I555">
        <v>29613</v>
      </c>
      <c r="J555">
        <v>2717085</v>
      </c>
      <c r="K555">
        <v>370512</v>
      </c>
      <c r="L555">
        <v>3117210</v>
      </c>
      <c r="M555">
        <v>0.95</v>
      </c>
      <c r="N555">
        <v>29251</v>
      </c>
      <c r="O555">
        <v>25.9</v>
      </c>
      <c r="P555">
        <v>256</v>
      </c>
      <c r="Q555">
        <v>1.2130000000000001</v>
      </c>
      <c r="R555">
        <v>0.221</v>
      </c>
      <c r="S555">
        <v>38729</v>
      </c>
      <c r="T555">
        <v>91.5</v>
      </c>
      <c r="U555">
        <v>208.7</v>
      </c>
      <c r="V555">
        <v>3892</v>
      </c>
      <c r="W555">
        <v>61.2</v>
      </c>
      <c r="X555">
        <v>36.94</v>
      </c>
      <c r="Y555">
        <v>0</v>
      </c>
    </row>
    <row r="556" spans="1:25" x14ac:dyDescent="0.25">
      <c r="A556" t="s">
        <v>46</v>
      </c>
      <c r="B556">
        <f>_xlfn.XLOOKUP(Table4[[#This Row],[country]],Table2[country],Table2[country_id],FALSE)</f>
        <v>12</v>
      </c>
      <c r="C556" t="s">
        <v>40</v>
      </c>
      <c r="D556">
        <v>2018</v>
      </c>
      <c r="E556">
        <f>_xlfn.XLOOKUP(Table4[[#This Row],[year]],Table1[year],Table1[year_id])</f>
        <v>9</v>
      </c>
      <c r="F556" t="s">
        <v>30</v>
      </c>
      <c r="G556" t="s">
        <v>28</v>
      </c>
      <c r="H556" cm="1">
        <f t="array" ref="H556">_xlfn.XLOOKUP(Table4[[#This Row],[vehicle_segment]]&amp;Table4[[#This Row],[powertrain_type]],Table3[vehicle_segment]&amp;Table3[powertrain_type],Table3[vehicle_id])</f>
        <v>3</v>
      </c>
      <c r="I556">
        <v>18012</v>
      </c>
      <c r="J556">
        <v>1186439</v>
      </c>
      <c r="K556">
        <v>103169</v>
      </c>
      <c r="L556">
        <v>1307620</v>
      </c>
      <c r="M556">
        <v>1.38</v>
      </c>
      <c r="N556">
        <v>29251</v>
      </c>
      <c r="O556">
        <v>25.9</v>
      </c>
      <c r="P556">
        <v>256</v>
      </c>
      <c r="Q556">
        <v>1.2130000000000001</v>
      </c>
      <c r="R556">
        <v>0.221</v>
      </c>
      <c r="S556">
        <v>38729</v>
      </c>
      <c r="T556">
        <v>91.5</v>
      </c>
      <c r="U556">
        <v>208.7</v>
      </c>
      <c r="V556">
        <v>3892</v>
      </c>
      <c r="W556">
        <v>61.2</v>
      </c>
      <c r="X556">
        <v>34.14</v>
      </c>
      <c r="Y556">
        <v>0</v>
      </c>
    </row>
    <row r="557" spans="1:25" x14ac:dyDescent="0.25">
      <c r="A557" t="s">
        <v>46</v>
      </c>
      <c r="B557">
        <f>_xlfn.XLOOKUP(Table4[[#This Row],[country]],Table2[country],Table2[country_id],FALSE)</f>
        <v>12</v>
      </c>
      <c r="C557" t="s">
        <v>40</v>
      </c>
      <c r="D557">
        <v>2019</v>
      </c>
      <c r="E557">
        <f>_xlfn.XLOOKUP(Table4[[#This Row],[year]],Table1[year],Table1[year_id])</f>
        <v>10</v>
      </c>
      <c r="F557" t="s">
        <v>27</v>
      </c>
      <c r="G557" t="s">
        <v>28</v>
      </c>
      <c r="H557" cm="1">
        <f t="array" ref="H557">_xlfn.XLOOKUP(Table4[[#This Row],[vehicle_segment]]&amp;Table4[[#This Row],[powertrain_type]],Table3[vehicle_segment]&amp;Table3[powertrain_type],Table3[vehicle_id])</f>
        <v>1</v>
      </c>
      <c r="I557">
        <v>2200</v>
      </c>
      <c r="J557">
        <v>458703</v>
      </c>
      <c r="K557">
        <v>305802</v>
      </c>
      <c r="L557">
        <v>766705</v>
      </c>
      <c r="M557">
        <v>0.28999999999999998</v>
      </c>
      <c r="N557">
        <v>30023</v>
      </c>
      <c r="O557">
        <v>29</v>
      </c>
      <c r="P557">
        <v>300</v>
      </c>
      <c r="Q557">
        <v>1.26</v>
      </c>
      <c r="R557">
        <v>0.219</v>
      </c>
      <c r="S557">
        <v>40363</v>
      </c>
      <c r="T557">
        <v>91.6</v>
      </c>
      <c r="U557">
        <v>198.8</v>
      </c>
      <c r="V557">
        <v>3954</v>
      </c>
      <c r="W557">
        <v>61.5</v>
      </c>
      <c r="X557">
        <v>-15.12</v>
      </c>
      <c r="Y557">
        <v>0</v>
      </c>
    </row>
    <row r="558" spans="1:25" x14ac:dyDescent="0.25">
      <c r="A558" t="s">
        <v>46</v>
      </c>
      <c r="B558">
        <f>_xlfn.XLOOKUP(Table4[[#This Row],[country]],Table2[country],Table2[country_id],FALSE)</f>
        <v>12</v>
      </c>
      <c r="C558" t="s">
        <v>40</v>
      </c>
      <c r="D558">
        <v>2019</v>
      </c>
      <c r="E558">
        <f>_xlfn.XLOOKUP(Table4[[#This Row],[year]],Table1[year],Table1[year_id])</f>
        <v>10</v>
      </c>
      <c r="F558" t="s">
        <v>29</v>
      </c>
      <c r="G558" t="s">
        <v>28</v>
      </c>
      <c r="H558" cm="1">
        <f t="array" ref="H558">_xlfn.XLOOKUP(Table4[[#This Row],[vehicle_segment]]&amp;Table4[[#This Row],[powertrain_type]],Table3[vehicle_segment]&amp;Table3[powertrain_type],Table3[vehicle_id])</f>
        <v>2</v>
      </c>
      <c r="I558">
        <v>24820</v>
      </c>
      <c r="J558">
        <v>2641731</v>
      </c>
      <c r="K558">
        <v>360236</v>
      </c>
      <c r="L558">
        <v>3026787</v>
      </c>
      <c r="M558">
        <v>0.82</v>
      </c>
      <c r="N558">
        <v>30023</v>
      </c>
      <c r="O558">
        <v>29</v>
      </c>
      <c r="P558">
        <v>300</v>
      </c>
      <c r="Q558">
        <v>1.26</v>
      </c>
      <c r="R558">
        <v>0.219</v>
      </c>
      <c r="S558">
        <v>40363</v>
      </c>
      <c r="T558">
        <v>91.6</v>
      </c>
      <c r="U558">
        <v>198.8</v>
      </c>
      <c r="V558">
        <v>3954</v>
      </c>
      <c r="W558">
        <v>61.5</v>
      </c>
      <c r="X558">
        <v>-16.190000000000001</v>
      </c>
      <c r="Y558">
        <v>0</v>
      </c>
    </row>
    <row r="559" spans="1:25" x14ac:dyDescent="0.25">
      <c r="A559" t="s">
        <v>46</v>
      </c>
      <c r="B559">
        <f>_xlfn.XLOOKUP(Table4[[#This Row],[country]],Table2[country],Table2[country_id],FALSE)</f>
        <v>12</v>
      </c>
      <c r="C559" t="s">
        <v>40</v>
      </c>
      <c r="D559">
        <v>2019</v>
      </c>
      <c r="E559">
        <f>_xlfn.XLOOKUP(Table4[[#This Row],[year]],Table1[year],Table1[year_id])</f>
        <v>10</v>
      </c>
      <c r="F559" t="s">
        <v>30</v>
      </c>
      <c r="G559" t="s">
        <v>28</v>
      </c>
      <c r="H559" cm="1">
        <f t="array" ref="H559">_xlfn.XLOOKUP(Table4[[#This Row],[vehicle_segment]]&amp;Table4[[#This Row],[powertrain_type]],Table3[vehicle_segment]&amp;Table3[powertrain_type],Table3[vehicle_id])</f>
        <v>3</v>
      </c>
      <c r="I559">
        <v>15095</v>
      </c>
      <c r="J559">
        <v>1154077</v>
      </c>
      <c r="K559">
        <v>100354</v>
      </c>
      <c r="L559">
        <v>1269526</v>
      </c>
      <c r="M559">
        <v>1.19</v>
      </c>
      <c r="N559">
        <v>30023</v>
      </c>
      <c r="O559">
        <v>29</v>
      </c>
      <c r="P559">
        <v>300</v>
      </c>
      <c r="Q559">
        <v>1.26</v>
      </c>
      <c r="R559">
        <v>0.219</v>
      </c>
      <c r="S559">
        <v>40363</v>
      </c>
      <c r="T559">
        <v>91.6</v>
      </c>
      <c r="U559">
        <v>198.8</v>
      </c>
      <c r="V559">
        <v>3954</v>
      </c>
      <c r="W559">
        <v>61.5</v>
      </c>
      <c r="X559">
        <v>-16.190000000000001</v>
      </c>
      <c r="Y559">
        <v>0</v>
      </c>
    </row>
    <row r="560" spans="1:25" x14ac:dyDescent="0.25">
      <c r="A560" t="s">
        <v>46</v>
      </c>
      <c r="B560">
        <f>_xlfn.XLOOKUP(Table4[[#This Row],[country]],Table2[country],Table2[country_id],FALSE)</f>
        <v>12</v>
      </c>
      <c r="C560" t="s">
        <v>40</v>
      </c>
      <c r="D560">
        <v>2020</v>
      </c>
      <c r="E560">
        <f>_xlfn.XLOOKUP(Table4[[#This Row],[year]],Table1[year],Table1[year_id])</f>
        <v>11</v>
      </c>
      <c r="F560" t="s">
        <v>27</v>
      </c>
      <c r="G560" t="s">
        <v>28</v>
      </c>
      <c r="H560" cm="1">
        <f t="array" ref="H560">_xlfn.XLOOKUP(Table4[[#This Row],[vehicle_segment]]&amp;Table4[[#This Row],[powertrain_type]],Table3[vehicle_segment]&amp;Table3[powertrain_type],Table3[vehicle_id])</f>
        <v>1</v>
      </c>
      <c r="I560">
        <v>1560</v>
      </c>
      <c r="J560">
        <v>410516</v>
      </c>
      <c r="K560">
        <v>273678</v>
      </c>
      <c r="L560">
        <v>685754</v>
      </c>
      <c r="M560">
        <v>0.23</v>
      </c>
      <c r="N560">
        <v>29846</v>
      </c>
      <c r="O560">
        <v>26</v>
      </c>
      <c r="P560">
        <v>339</v>
      </c>
      <c r="Q560">
        <v>1.3169999999999999</v>
      </c>
      <c r="R560">
        <v>0.223</v>
      </c>
      <c r="S560">
        <v>38164</v>
      </c>
      <c r="T560">
        <v>91.5</v>
      </c>
      <c r="U560">
        <v>189.9</v>
      </c>
      <c r="V560">
        <v>4560</v>
      </c>
      <c r="W560">
        <v>65.400000000000006</v>
      </c>
      <c r="X560">
        <v>-29.09</v>
      </c>
      <c r="Y560">
        <v>0</v>
      </c>
    </row>
    <row r="561" spans="1:25" x14ac:dyDescent="0.25">
      <c r="A561" t="s">
        <v>46</v>
      </c>
      <c r="B561">
        <f>_xlfn.XLOOKUP(Table4[[#This Row],[country]],Table2[country],Table2[country_id],FALSE)</f>
        <v>12</v>
      </c>
      <c r="C561" t="s">
        <v>40</v>
      </c>
      <c r="D561">
        <v>2020</v>
      </c>
      <c r="E561">
        <f>_xlfn.XLOOKUP(Table4[[#This Row],[year]],Table1[year],Table1[year_id])</f>
        <v>11</v>
      </c>
      <c r="F561" t="s">
        <v>29</v>
      </c>
      <c r="G561" t="s">
        <v>28</v>
      </c>
      <c r="H561" cm="1">
        <f t="array" ref="H561">_xlfn.XLOOKUP(Table4[[#This Row],[vehicle_segment]]&amp;Table4[[#This Row],[powertrain_type]],Table3[vehicle_segment]&amp;Table3[powertrain_type],Table3[vehicle_id])</f>
        <v>2</v>
      </c>
      <c r="I561">
        <v>17835</v>
      </c>
      <c r="J561">
        <v>2398880</v>
      </c>
      <c r="K561">
        <v>327120</v>
      </c>
      <c r="L561">
        <v>2743835</v>
      </c>
      <c r="M561">
        <v>0.65</v>
      </c>
      <c r="N561">
        <v>29846</v>
      </c>
      <c r="O561">
        <v>26</v>
      </c>
      <c r="P561">
        <v>339</v>
      </c>
      <c r="Q561">
        <v>1.3169999999999999</v>
      </c>
      <c r="R561">
        <v>0.223</v>
      </c>
      <c r="S561">
        <v>38164</v>
      </c>
      <c r="T561">
        <v>91.5</v>
      </c>
      <c r="U561">
        <v>189.9</v>
      </c>
      <c r="V561">
        <v>4560</v>
      </c>
      <c r="W561">
        <v>65.400000000000006</v>
      </c>
      <c r="X561">
        <v>-28.14</v>
      </c>
      <c r="Y561">
        <v>0</v>
      </c>
    </row>
    <row r="562" spans="1:25" x14ac:dyDescent="0.25">
      <c r="A562" t="s">
        <v>46</v>
      </c>
      <c r="B562">
        <f>_xlfn.XLOOKUP(Table4[[#This Row],[country]],Table2[country],Table2[country_id],FALSE)</f>
        <v>12</v>
      </c>
      <c r="C562" t="s">
        <v>40</v>
      </c>
      <c r="D562">
        <v>2020</v>
      </c>
      <c r="E562">
        <f>_xlfn.XLOOKUP(Table4[[#This Row],[year]],Table1[year],Table1[year_id])</f>
        <v>11</v>
      </c>
      <c r="F562" t="s">
        <v>30</v>
      </c>
      <c r="G562" t="s">
        <v>28</v>
      </c>
      <c r="H562" cm="1">
        <f t="array" ref="H562">_xlfn.XLOOKUP(Table4[[#This Row],[vehicle_segment]]&amp;Table4[[#This Row],[powertrain_type]],Table3[vehicle_segment]&amp;Table3[powertrain_type],Table3[vehicle_id])</f>
        <v>3</v>
      </c>
      <c r="I562">
        <v>10874</v>
      </c>
      <c r="J562">
        <v>1051467</v>
      </c>
      <c r="K562">
        <v>91432</v>
      </c>
      <c r="L562">
        <v>1153773</v>
      </c>
      <c r="M562">
        <v>0.94</v>
      </c>
      <c r="N562">
        <v>29846</v>
      </c>
      <c r="O562">
        <v>26</v>
      </c>
      <c r="P562">
        <v>339</v>
      </c>
      <c r="Q562">
        <v>1.3169999999999999</v>
      </c>
      <c r="R562">
        <v>0.223</v>
      </c>
      <c r="S562">
        <v>38164</v>
      </c>
      <c r="T562">
        <v>91.5</v>
      </c>
      <c r="U562">
        <v>189.9</v>
      </c>
      <c r="V562">
        <v>4560</v>
      </c>
      <c r="W562">
        <v>65.400000000000006</v>
      </c>
      <c r="X562">
        <v>-27.96</v>
      </c>
      <c r="Y562">
        <v>0</v>
      </c>
    </row>
    <row r="563" spans="1:25" x14ac:dyDescent="0.25">
      <c r="A563" t="s">
        <v>46</v>
      </c>
      <c r="B563">
        <f>_xlfn.XLOOKUP(Table4[[#This Row],[country]],Table2[country],Table2[country_id],FALSE)</f>
        <v>12</v>
      </c>
      <c r="C563" t="s">
        <v>40</v>
      </c>
      <c r="D563">
        <v>2021</v>
      </c>
      <c r="E563">
        <f>_xlfn.XLOOKUP(Table4[[#This Row],[year]],Table1[year],Table1[year_id])</f>
        <v>12</v>
      </c>
      <c r="F563" t="s">
        <v>27</v>
      </c>
      <c r="G563" t="s">
        <v>28</v>
      </c>
      <c r="H563" cm="1">
        <f t="array" ref="H563">_xlfn.XLOOKUP(Table4[[#This Row],[vehicle_segment]]&amp;Table4[[#This Row],[powertrain_type]],Table3[vehicle_segment]&amp;Table3[powertrain_type],Table3[vehicle_id])</f>
        <v>1</v>
      </c>
      <c r="I563">
        <v>2361</v>
      </c>
      <c r="J563">
        <v>399235</v>
      </c>
      <c r="K563">
        <v>266157</v>
      </c>
      <c r="L563">
        <v>667753</v>
      </c>
      <c r="M563">
        <v>0.35</v>
      </c>
      <c r="N563">
        <v>32130</v>
      </c>
      <c r="O563">
        <v>27.6</v>
      </c>
      <c r="P563">
        <v>367</v>
      </c>
      <c r="Q563">
        <v>1.343</v>
      </c>
      <c r="R563">
        <v>0.22900000000000001</v>
      </c>
      <c r="S563">
        <v>35718</v>
      </c>
      <c r="T563">
        <v>92.2</v>
      </c>
      <c r="U563">
        <v>181.4</v>
      </c>
      <c r="V563">
        <v>5215</v>
      </c>
      <c r="W563">
        <v>67.099999999999994</v>
      </c>
      <c r="X563">
        <v>51.35</v>
      </c>
      <c r="Y563">
        <v>0</v>
      </c>
    </row>
    <row r="564" spans="1:25" x14ac:dyDescent="0.25">
      <c r="A564" t="s">
        <v>46</v>
      </c>
      <c r="B564">
        <f>_xlfn.XLOOKUP(Table4[[#This Row],[country]],Table2[country],Table2[country_id],FALSE)</f>
        <v>12</v>
      </c>
      <c r="C564" t="s">
        <v>40</v>
      </c>
      <c r="D564">
        <v>2021</v>
      </c>
      <c r="E564">
        <f>_xlfn.XLOOKUP(Table4[[#This Row],[year]],Table1[year],Table1[year_id])</f>
        <v>12</v>
      </c>
      <c r="F564" t="s">
        <v>29</v>
      </c>
      <c r="G564" t="s">
        <v>28</v>
      </c>
      <c r="H564" cm="1">
        <f t="array" ref="H564">_xlfn.XLOOKUP(Table4[[#This Row],[vehicle_segment]]&amp;Table4[[#This Row],[powertrain_type]],Table3[vehicle_segment]&amp;Table3[powertrain_type],Table3[vehicle_id])</f>
        <v>2</v>
      </c>
      <c r="I564">
        <v>26962</v>
      </c>
      <c r="J564">
        <v>2325453</v>
      </c>
      <c r="K564">
        <v>317107</v>
      </c>
      <c r="L564">
        <v>2669522</v>
      </c>
      <c r="M564">
        <v>1.01</v>
      </c>
      <c r="N564">
        <v>32130</v>
      </c>
      <c r="O564">
        <v>27.6</v>
      </c>
      <c r="P564">
        <v>367</v>
      </c>
      <c r="Q564">
        <v>1.343</v>
      </c>
      <c r="R564">
        <v>0.22900000000000001</v>
      </c>
      <c r="S564">
        <v>35718</v>
      </c>
      <c r="T564">
        <v>92.2</v>
      </c>
      <c r="U564">
        <v>181.4</v>
      </c>
      <c r="V564">
        <v>5215</v>
      </c>
      <c r="W564">
        <v>67.099999999999994</v>
      </c>
      <c r="X564">
        <v>51.17</v>
      </c>
      <c r="Y564">
        <v>0</v>
      </c>
    </row>
    <row r="565" spans="1:25" x14ac:dyDescent="0.25">
      <c r="A565" t="s">
        <v>46</v>
      </c>
      <c r="B565">
        <f>_xlfn.XLOOKUP(Table4[[#This Row],[country]],Table2[country],Table2[country_id],FALSE)</f>
        <v>12</v>
      </c>
      <c r="C565" t="s">
        <v>40</v>
      </c>
      <c r="D565">
        <v>2021</v>
      </c>
      <c r="E565">
        <f>_xlfn.XLOOKUP(Table4[[#This Row],[year]],Table1[year],Table1[year_id])</f>
        <v>12</v>
      </c>
      <c r="F565" t="s">
        <v>30</v>
      </c>
      <c r="G565" t="s">
        <v>28</v>
      </c>
      <c r="H565" cm="1">
        <f t="array" ref="H565">_xlfn.XLOOKUP(Table4[[#This Row],[vehicle_segment]]&amp;Table4[[#This Row],[powertrain_type]],Table3[vehicle_segment]&amp;Table3[powertrain_type],Table3[vehicle_id])</f>
        <v>3</v>
      </c>
      <c r="I565">
        <v>16370</v>
      </c>
      <c r="J565">
        <v>1013274</v>
      </c>
      <c r="K565">
        <v>88111</v>
      </c>
      <c r="L565">
        <v>1117755</v>
      </c>
      <c r="M565">
        <v>1.46</v>
      </c>
      <c r="N565">
        <v>32130</v>
      </c>
      <c r="O565">
        <v>27.6</v>
      </c>
      <c r="P565">
        <v>367</v>
      </c>
      <c r="Q565">
        <v>1.343</v>
      </c>
      <c r="R565">
        <v>0.22900000000000001</v>
      </c>
      <c r="S565">
        <v>35718</v>
      </c>
      <c r="T565">
        <v>92.2</v>
      </c>
      <c r="U565">
        <v>181.4</v>
      </c>
      <c r="V565">
        <v>5215</v>
      </c>
      <c r="W565">
        <v>67.099999999999994</v>
      </c>
      <c r="X565">
        <v>50.54</v>
      </c>
      <c r="Y565">
        <v>0</v>
      </c>
    </row>
    <row r="566" spans="1:25" x14ac:dyDescent="0.25">
      <c r="A566" t="s">
        <v>46</v>
      </c>
      <c r="B566">
        <f>_xlfn.XLOOKUP(Table4[[#This Row],[country]],Table2[country],Table2[country_id],FALSE)</f>
        <v>12</v>
      </c>
      <c r="C566" t="s">
        <v>40</v>
      </c>
      <c r="D566">
        <v>2022</v>
      </c>
      <c r="E566">
        <f>_xlfn.XLOOKUP(Table4[[#This Row],[year]],Table1[year],Table1[year_id])</f>
        <v>13</v>
      </c>
      <c r="F566" t="s">
        <v>27</v>
      </c>
      <c r="G566" t="s">
        <v>28</v>
      </c>
      <c r="H566" cm="1">
        <f t="array" ref="H566">_xlfn.XLOOKUP(Table4[[#This Row],[vehicle_segment]]&amp;Table4[[#This Row],[powertrain_type]],Table3[vehicle_segment]&amp;Table3[powertrain_type],Table3[vehicle_id])</f>
        <v>1</v>
      </c>
      <c r="I566">
        <v>4727</v>
      </c>
      <c r="J566">
        <v>386722</v>
      </c>
      <c r="K566">
        <v>257814</v>
      </c>
      <c r="L566">
        <v>649263</v>
      </c>
      <c r="M566">
        <v>0.73</v>
      </c>
      <c r="N566">
        <v>30952</v>
      </c>
      <c r="O566">
        <v>27.4</v>
      </c>
      <c r="P566">
        <v>404</v>
      </c>
      <c r="Q566">
        <v>1.367</v>
      </c>
      <c r="R566">
        <v>0.23799999999999999</v>
      </c>
      <c r="S566">
        <v>34164</v>
      </c>
      <c r="T566">
        <v>92.2</v>
      </c>
      <c r="U566">
        <v>180.1</v>
      </c>
      <c r="V566">
        <v>5776</v>
      </c>
      <c r="W566">
        <v>69.400000000000006</v>
      </c>
      <c r="X566">
        <v>100.21</v>
      </c>
      <c r="Y566">
        <v>0</v>
      </c>
    </row>
    <row r="567" spans="1:25" x14ac:dyDescent="0.25">
      <c r="A567" t="s">
        <v>46</v>
      </c>
      <c r="B567">
        <f>_xlfn.XLOOKUP(Table4[[#This Row],[country]],Table2[country],Table2[country_id],FALSE)</f>
        <v>12</v>
      </c>
      <c r="C567" t="s">
        <v>40</v>
      </c>
      <c r="D567">
        <v>2022</v>
      </c>
      <c r="E567">
        <f>_xlfn.XLOOKUP(Table4[[#This Row],[year]],Table1[year],Table1[year_id])</f>
        <v>13</v>
      </c>
      <c r="F567" t="s">
        <v>29</v>
      </c>
      <c r="G567" t="s">
        <v>28</v>
      </c>
      <c r="H567" cm="1">
        <f t="array" ref="H567">_xlfn.XLOOKUP(Table4[[#This Row],[vehicle_segment]]&amp;Table4[[#This Row],[powertrain_type]],Table3[vehicle_segment]&amp;Table3[powertrain_type],Table3[vehicle_id])</f>
        <v>2</v>
      </c>
      <c r="I567">
        <v>53188</v>
      </c>
      <c r="J567">
        <v>2203446</v>
      </c>
      <c r="K567">
        <v>300470</v>
      </c>
      <c r="L567">
        <v>2557104</v>
      </c>
      <c r="M567">
        <v>2.08</v>
      </c>
      <c r="N567">
        <v>30952</v>
      </c>
      <c r="O567">
        <v>27.4</v>
      </c>
      <c r="P567">
        <v>404</v>
      </c>
      <c r="Q567">
        <v>1.367</v>
      </c>
      <c r="R567">
        <v>0.23799999999999999</v>
      </c>
      <c r="S567">
        <v>34164</v>
      </c>
      <c r="T567">
        <v>92.2</v>
      </c>
      <c r="U567">
        <v>180.1</v>
      </c>
      <c r="V567">
        <v>5776</v>
      </c>
      <c r="W567">
        <v>69.400000000000006</v>
      </c>
      <c r="X567">
        <v>97.27</v>
      </c>
      <c r="Y567">
        <v>0</v>
      </c>
    </row>
    <row r="568" spans="1:25" x14ac:dyDescent="0.25">
      <c r="A568" t="s">
        <v>46</v>
      </c>
      <c r="B568">
        <f>_xlfn.XLOOKUP(Table4[[#This Row],[country]],Table2[country],Table2[country_id],FALSE)</f>
        <v>12</v>
      </c>
      <c r="C568" t="s">
        <v>40</v>
      </c>
      <c r="D568">
        <v>2022</v>
      </c>
      <c r="E568">
        <f>_xlfn.XLOOKUP(Table4[[#This Row],[year]],Table1[year],Table1[year_id])</f>
        <v>13</v>
      </c>
      <c r="F568" t="s">
        <v>30</v>
      </c>
      <c r="G568" t="s">
        <v>28</v>
      </c>
      <c r="H568" cm="1">
        <f t="array" ref="H568">_xlfn.XLOOKUP(Table4[[#This Row],[vehicle_segment]]&amp;Table4[[#This Row],[powertrain_type]],Table3[vehicle_segment]&amp;Table3[powertrain_type],Table3[vehicle_id])</f>
        <v>3</v>
      </c>
      <c r="I568">
        <v>31497</v>
      </c>
      <c r="J568">
        <v>931816</v>
      </c>
      <c r="K568">
        <v>81028</v>
      </c>
      <c r="L568">
        <v>1044341</v>
      </c>
      <c r="M568">
        <v>3.02</v>
      </c>
      <c r="N568">
        <v>30952</v>
      </c>
      <c r="O568">
        <v>27.4</v>
      </c>
      <c r="P568">
        <v>404</v>
      </c>
      <c r="Q568">
        <v>1.367</v>
      </c>
      <c r="R568">
        <v>0.23799999999999999</v>
      </c>
      <c r="S568">
        <v>34164</v>
      </c>
      <c r="T568">
        <v>92.2</v>
      </c>
      <c r="U568">
        <v>180.1</v>
      </c>
      <c r="V568">
        <v>5776</v>
      </c>
      <c r="W568">
        <v>69.400000000000006</v>
      </c>
      <c r="X568">
        <v>92.41</v>
      </c>
      <c r="Y568">
        <v>0</v>
      </c>
    </row>
    <row r="569" spans="1:25" x14ac:dyDescent="0.25">
      <c r="A569" t="s">
        <v>46</v>
      </c>
      <c r="B569">
        <f>_xlfn.XLOOKUP(Table4[[#This Row],[country]],Table2[country],Table2[country_id],FALSE)</f>
        <v>12</v>
      </c>
      <c r="C569" t="s">
        <v>40</v>
      </c>
      <c r="D569">
        <v>2023</v>
      </c>
      <c r="E569">
        <f>_xlfn.XLOOKUP(Table4[[#This Row],[year]],Table1[year],Table1[year_id])</f>
        <v>14</v>
      </c>
      <c r="F569" t="s">
        <v>27</v>
      </c>
      <c r="G569" t="s">
        <v>28</v>
      </c>
      <c r="H569" cm="1">
        <f t="array" ref="H569">_xlfn.XLOOKUP(Table4[[#This Row],[vehicle_segment]]&amp;Table4[[#This Row],[powertrain_type]],Table3[vehicle_segment]&amp;Table3[powertrain_type],Table3[vehicle_id])</f>
        <v>1</v>
      </c>
      <c r="I569">
        <v>7876</v>
      </c>
      <c r="J569">
        <v>421213</v>
      </c>
      <c r="K569">
        <v>280809</v>
      </c>
      <c r="L569">
        <v>709898</v>
      </c>
      <c r="M569">
        <v>1.1100000000000001</v>
      </c>
      <c r="N569">
        <v>36092</v>
      </c>
      <c r="O569">
        <v>32.700000000000003</v>
      </c>
      <c r="P569">
        <v>428</v>
      </c>
      <c r="Q569">
        <v>1.367</v>
      </c>
      <c r="R569">
        <v>0.24099999999999999</v>
      </c>
      <c r="S569">
        <v>34086</v>
      </c>
      <c r="T569">
        <v>91.5</v>
      </c>
      <c r="U569">
        <v>179.8</v>
      </c>
      <c r="V569">
        <v>6209</v>
      </c>
      <c r="W569">
        <v>73.2</v>
      </c>
      <c r="X569">
        <v>66.62</v>
      </c>
      <c r="Y569">
        <v>0</v>
      </c>
    </row>
    <row r="570" spans="1:25" x14ac:dyDescent="0.25">
      <c r="A570" t="s">
        <v>46</v>
      </c>
      <c r="B570">
        <f>_xlfn.XLOOKUP(Table4[[#This Row],[country]],Table2[country],Table2[country_id],FALSE)</f>
        <v>12</v>
      </c>
      <c r="C570" t="s">
        <v>40</v>
      </c>
      <c r="D570">
        <v>2023</v>
      </c>
      <c r="E570">
        <f>_xlfn.XLOOKUP(Table4[[#This Row],[year]],Table1[year],Table1[year_id])</f>
        <v>14</v>
      </c>
      <c r="F570" t="s">
        <v>29</v>
      </c>
      <c r="G570" t="s">
        <v>28</v>
      </c>
      <c r="H570" cm="1">
        <f t="array" ref="H570">_xlfn.XLOOKUP(Table4[[#This Row],[vehicle_segment]]&amp;Table4[[#This Row],[powertrain_type]],Table3[vehicle_segment]&amp;Table3[powertrain_type],Table3[vehicle_id])</f>
        <v>2</v>
      </c>
      <c r="I570">
        <v>89554</v>
      </c>
      <c r="J570">
        <v>2407241</v>
      </c>
      <c r="K570">
        <v>328260</v>
      </c>
      <c r="L570">
        <v>2825055</v>
      </c>
      <c r="M570">
        <v>3.17</v>
      </c>
      <c r="N570">
        <v>36092</v>
      </c>
      <c r="O570">
        <v>32.700000000000003</v>
      </c>
      <c r="P570">
        <v>428</v>
      </c>
      <c r="Q570">
        <v>1.367</v>
      </c>
      <c r="R570">
        <v>0.24099999999999999</v>
      </c>
      <c r="S570">
        <v>34086</v>
      </c>
      <c r="T570">
        <v>91.5</v>
      </c>
      <c r="U570">
        <v>179.8</v>
      </c>
      <c r="V570">
        <v>6209</v>
      </c>
      <c r="W570">
        <v>73.2</v>
      </c>
      <c r="X570">
        <v>68.37</v>
      </c>
      <c r="Y570">
        <v>0</v>
      </c>
    </row>
    <row r="571" spans="1:25" x14ac:dyDescent="0.25">
      <c r="A571" t="s">
        <v>46</v>
      </c>
      <c r="B571">
        <f>_xlfn.XLOOKUP(Table4[[#This Row],[country]],Table2[country],Table2[country_id],FALSE)</f>
        <v>12</v>
      </c>
      <c r="C571" t="s">
        <v>40</v>
      </c>
      <c r="D571">
        <v>2023</v>
      </c>
      <c r="E571">
        <f>_xlfn.XLOOKUP(Table4[[#This Row],[year]],Table1[year],Table1[year_id])</f>
        <v>14</v>
      </c>
      <c r="F571" t="s">
        <v>30</v>
      </c>
      <c r="G571" t="s">
        <v>28</v>
      </c>
      <c r="H571" cm="1">
        <f t="array" ref="H571">_xlfn.XLOOKUP(Table4[[#This Row],[vehicle_segment]]&amp;Table4[[#This Row],[powertrain_type]],Table3[vehicle_segment]&amp;Table3[powertrain_type],Table3[vehicle_id])</f>
        <v>3</v>
      </c>
      <c r="I571">
        <v>53542</v>
      </c>
      <c r="J571">
        <v>1022402</v>
      </c>
      <c r="K571">
        <v>88905</v>
      </c>
      <c r="L571">
        <v>1164849</v>
      </c>
      <c r="M571">
        <v>4.5999999999999996</v>
      </c>
      <c r="N571">
        <v>36092</v>
      </c>
      <c r="O571">
        <v>32.700000000000003</v>
      </c>
      <c r="P571">
        <v>428</v>
      </c>
      <c r="Q571">
        <v>1.367</v>
      </c>
      <c r="R571">
        <v>0.24099999999999999</v>
      </c>
      <c r="S571">
        <v>34086</v>
      </c>
      <c r="T571">
        <v>91.5</v>
      </c>
      <c r="U571">
        <v>179.8</v>
      </c>
      <c r="V571">
        <v>6209</v>
      </c>
      <c r="W571">
        <v>73.2</v>
      </c>
      <c r="X571">
        <v>69.989999999999995</v>
      </c>
      <c r="Y571">
        <v>0</v>
      </c>
    </row>
    <row r="572" spans="1:25" x14ac:dyDescent="0.25">
      <c r="A572" t="s">
        <v>46</v>
      </c>
      <c r="B572">
        <f>_xlfn.XLOOKUP(Table4[[#This Row],[country]],Table2[country],Table2[country_id],FALSE)</f>
        <v>12</v>
      </c>
      <c r="C572" t="s">
        <v>40</v>
      </c>
      <c r="D572">
        <v>2024</v>
      </c>
      <c r="E572">
        <f>_xlfn.XLOOKUP(Table4[[#This Row],[year]],Table1[year],Table1[year_id])</f>
        <v>15</v>
      </c>
      <c r="F572" t="s">
        <v>27</v>
      </c>
      <c r="G572" t="s">
        <v>28</v>
      </c>
      <c r="H572" cm="1">
        <f t="array" ref="H572">_xlfn.XLOOKUP(Table4[[#This Row],[vehicle_segment]]&amp;Table4[[#This Row],[powertrain_type]],Table3[vehicle_segment]&amp;Table3[powertrain_type],Table3[vehicle_id])</f>
        <v>1</v>
      </c>
      <c r="I572">
        <v>10604</v>
      </c>
      <c r="J572">
        <v>426472</v>
      </c>
      <c r="K572">
        <v>284315</v>
      </c>
      <c r="L572">
        <v>721391</v>
      </c>
      <c r="M572">
        <v>1.47</v>
      </c>
      <c r="N572">
        <v>41956</v>
      </c>
      <c r="O572">
        <v>31.8</v>
      </c>
      <c r="P572">
        <v>452</v>
      </c>
      <c r="Q572">
        <v>1.373</v>
      </c>
      <c r="R572">
        <v>0.248</v>
      </c>
      <c r="S572">
        <v>34337</v>
      </c>
      <c r="T572">
        <v>92</v>
      </c>
      <c r="U572">
        <v>176.5</v>
      </c>
      <c r="V572">
        <v>6500</v>
      </c>
      <c r="W572">
        <v>74.900000000000006</v>
      </c>
      <c r="X572">
        <v>34.64</v>
      </c>
      <c r="Y572">
        <v>0</v>
      </c>
    </row>
    <row r="573" spans="1:25" x14ac:dyDescent="0.25">
      <c r="A573" t="s">
        <v>46</v>
      </c>
      <c r="B573">
        <f>_xlfn.XLOOKUP(Table4[[#This Row],[country]],Table2[country],Table2[country_id],FALSE)</f>
        <v>12</v>
      </c>
      <c r="C573" t="s">
        <v>40</v>
      </c>
      <c r="D573">
        <v>2024</v>
      </c>
      <c r="E573">
        <f>_xlfn.XLOOKUP(Table4[[#This Row],[year]],Table1[year],Table1[year_id])</f>
        <v>15</v>
      </c>
      <c r="F573" t="s">
        <v>29</v>
      </c>
      <c r="G573" t="s">
        <v>28</v>
      </c>
      <c r="H573" cm="1">
        <f t="array" ref="H573">_xlfn.XLOOKUP(Table4[[#This Row],[vehicle_segment]]&amp;Table4[[#This Row],[powertrain_type]],Table3[vehicle_segment]&amp;Table3[powertrain_type],Table3[vehicle_id])</f>
        <v>2</v>
      </c>
      <c r="I573">
        <v>121458</v>
      </c>
      <c r="J573">
        <v>2437956</v>
      </c>
      <c r="K573">
        <v>332449</v>
      </c>
      <c r="L573">
        <v>2891863</v>
      </c>
      <c r="M573">
        <v>4.2</v>
      </c>
      <c r="N573">
        <v>41956</v>
      </c>
      <c r="O573">
        <v>31.8</v>
      </c>
      <c r="P573">
        <v>452</v>
      </c>
      <c r="Q573">
        <v>1.373</v>
      </c>
      <c r="R573">
        <v>0.248</v>
      </c>
      <c r="S573">
        <v>34337</v>
      </c>
      <c r="T573">
        <v>92</v>
      </c>
      <c r="U573">
        <v>176.5</v>
      </c>
      <c r="V573">
        <v>6500</v>
      </c>
      <c r="W573">
        <v>74.900000000000006</v>
      </c>
      <c r="X573">
        <v>35.630000000000003</v>
      </c>
      <c r="Y573">
        <v>0</v>
      </c>
    </row>
    <row r="574" spans="1:25" x14ac:dyDescent="0.25">
      <c r="A574" t="s">
        <v>46</v>
      </c>
      <c r="B574">
        <f>_xlfn.XLOOKUP(Table4[[#This Row],[country]],Table2[country],Table2[country_id],FALSE)</f>
        <v>12</v>
      </c>
      <c r="C574" t="s">
        <v>40</v>
      </c>
      <c r="D574">
        <v>2024</v>
      </c>
      <c r="E574">
        <f>_xlfn.XLOOKUP(Table4[[#This Row],[year]],Table1[year],Table1[year_id])</f>
        <v>15</v>
      </c>
      <c r="F574" t="s">
        <v>30</v>
      </c>
      <c r="G574" t="s">
        <v>28</v>
      </c>
      <c r="H574" cm="1">
        <f t="array" ref="H574">_xlfn.XLOOKUP(Table4[[#This Row],[vehicle_segment]]&amp;Table4[[#This Row],[powertrain_type]],Table3[vehicle_segment]&amp;Table3[powertrain_type],Table3[vehicle_id])</f>
        <v>3</v>
      </c>
      <c r="I574">
        <v>75168</v>
      </c>
      <c r="J574">
        <v>1066388</v>
      </c>
      <c r="K574">
        <v>92729</v>
      </c>
      <c r="L574">
        <v>1234285</v>
      </c>
      <c r="M574">
        <v>6.09</v>
      </c>
      <c r="N574">
        <v>41956</v>
      </c>
      <c r="O574">
        <v>31.8</v>
      </c>
      <c r="P574">
        <v>452</v>
      </c>
      <c r="Q574">
        <v>1.373</v>
      </c>
      <c r="R574">
        <v>0.248</v>
      </c>
      <c r="S574">
        <v>34337</v>
      </c>
      <c r="T574">
        <v>92</v>
      </c>
      <c r="U574">
        <v>176.5</v>
      </c>
      <c r="V574">
        <v>6500</v>
      </c>
      <c r="W574">
        <v>74.900000000000006</v>
      </c>
      <c r="X574">
        <v>40.39</v>
      </c>
      <c r="Y574">
        <v>0</v>
      </c>
    </row>
    <row r="575" spans="1:25" x14ac:dyDescent="0.25">
      <c r="A575" t="s">
        <v>46</v>
      </c>
      <c r="B575">
        <f>_xlfn.XLOOKUP(Table4[[#This Row],[country]],Table2[country],Table2[country_id],FALSE)</f>
        <v>12</v>
      </c>
      <c r="C575" t="s">
        <v>40</v>
      </c>
      <c r="D575">
        <v>2025</v>
      </c>
      <c r="E575">
        <f>_xlfn.XLOOKUP(Table4[[#This Row],[year]],Table1[year],Table1[year_id])</f>
        <v>16</v>
      </c>
      <c r="F575" t="s">
        <v>27</v>
      </c>
      <c r="G575" t="s">
        <v>28</v>
      </c>
      <c r="H575" cm="1">
        <f t="array" ref="H575">_xlfn.XLOOKUP(Table4[[#This Row],[vehicle_segment]]&amp;Table4[[#This Row],[powertrain_type]],Table3[vehicle_segment]&amp;Table3[powertrain_type],Table3[vehicle_id])</f>
        <v>1</v>
      </c>
      <c r="I575">
        <v>14649</v>
      </c>
      <c r="J575">
        <v>423433</v>
      </c>
      <c r="K575">
        <v>282289</v>
      </c>
      <c r="L575">
        <v>720371</v>
      </c>
      <c r="M575">
        <v>2.0299999999999998</v>
      </c>
      <c r="N575">
        <v>49260</v>
      </c>
      <c r="O575">
        <v>31.6</v>
      </c>
      <c r="P575">
        <v>475</v>
      </c>
      <c r="Q575">
        <v>1.37</v>
      </c>
      <c r="R575">
        <v>0.25800000000000001</v>
      </c>
      <c r="S575">
        <v>35694</v>
      </c>
      <c r="T575">
        <v>92.2</v>
      </c>
      <c r="U575">
        <v>170.9</v>
      </c>
      <c r="V575">
        <v>6576</v>
      </c>
      <c r="W575">
        <v>78.900000000000006</v>
      </c>
      <c r="X575">
        <v>38.15</v>
      </c>
      <c r="Y575">
        <v>0</v>
      </c>
    </row>
    <row r="576" spans="1:25" x14ac:dyDescent="0.25">
      <c r="A576" t="s">
        <v>46</v>
      </c>
      <c r="B576">
        <f>_xlfn.XLOOKUP(Table4[[#This Row],[country]],Table2[country],Table2[country_id],FALSE)</f>
        <v>12</v>
      </c>
      <c r="C576" t="s">
        <v>40</v>
      </c>
      <c r="D576">
        <v>2025</v>
      </c>
      <c r="E576">
        <f>_xlfn.XLOOKUP(Table4[[#This Row],[year]],Table1[year],Table1[year_id])</f>
        <v>16</v>
      </c>
      <c r="F576" t="s">
        <v>29</v>
      </c>
      <c r="G576" t="s">
        <v>28</v>
      </c>
      <c r="H576" cm="1">
        <f t="array" ref="H576">_xlfn.XLOOKUP(Table4[[#This Row],[vehicle_segment]]&amp;Table4[[#This Row],[powertrain_type]],Table3[vehicle_segment]&amp;Table3[powertrain_type],Table3[vehicle_id])</f>
        <v>2</v>
      </c>
      <c r="I576">
        <v>163344</v>
      </c>
      <c r="J576">
        <v>2330320</v>
      </c>
      <c r="K576">
        <v>317771</v>
      </c>
      <c r="L576">
        <v>2811435</v>
      </c>
      <c r="M576">
        <v>5.81</v>
      </c>
      <c r="N576">
        <v>49260</v>
      </c>
      <c r="O576">
        <v>31.6</v>
      </c>
      <c r="P576">
        <v>475</v>
      </c>
      <c r="Q576">
        <v>1.37</v>
      </c>
      <c r="R576">
        <v>0.25800000000000001</v>
      </c>
      <c r="S576">
        <v>35694</v>
      </c>
      <c r="T576">
        <v>92.2</v>
      </c>
      <c r="U576">
        <v>170.9</v>
      </c>
      <c r="V576">
        <v>6576</v>
      </c>
      <c r="W576">
        <v>78.900000000000006</v>
      </c>
      <c r="X576">
        <v>34.49</v>
      </c>
      <c r="Y576">
        <v>0</v>
      </c>
    </row>
    <row r="577" spans="1:25" x14ac:dyDescent="0.25">
      <c r="A577" t="s">
        <v>46</v>
      </c>
      <c r="B577">
        <f>_xlfn.XLOOKUP(Table4[[#This Row],[country]],Table2[country],Table2[country_id],FALSE)</f>
        <v>12</v>
      </c>
      <c r="C577" t="s">
        <v>40</v>
      </c>
      <c r="D577">
        <v>2025</v>
      </c>
      <c r="E577">
        <f>_xlfn.XLOOKUP(Table4[[#This Row],[year]],Table1[year],Table1[year_id])</f>
        <v>16</v>
      </c>
      <c r="F577" t="s">
        <v>30</v>
      </c>
      <c r="G577" t="s">
        <v>28</v>
      </c>
      <c r="H577" cm="1">
        <f t="array" ref="H577">_xlfn.XLOOKUP(Table4[[#This Row],[vehicle_segment]]&amp;Table4[[#This Row],[powertrain_type]],Table3[vehicle_segment]&amp;Table3[powertrain_type],Table3[vehicle_id])</f>
        <v>3</v>
      </c>
      <c r="I577">
        <v>99351</v>
      </c>
      <c r="J577">
        <v>993566</v>
      </c>
      <c r="K577">
        <v>86397</v>
      </c>
      <c r="L577">
        <v>1179314</v>
      </c>
      <c r="M577">
        <v>8.42</v>
      </c>
      <c r="N577">
        <v>49260</v>
      </c>
      <c r="O577">
        <v>31.6</v>
      </c>
      <c r="P577">
        <v>475</v>
      </c>
      <c r="Q577">
        <v>1.37</v>
      </c>
      <c r="R577">
        <v>0.25800000000000001</v>
      </c>
      <c r="S577">
        <v>35694</v>
      </c>
      <c r="T577">
        <v>92.2</v>
      </c>
      <c r="U577">
        <v>170.9</v>
      </c>
      <c r="V577">
        <v>6576</v>
      </c>
      <c r="W577">
        <v>78.900000000000006</v>
      </c>
      <c r="X577">
        <v>32.17</v>
      </c>
      <c r="Y577">
        <v>0</v>
      </c>
    </row>
    <row r="578" spans="1:25" x14ac:dyDescent="0.25">
      <c r="A578" t="s">
        <v>47</v>
      </c>
      <c r="B578">
        <f>_xlfn.XLOOKUP(Table4[[#This Row],[country]],Table2[country],Table2[country_id],FALSE)</f>
        <v>13</v>
      </c>
      <c r="C578" t="s">
        <v>38</v>
      </c>
      <c r="D578">
        <v>2010</v>
      </c>
      <c r="E578">
        <f>_xlfn.XLOOKUP(Table4[[#This Row],[year]],Table1[year],Table1[year_id])</f>
        <v>1</v>
      </c>
      <c r="F578" t="s">
        <v>27</v>
      </c>
      <c r="G578" t="s">
        <v>28</v>
      </c>
      <c r="H578" cm="1">
        <f t="array" ref="H578">_xlfn.XLOOKUP(Table4[[#This Row],[vehicle_segment]]&amp;Table4[[#This Row],[powertrain_type]],Table3[vehicle_segment]&amp;Table3[powertrain_type],Table3[vehicle_id])</f>
        <v>1</v>
      </c>
      <c r="I578">
        <v>5</v>
      </c>
      <c r="J578">
        <v>72429</v>
      </c>
      <c r="K578">
        <v>48289</v>
      </c>
      <c r="L578">
        <v>120723</v>
      </c>
      <c r="M578">
        <v>0</v>
      </c>
      <c r="N578">
        <v>0</v>
      </c>
      <c r="O578">
        <v>0</v>
      </c>
      <c r="P578">
        <v>118</v>
      </c>
      <c r="Q578">
        <v>0.71</v>
      </c>
      <c r="R578">
        <v>9.1999999999999998E-2</v>
      </c>
      <c r="S578">
        <v>8850</v>
      </c>
      <c r="T578">
        <v>77.900000000000006</v>
      </c>
      <c r="U578">
        <v>155.80000000000001</v>
      </c>
      <c r="V578">
        <v>0</v>
      </c>
      <c r="W578">
        <v>19.5</v>
      </c>
      <c r="X578">
        <v>0</v>
      </c>
      <c r="Y578">
        <v>0</v>
      </c>
    </row>
    <row r="579" spans="1:25" x14ac:dyDescent="0.25">
      <c r="A579" t="s">
        <v>47</v>
      </c>
      <c r="B579">
        <f>_xlfn.XLOOKUP(Table4[[#This Row],[country]],Table2[country],Table2[country_id],FALSE)</f>
        <v>13</v>
      </c>
      <c r="C579" t="s">
        <v>38</v>
      </c>
      <c r="D579">
        <v>2010</v>
      </c>
      <c r="E579">
        <f>_xlfn.XLOOKUP(Table4[[#This Row],[year]],Table1[year],Table1[year_id])</f>
        <v>1</v>
      </c>
      <c r="F579" t="s">
        <v>29</v>
      </c>
      <c r="G579" t="s">
        <v>28</v>
      </c>
      <c r="H579" cm="1">
        <f t="array" ref="H579">_xlfn.XLOOKUP(Table4[[#This Row],[vehicle_segment]]&amp;Table4[[#This Row],[powertrain_type]],Table3[vehicle_segment]&amp;Table3[powertrain_type],Table3[vehicle_id])</f>
        <v>2</v>
      </c>
      <c r="I579">
        <v>24</v>
      </c>
      <c r="J579">
        <v>435071</v>
      </c>
      <c r="K579">
        <v>59331</v>
      </c>
      <c r="L579">
        <v>494426</v>
      </c>
      <c r="M579">
        <v>0</v>
      </c>
      <c r="N579">
        <v>0</v>
      </c>
      <c r="O579">
        <v>0</v>
      </c>
      <c r="P579">
        <v>118</v>
      </c>
      <c r="Q579">
        <v>0.71</v>
      </c>
      <c r="R579">
        <v>9.1999999999999998E-2</v>
      </c>
      <c r="S579">
        <v>8850</v>
      </c>
      <c r="T579">
        <v>77.900000000000006</v>
      </c>
      <c r="U579">
        <v>155.80000000000001</v>
      </c>
      <c r="V579">
        <v>0</v>
      </c>
      <c r="W579">
        <v>19.5</v>
      </c>
      <c r="X579">
        <v>0</v>
      </c>
      <c r="Y579">
        <v>0</v>
      </c>
    </row>
    <row r="580" spans="1:25" x14ac:dyDescent="0.25">
      <c r="A580" t="s">
        <v>47</v>
      </c>
      <c r="B580">
        <f>_xlfn.XLOOKUP(Table4[[#This Row],[country]],Table2[country],Table2[country_id],FALSE)</f>
        <v>13</v>
      </c>
      <c r="C580" t="s">
        <v>38</v>
      </c>
      <c r="D580">
        <v>2010</v>
      </c>
      <c r="E580">
        <f>_xlfn.XLOOKUP(Table4[[#This Row],[year]],Table1[year],Table1[year_id])</f>
        <v>1</v>
      </c>
      <c r="F580" t="s">
        <v>30</v>
      </c>
      <c r="G580" t="s">
        <v>28</v>
      </c>
      <c r="H580" cm="1">
        <f t="array" ref="H580">_xlfn.XLOOKUP(Table4[[#This Row],[vehicle_segment]]&amp;Table4[[#This Row],[powertrain_type]],Table3[vehicle_segment]&amp;Table3[powertrain_type],Table3[vehicle_id])</f>
        <v>3</v>
      </c>
      <c r="I580">
        <v>13</v>
      </c>
      <c r="J580">
        <v>187461</v>
      </c>
      <c r="K580">
        <v>16302</v>
      </c>
      <c r="L580">
        <v>203776</v>
      </c>
      <c r="M580">
        <v>0.01</v>
      </c>
      <c r="N580">
        <v>0</v>
      </c>
      <c r="O580">
        <v>0</v>
      </c>
      <c r="P580">
        <v>118</v>
      </c>
      <c r="Q580">
        <v>0.71</v>
      </c>
      <c r="R580">
        <v>9.1999999999999998E-2</v>
      </c>
      <c r="S580">
        <v>8850</v>
      </c>
      <c r="T580">
        <v>77.900000000000006</v>
      </c>
      <c r="U580">
        <v>155.80000000000001</v>
      </c>
      <c r="V580">
        <v>0</v>
      </c>
      <c r="W580">
        <v>19.5</v>
      </c>
      <c r="X580">
        <v>0</v>
      </c>
      <c r="Y580">
        <v>0</v>
      </c>
    </row>
    <row r="581" spans="1:25" x14ac:dyDescent="0.25">
      <c r="A581" t="s">
        <v>47</v>
      </c>
      <c r="B581">
        <f>_xlfn.XLOOKUP(Table4[[#This Row],[country]],Table2[country],Table2[country_id],FALSE)</f>
        <v>13</v>
      </c>
      <c r="C581" t="s">
        <v>38</v>
      </c>
      <c r="D581">
        <v>2011</v>
      </c>
      <c r="E581">
        <f>_xlfn.XLOOKUP(Table4[[#This Row],[year]],Table1[year],Table1[year_id])</f>
        <v>2</v>
      </c>
      <c r="F581" t="s">
        <v>27</v>
      </c>
      <c r="G581" t="s">
        <v>28</v>
      </c>
      <c r="H581" cm="1">
        <f t="array" ref="H581">_xlfn.XLOOKUP(Table4[[#This Row],[vehicle_segment]]&amp;Table4[[#This Row],[powertrain_type]],Table3[vehicle_segment]&amp;Table3[powertrain_type],Table3[vehicle_id])</f>
        <v>1</v>
      </c>
      <c r="I581">
        <v>5</v>
      </c>
      <c r="J581">
        <v>80838</v>
      </c>
      <c r="K581">
        <v>53892</v>
      </c>
      <c r="L581">
        <v>134735</v>
      </c>
      <c r="M581">
        <v>0</v>
      </c>
      <c r="N581">
        <v>36</v>
      </c>
      <c r="O581">
        <v>2</v>
      </c>
      <c r="P581">
        <v>126</v>
      </c>
      <c r="Q581">
        <v>0.72299999999999998</v>
      </c>
      <c r="R581">
        <v>8.7999999999999995E-2</v>
      </c>
      <c r="S581">
        <v>8960</v>
      </c>
      <c r="T581">
        <v>77.599999999999994</v>
      </c>
      <c r="U581">
        <v>157.5</v>
      </c>
      <c r="V581">
        <v>0</v>
      </c>
      <c r="W581">
        <v>21.5</v>
      </c>
      <c r="X581">
        <v>0</v>
      </c>
      <c r="Y581">
        <v>0</v>
      </c>
    </row>
    <row r="582" spans="1:25" x14ac:dyDescent="0.25">
      <c r="A582" t="s">
        <v>47</v>
      </c>
      <c r="B582">
        <f>_xlfn.XLOOKUP(Table4[[#This Row],[country]],Table2[country],Table2[country_id],FALSE)</f>
        <v>13</v>
      </c>
      <c r="C582" t="s">
        <v>38</v>
      </c>
      <c r="D582">
        <v>2011</v>
      </c>
      <c r="E582">
        <f>_xlfn.XLOOKUP(Table4[[#This Row],[year]],Table1[year],Table1[year_id])</f>
        <v>2</v>
      </c>
      <c r="F582" t="s">
        <v>29</v>
      </c>
      <c r="G582" t="s">
        <v>28</v>
      </c>
      <c r="H582" cm="1">
        <f t="array" ref="H582">_xlfn.XLOOKUP(Table4[[#This Row],[vehicle_segment]]&amp;Table4[[#This Row],[powertrain_type]],Table3[vehicle_segment]&amp;Table3[powertrain_type],Table3[vehicle_id])</f>
        <v>2</v>
      </c>
      <c r="I582">
        <v>55</v>
      </c>
      <c r="J582">
        <v>486471</v>
      </c>
      <c r="K582">
        <v>66337</v>
      </c>
      <c r="L582">
        <v>552863</v>
      </c>
      <c r="M582">
        <v>0.01</v>
      </c>
      <c r="N582">
        <v>36</v>
      </c>
      <c r="O582">
        <v>2</v>
      </c>
      <c r="P582">
        <v>126</v>
      </c>
      <c r="Q582">
        <v>0.72299999999999998</v>
      </c>
      <c r="R582">
        <v>8.7999999999999995E-2</v>
      </c>
      <c r="S582">
        <v>8960</v>
      </c>
      <c r="T582">
        <v>77.599999999999994</v>
      </c>
      <c r="U582">
        <v>157.5</v>
      </c>
      <c r="V582">
        <v>0</v>
      </c>
      <c r="W582">
        <v>21.5</v>
      </c>
      <c r="X582">
        <v>129.16999999999999</v>
      </c>
      <c r="Y582">
        <v>0</v>
      </c>
    </row>
    <row r="583" spans="1:25" x14ac:dyDescent="0.25">
      <c r="A583" t="s">
        <v>47</v>
      </c>
      <c r="B583">
        <f>_xlfn.XLOOKUP(Table4[[#This Row],[country]],Table2[country],Table2[country_id],FALSE)</f>
        <v>13</v>
      </c>
      <c r="C583" t="s">
        <v>38</v>
      </c>
      <c r="D583">
        <v>2011</v>
      </c>
      <c r="E583">
        <f>_xlfn.XLOOKUP(Table4[[#This Row],[year]],Table1[year],Table1[year_id])</f>
        <v>2</v>
      </c>
      <c r="F583" t="s">
        <v>30</v>
      </c>
      <c r="G583" t="s">
        <v>28</v>
      </c>
      <c r="H583" cm="1">
        <f t="array" ref="H583">_xlfn.XLOOKUP(Table4[[#This Row],[vehicle_segment]]&amp;Table4[[#This Row],[powertrain_type]],Table3[vehicle_segment]&amp;Table3[powertrain_type],Table3[vehicle_id])</f>
        <v>3</v>
      </c>
      <c r="I583">
        <v>33</v>
      </c>
      <c r="J583">
        <v>211164</v>
      </c>
      <c r="K583">
        <v>18362</v>
      </c>
      <c r="L583">
        <v>229559</v>
      </c>
      <c r="M583">
        <v>0.01</v>
      </c>
      <c r="N583">
        <v>36</v>
      </c>
      <c r="O583">
        <v>2</v>
      </c>
      <c r="P583">
        <v>126</v>
      </c>
      <c r="Q583">
        <v>0.72299999999999998</v>
      </c>
      <c r="R583">
        <v>8.7999999999999995E-2</v>
      </c>
      <c r="S583">
        <v>8960</v>
      </c>
      <c r="T583">
        <v>77.599999999999994</v>
      </c>
      <c r="U583">
        <v>157.5</v>
      </c>
      <c r="V583">
        <v>0</v>
      </c>
      <c r="W583">
        <v>21.5</v>
      </c>
      <c r="X583">
        <v>153.85</v>
      </c>
      <c r="Y583">
        <v>0</v>
      </c>
    </row>
    <row r="584" spans="1:25" x14ac:dyDescent="0.25">
      <c r="A584" t="s">
        <v>47</v>
      </c>
      <c r="B584">
        <f>_xlfn.XLOOKUP(Table4[[#This Row],[country]],Table2[country],Table2[country_id],FALSE)</f>
        <v>13</v>
      </c>
      <c r="C584" t="s">
        <v>38</v>
      </c>
      <c r="D584">
        <v>2012</v>
      </c>
      <c r="E584">
        <f>_xlfn.XLOOKUP(Table4[[#This Row],[year]],Table1[year],Table1[year_id])</f>
        <v>3</v>
      </c>
      <c r="F584" t="s">
        <v>27</v>
      </c>
      <c r="G584" t="s">
        <v>28</v>
      </c>
      <c r="H584" cm="1">
        <f t="array" ref="H584">_xlfn.XLOOKUP(Table4[[#This Row],[vehicle_segment]]&amp;Table4[[#This Row],[powertrain_type]],Table3[vehicle_segment]&amp;Table3[powertrain_type],Table3[vehicle_id])</f>
        <v>1</v>
      </c>
      <c r="I584">
        <v>5</v>
      </c>
      <c r="J584">
        <v>88548</v>
      </c>
      <c r="K584">
        <v>59032</v>
      </c>
      <c r="L584">
        <v>147585</v>
      </c>
      <c r="M584">
        <v>0</v>
      </c>
      <c r="N584">
        <v>76</v>
      </c>
      <c r="O584">
        <v>4.0999999999999996</v>
      </c>
      <c r="P584">
        <v>124</v>
      </c>
      <c r="Q584">
        <v>0.747</v>
      </c>
      <c r="R584">
        <v>8.4000000000000005E-2</v>
      </c>
      <c r="S584">
        <v>9072</v>
      </c>
      <c r="T584">
        <v>78.7</v>
      </c>
      <c r="U584">
        <v>160.1</v>
      </c>
      <c r="V584">
        <v>0</v>
      </c>
      <c r="W584">
        <v>21.4</v>
      </c>
      <c r="X584">
        <v>0</v>
      </c>
      <c r="Y584">
        <v>0</v>
      </c>
    </row>
    <row r="585" spans="1:25" x14ac:dyDescent="0.25">
      <c r="A585" t="s">
        <v>47</v>
      </c>
      <c r="B585">
        <f>_xlfn.XLOOKUP(Table4[[#This Row],[country]],Table2[country],Table2[country_id],FALSE)</f>
        <v>13</v>
      </c>
      <c r="C585" t="s">
        <v>38</v>
      </c>
      <c r="D585">
        <v>2012</v>
      </c>
      <c r="E585">
        <f>_xlfn.XLOOKUP(Table4[[#This Row],[year]],Table1[year],Table1[year_id])</f>
        <v>3</v>
      </c>
      <c r="F585" t="s">
        <v>29</v>
      </c>
      <c r="G585" t="s">
        <v>28</v>
      </c>
      <c r="H585" cm="1">
        <f t="array" ref="H585">_xlfn.XLOOKUP(Table4[[#This Row],[vehicle_segment]]&amp;Table4[[#This Row],[powertrain_type]],Table3[vehicle_segment]&amp;Table3[powertrain_type],Table3[vehicle_id])</f>
        <v>2</v>
      </c>
      <c r="I585">
        <v>59</v>
      </c>
      <c r="J585">
        <v>514964</v>
      </c>
      <c r="K585">
        <v>70222</v>
      </c>
      <c r="L585">
        <v>585245</v>
      </c>
      <c r="M585">
        <v>0.01</v>
      </c>
      <c r="N585">
        <v>76</v>
      </c>
      <c r="O585">
        <v>4.0999999999999996</v>
      </c>
      <c r="P585">
        <v>124</v>
      </c>
      <c r="Q585">
        <v>0.747</v>
      </c>
      <c r="R585">
        <v>8.4000000000000005E-2</v>
      </c>
      <c r="S585">
        <v>9072</v>
      </c>
      <c r="T585">
        <v>78.7</v>
      </c>
      <c r="U585">
        <v>160.1</v>
      </c>
      <c r="V585">
        <v>0</v>
      </c>
      <c r="W585">
        <v>21.4</v>
      </c>
      <c r="X585">
        <v>56.79</v>
      </c>
      <c r="Y585">
        <v>0</v>
      </c>
    </row>
    <row r="586" spans="1:25" x14ac:dyDescent="0.25">
      <c r="A586" t="s">
        <v>47</v>
      </c>
      <c r="B586">
        <f>_xlfn.XLOOKUP(Table4[[#This Row],[country]],Table2[country],Table2[country_id],FALSE)</f>
        <v>13</v>
      </c>
      <c r="C586" t="s">
        <v>38</v>
      </c>
      <c r="D586">
        <v>2012</v>
      </c>
      <c r="E586">
        <f>_xlfn.XLOOKUP(Table4[[#This Row],[year]],Table1[year],Table1[year_id])</f>
        <v>3</v>
      </c>
      <c r="F586" t="s">
        <v>30</v>
      </c>
      <c r="G586" t="s">
        <v>28</v>
      </c>
      <c r="H586" cm="1">
        <f t="array" ref="H586">_xlfn.XLOOKUP(Table4[[#This Row],[vehicle_segment]]&amp;Table4[[#This Row],[powertrain_type]],Table3[vehicle_segment]&amp;Table3[powertrain_type],Table3[vehicle_id])</f>
        <v>3</v>
      </c>
      <c r="I586">
        <v>35</v>
      </c>
      <c r="J586">
        <v>224701</v>
      </c>
      <c r="K586">
        <v>19539</v>
      </c>
      <c r="L586">
        <v>244275</v>
      </c>
      <c r="M586">
        <v>0.01</v>
      </c>
      <c r="N586">
        <v>76</v>
      </c>
      <c r="O586">
        <v>4.0999999999999996</v>
      </c>
      <c r="P586">
        <v>124</v>
      </c>
      <c r="Q586">
        <v>0.747</v>
      </c>
      <c r="R586">
        <v>8.4000000000000005E-2</v>
      </c>
      <c r="S586">
        <v>9072</v>
      </c>
      <c r="T586">
        <v>78.7</v>
      </c>
      <c r="U586">
        <v>160.1</v>
      </c>
      <c r="V586">
        <v>0</v>
      </c>
      <c r="W586">
        <v>21.4</v>
      </c>
      <c r="X586">
        <v>64.08</v>
      </c>
      <c r="Y586">
        <v>0</v>
      </c>
    </row>
    <row r="587" spans="1:25" x14ac:dyDescent="0.25">
      <c r="A587" t="s">
        <v>47</v>
      </c>
      <c r="B587">
        <f>_xlfn.XLOOKUP(Table4[[#This Row],[country]],Table2[country],Table2[country_id],FALSE)</f>
        <v>13</v>
      </c>
      <c r="C587" t="s">
        <v>38</v>
      </c>
      <c r="D587">
        <v>2013</v>
      </c>
      <c r="E587">
        <f>_xlfn.XLOOKUP(Table4[[#This Row],[year]],Table1[year],Table1[year_id])</f>
        <v>4</v>
      </c>
      <c r="F587" t="s">
        <v>27</v>
      </c>
      <c r="G587" t="s">
        <v>28</v>
      </c>
      <c r="H587" cm="1">
        <f t="array" ref="H587">_xlfn.XLOOKUP(Table4[[#This Row],[vehicle_segment]]&amp;Table4[[#This Row],[powertrain_type]],Table3[vehicle_segment]&amp;Table3[powertrain_type],Table3[vehicle_id])</f>
        <v>1</v>
      </c>
      <c r="I587">
        <v>11</v>
      </c>
      <c r="J587">
        <v>95363</v>
      </c>
      <c r="K587">
        <v>63576</v>
      </c>
      <c r="L587">
        <v>158950</v>
      </c>
      <c r="M587">
        <v>0.01</v>
      </c>
      <c r="N587">
        <v>112</v>
      </c>
      <c r="O587">
        <v>6.2</v>
      </c>
      <c r="P587">
        <v>133</v>
      </c>
      <c r="Q587">
        <v>0.75700000000000001</v>
      </c>
      <c r="R587">
        <v>8.4000000000000005E-2</v>
      </c>
      <c r="S587">
        <v>9043</v>
      </c>
      <c r="T587">
        <v>78.5</v>
      </c>
      <c r="U587">
        <v>164.3</v>
      </c>
      <c r="V587">
        <v>0</v>
      </c>
      <c r="W587">
        <v>23.1</v>
      </c>
      <c r="X587">
        <v>30.06</v>
      </c>
      <c r="Y587">
        <v>0</v>
      </c>
    </row>
    <row r="588" spans="1:25" x14ac:dyDescent="0.25">
      <c r="A588" t="s">
        <v>47</v>
      </c>
      <c r="B588">
        <f>_xlfn.XLOOKUP(Table4[[#This Row],[country]],Table2[country],Table2[country_id],FALSE)</f>
        <v>13</v>
      </c>
      <c r="C588" t="s">
        <v>38</v>
      </c>
      <c r="D588">
        <v>2013</v>
      </c>
      <c r="E588">
        <f>_xlfn.XLOOKUP(Table4[[#This Row],[year]],Table1[year],Table1[year_id])</f>
        <v>4</v>
      </c>
      <c r="F588" t="s">
        <v>29</v>
      </c>
      <c r="G588" t="s">
        <v>28</v>
      </c>
      <c r="H588" cm="1">
        <f t="array" ref="H588">_xlfn.XLOOKUP(Table4[[#This Row],[vehicle_segment]]&amp;Table4[[#This Row],[powertrain_type]],Table3[vehicle_segment]&amp;Table3[powertrain_type],Table3[vehicle_id])</f>
        <v>2</v>
      </c>
      <c r="I588">
        <v>125</v>
      </c>
      <c r="J588">
        <v>548574</v>
      </c>
      <c r="K588">
        <v>74806</v>
      </c>
      <c r="L588">
        <v>623505</v>
      </c>
      <c r="M588">
        <v>0.02</v>
      </c>
      <c r="N588">
        <v>112</v>
      </c>
      <c r="O588">
        <v>6.2</v>
      </c>
      <c r="P588">
        <v>133</v>
      </c>
      <c r="Q588">
        <v>0.75700000000000001</v>
      </c>
      <c r="R588">
        <v>8.4000000000000005E-2</v>
      </c>
      <c r="S588">
        <v>9043</v>
      </c>
      <c r="T588">
        <v>78.5</v>
      </c>
      <c r="U588">
        <v>164.3</v>
      </c>
      <c r="V588">
        <v>0</v>
      </c>
      <c r="W588">
        <v>23.1</v>
      </c>
      <c r="X588">
        <v>73.34</v>
      </c>
      <c r="Y588">
        <v>0</v>
      </c>
    </row>
    <row r="589" spans="1:25" x14ac:dyDescent="0.25">
      <c r="A589" t="s">
        <v>47</v>
      </c>
      <c r="B589">
        <f>_xlfn.XLOOKUP(Table4[[#This Row],[country]],Table2[country],Table2[country_id],FALSE)</f>
        <v>13</v>
      </c>
      <c r="C589" t="s">
        <v>38</v>
      </c>
      <c r="D589">
        <v>2013</v>
      </c>
      <c r="E589">
        <f>_xlfn.XLOOKUP(Table4[[#This Row],[year]],Table1[year],Table1[year_id])</f>
        <v>4</v>
      </c>
      <c r="F589" t="s">
        <v>30</v>
      </c>
      <c r="G589" t="s">
        <v>28</v>
      </c>
      <c r="H589" cm="1">
        <f t="array" ref="H589">_xlfn.XLOOKUP(Table4[[#This Row],[vehicle_segment]]&amp;Table4[[#This Row],[powertrain_type]],Table3[vehicle_segment]&amp;Table3[powertrain_type],Table3[vehicle_id])</f>
        <v>3</v>
      </c>
      <c r="I589">
        <v>77</v>
      </c>
      <c r="J589">
        <v>243095</v>
      </c>
      <c r="K589">
        <v>21139</v>
      </c>
      <c r="L589">
        <v>264311</v>
      </c>
      <c r="M589">
        <v>0.03</v>
      </c>
      <c r="N589">
        <v>112</v>
      </c>
      <c r="O589">
        <v>6.2</v>
      </c>
      <c r="P589">
        <v>133</v>
      </c>
      <c r="Q589">
        <v>0.75700000000000001</v>
      </c>
      <c r="R589">
        <v>8.4000000000000005E-2</v>
      </c>
      <c r="S589">
        <v>9043</v>
      </c>
      <c r="T589">
        <v>78.5</v>
      </c>
      <c r="U589">
        <v>164.3</v>
      </c>
      <c r="V589">
        <v>0</v>
      </c>
      <c r="W589">
        <v>23.1</v>
      </c>
      <c r="X589">
        <v>80.930000000000007</v>
      </c>
      <c r="Y589">
        <v>0</v>
      </c>
    </row>
    <row r="590" spans="1:25" x14ac:dyDescent="0.25">
      <c r="A590" t="s">
        <v>47</v>
      </c>
      <c r="B590">
        <f>_xlfn.XLOOKUP(Table4[[#This Row],[country]],Table2[country],Table2[country_id],FALSE)</f>
        <v>13</v>
      </c>
      <c r="C590" t="s">
        <v>38</v>
      </c>
      <c r="D590">
        <v>2014</v>
      </c>
      <c r="E590">
        <f>_xlfn.XLOOKUP(Table4[[#This Row],[year]],Table1[year],Table1[year_id])</f>
        <v>5</v>
      </c>
      <c r="F590" t="s">
        <v>27</v>
      </c>
      <c r="G590" t="s">
        <v>28</v>
      </c>
      <c r="H590" cm="1">
        <f t="array" ref="H590">_xlfn.XLOOKUP(Table4[[#This Row],[vehicle_segment]]&amp;Table4[[#This Row],[powertrain_type]],Table3[vehicle_segment]&amp;Table3[powertrain_type],Table3[vehicle_id])</f>
        <v>1</v>
      </c>
      <c r="I590">
        <v>13</v>
      </c>
      <c r="J590">
        <v>109105</v>
      </c>
      <c r="K590">
        <v>72736</v>
      </c>
      <c r="L590">
        <v>181854</v>
      </c>
      <c r="M590">
        <v>0.01</v>
      </c>
      <c r="N590">
        <v>150</v>
      </c>
      <c r="O590">
        <v>8.1999999999999993</v>
      </c>
      <c r="P590">
        <v>152</v>
      </c>
      <c r="Q590">
        <v>0.77700000000000002</v>
      </c>
      <c r="R590">
        <v>8.1000000000000003E-2</v>
      </c>
      <c r="S590">
        <v>9138</v>
      </c>
      <c r="T590">
        <v>78.900000000000006</v>
      </c>
      <c r="U590">
        <v>167.8</v>
      </c>
      <c r="V590">
        <v>0</v>
      </c>
      <c r="W590">
        <v>24.4</v>
      </c>
      <c r="X590">
        <v>37.51</v>
      </c>
      <c r="Y590">
        <v>0</v>
      </c>
    </row>
    <row r="591" spans="1:25" x14ac:dyDescent="0.25">
      <c r="A591" t="s">
        <v>47</v>
      </c>
      <c r="B591">
        <f>_xlfn.XLOOKUP(Table4[[#This Row],[country]],Table2[country],Table2[country_id],FALSE)</f>
        <v>13</v>
      </c>
      <c r="C591" t="s">
        <v>38</v>
      </c>
      <c r="D591">
        <v>2014</v>
      </c>
      <c r="E591">
        <f>_xlfn.XLOOKUP(Table4[[#This Row],[year]],Table1[year],Table1[year_id])</f>
        <v>5</v>
      </c>
      <c r="F591" t="s">
        <v>29</v>
      </c>
      <c r="G591" t="s">
        <v>28</v>
      </c>
      <c r="H591" cm="1">
        <f t="array" ref="H591">_xlfn.XLOOKUP(Table4[[#This Row],[vehicle_segment]]&amp;Table4[[#This Row],[powertrain_type]],Table3[vehicle_segment]&amp;Table3[powertrain_type],Table3[vehicle_id])</f>
        <v>2</v>
      </c>
      <c r="I591">
        <v>146</v>
      </c>
      <c r="J591">
        <v>643959</v>
      </c>
      <c r="K591">
        <v>87813</v>
      </c>
      <c r="L591">
        <v>731918</v>
      </c>
      <c r="M591">
        <v>0.02</v>
      </c>
      <c r="N591">
        <v>150</v>
      </c>
      <c r="O591">
        <v>8.1999999999999993</v>
      </c>
      <c r="P591">
        <v>152</v>
      </c>
      <c r="Q591">
        <v>0.77700000000000002</v>
      </c>
      <c r="R591">
        <v>8.1000000000000003E-2</v>
      </c>
      <c r="S591">
        <v>9138</v>
      </c>
      <c r="T591">
        <v>78.900000000000006</v>
      </c>
      <c r="U591">
        <v>167.8</v>
      </c>
      <c r="V591">
        <v>0</v>
      </c>
      <c r="W591">
        <v>24.4</v>
      </c>
      <c r="X591">
        <v>16.8</v>
      </c>
      <c r="Y591">
        <v>0</v>
      </c>
    </row>
    <row r="592" spans="1:25" x14ac:dyDescent="0.25">
      <c r="A592" t="s">
        <v>47</v>
      </c>
      <c r="B592">
        <f>_xlfn.XLOOKUP(Table4[[#This Row],[country]],Table2[country],Table2[country_id],FALSE)</f>
        <v>13</v>
      </c>
      <c r="C592" t="s">
        <v>38</v>
      </c>
      <c r="D592">
        <v>2014</v>
      </c>
      <c r="E592">
        <f>_xlfn.XLOOKUP(Table4[[#This Row],[year]],Table1[year],Table1[year_id])</f>
        <v>5</v>
      </c>
      <c r="F592" t="s">
        <v>30</v>
      </c>
      <c r="G592" t="s">
        <v>28</v>
      </c>
      <c r="H592" cm="1">
        <f t="array" ref="H592">_xlfn.XLOOKUP(Table4[[#This Row],[vehicle_segment]]&amp;Table4[[#This Row],[powertrain_type]],Table3[vehicle_segment]&amp;Table3[powertrain_type],Table3[vehicle_id])</f>
        <v>3</v>
      </c>
      <c r="I592">
        <v>88</v>
      </c>
      <c r="J592">
        <v>279802</v>
      </c>
      <c r="K592">
        <v>24331</v>
      </c>
      <c r="L592">
        <v>304221</v>
      </c>
      <c r="M592">
        <v>0.03</v>
      </c>
      <c r="N592">
        <v>150</v>
      </c>
      <c r="O592">
        <v>8.1999999999999993</v>
      </c>
      <c r="P592">
        <v>152</v>
      </c>
      <c r="Q592">
        <v>0.77700000000000002</v>
      </c>
      <c r="R592">
        <v>8.1000000000000003E-2</v>
      </c>
      <c r="S592">
        <v>9138</v>
      </c>
      <c r="T592">
        <v>78.900000000000006</v>
      </c>
      <c r="U592">
        <v>167.8</v>
      </c>
      <c r="V592">
        <v>0</v>
      </c>
      <c r="W592">
        <v>24.4</v>
      </c>
      <c r="X592">
        <v>38.67</v>
      </c>
      <c r="Y592">
        <v>0</v>
      </c>
    </row>
    <row r="593" spans="1:25" x14ac:dyDescent="0.25">
      <c r="A593" t="s">
        <v>47</v>
      </c>
      <c r="B593">
        <f>_xlfn.XLOOKUP(Table4[[#This Row],[country]],Table2[country],Table2[country_id],FALSE)</f>
        <v>13</v>
      </c>
      <c r="C593" t="s">
        <v>38</v>
      </c>
      <c r="D593">
        <v>2015</v>
      </c>
      <c r="E593">
        <f>_xlfn.XLOOKUP(Table4[[#This Row],[year]],Table1[year],Table1[year_id])</f>
        <v>6</v>
      </c>
      <c r="F593" t="s">
        <v>27</v>
      </c>
      <c r="G593" t="s">
        <v>28</v>
      </c>
      <c r="H593" cm="1">
        <f t="array" ref="H593">_xlfn.XLOOKUP(Table4[[#This Row],[vehicle_segment]]&amp;Table4[[#This Row],[powertrain_type]],Table3[vehicle_segment]&amp;Table3[powertrain_type],Table3[vehicle_id])</f>
        <v>1</v>
      </c>
      <c r="I593">
        <v>14</v>
      </c>
      <c r="J593">
        <v>118034</v>
      </c>
      <c r="K593">
        <v>78689</v>
      </c>
      <c r="L593">
        <v>196737</v>
      </c>
      <c r="M593">
        <v>0.01</v>
      </c>
      <c r="N593">
        <v>191</v>
      </c>
      <c r="O593">
        <v>10.199999999999999</v>
      </c>
      <c r="P593">
        <v>155</v>
      </c>
      <c r="Q593">
        <v>0.8</v>
      </c>
      <c r="R593">
        <v>0.08</v>
      </c>
      <c r="S593">
        <v>9144</v>
      </c>
      <c r="T593">
        <v>79</v>
      </c>
      <c r="U593">
        <v>169.1</v>
      </c>
      <c r="V593">
        <v>0</v>
      </c>
      <c r="W593">
        <v>24.9</v>
      </c>
      <c r="X593">
        <v>40.950000000000003</v>
      </c>
      <c r="Y593">
        <v>0</v>
      </c>
    </row>
    <row r="594" spans="1:25" x14ac:dyDescent="0.25">
      <c r="A594" t="s">
        <v>47</v>
      </c>
      <c r="B594">
        <f>_xlfn.XLOOKUP(Table4[[#This Row],[country]],Table2[country],Table2[country_id],FALSE)</f>
        <v>13</v>
      </c>
      <c r="C594" t="s">
        <v>38</v>
      </c>
      <c r="D594">
        <v>2015</v>
      </c>
      <c r="E594">
        <f>_xlfn.XLOOKUP(Table4[[#This Row],[year]],Table1[year],Table1[year_id])</f>
        <v>6</v>
      </c>
      <c r="F594" t="s">
        <v>29</v>
      </c>
      <c r="G594" t="s">
        <v>28</v>
      </c>
      <c r="H594" cm="1">
        <f t="array" ref="H594">_xlfn.XLOOKUP(Table4[[#This Row],[vehicle_segment]]&amp;Table4[[#This Row],[powertrain_type]],Table3[vehicle_segment]&amp;Table3[powertrain_type],Table3[vehicle_id])</f>
        <v>2</v>
      </c>
      <c r="I594">
        <v>154</v>
      </c>
      <c r="J594">
        <v>679464</v>
      </c>
      <c r="K594">
        <v>92654</v>
      </c>
      <c r="L594">
        <v>772272</v>
      </c>
      <c r="M594">
        <v>0.02</v>
      </c>
      <c r="N594">
        <v>191</v>
      </c>
      <c r="O594">
        <v>10.199999999999999</v>
      </c>
      <c r="P594">
        <v>155</v>
      </c>
      <c r="Q594">
        <v>0.8</v>
      </c>
      <c r="R594">
        <v>0.08</v>
      </c>
      <c r="S594">
        <v>9144</v>
      </c>
      <c r="T594">
        <v>79</v>
      </c>
      <c r="U594">
        <v>169.1</v>
      </c>
      <c r="V594">
        <v>0</v>
      </c>
      <c r="W594">
        <v>24.9</v>
      </c>
      <c r="X594">
        <v>5.48</v>
      </c>
      <c r="Y594">
        <v>0</v>
      </c>
    </row>
    <row r="595" spans="1:25" x14ac:dyDescent="0.25">
      <c r="A595" t="s">
        <v>47</v>
      </c>
      <c r="B595">
        <f>_xlfn.XLOOKUP(Table4[[#This Row],[country]],Table2[country],Table2[country_id],FALSE)</f>
        <v>13</v>
      </c>
      <c r="C595" t="s">
        <v>38</v>
      </c>
      <c r="D595">
        <v>2015</v>
      </c>
      <c r="E595">
        <f>_xlfn.XLOOKUP(Table4[[#This Row],[year]],Table1[year],Table1[year_id])</f>
        <v>6</v>
      </c>
      <c r="F595" t="s">
        <v>30</v>
      </c>
      <c r="G595" t="s">
        <v>28</v>
      </c>
      <c r="H595" cm="1">
        <f t="array" ref="H595">_xlfn.XLOOKUP(Table4[[#This Row],[vehicle_segment]]&amp;Table4[[#This Row],[powertrain_type]],Table3[vehicle_segment]&amp;Table3[powertrain_type],Table3[vehicle_id])</f>
        <v>3</v>
      </c>
      <c r="I595">
        <v>95</v>
      </c>
      <c r="J595">
        <v>302244</v>
      </c>
      <c r="K595">
        <v>26282</v>
      </c>
      <c r="L595">
        <v>328621</v>
      </c>
      <c r="M595">
        <v>0.03</v>
      </c>
      <c r="N595">
        <v>191</v>
      </c>
      <c r="O595">
        <v>10.199999999999999</v>
      </c>
      <c r="P595">
        <v>155</v>
      </c>
      <c r="Q595">
        <v>0.8</v>
      </c>
      <c r="R595">
        <v>0.08</v>
      </c>
      <c r="S595">
        <v>9144</v>
      </c>
      <c r="T595">
        <v>79</v>
      </c>
      <c r="U595">
        <v>169.1</v>
      </c>
      <c r="V595">
        <v>0</v>
      </c>
      <c r="W595">
        <v>24.9</v>
      </c>
      <c r="X595">
        <v>39.49</v>
      </c>
      <c r="Y595">
        <v>0</v>
      </c>
    </row>
    <row r="596" spans="1:25" x14ac:dyDescent="0.25">
      <c r="A596" t="s">
        <v>47</v>
      </c>
      <c r="B596">
        <f>_xlfn.XLOOKUP(Table4[[#This Row],[country]],Table2[country],Table2[country_id],FALSE)</f>
        <v>13</v>
      </c>
      <c r="C596" t="s">
        <v>38</v>
      </c>
      <c r="D596">
        <v>2016</v>
      </c>
      <c r="E596">
        <f>_xlfn.XLOOKUP(Table4[[#This Row],[year]],Table1[year],Table1[year_id])</f>
        <v>7</v>
      </c>
      <c r="F596" t="s">
        <v>27</v>
      </c>
      <c r="G596" t="s">
        <v>28</v>
      </c>
      <c r="H596" cm="1">
        <f t="array" ref="H596">_xlfn.XLOOKUP(Table4[[#This Row],[vehicle_segment]]&amp;Table4[[#This Row],[powertrain_type]],Table3[vehicle_segment]&amp;Table3[powertrain_type],Table3[vehicle_id])</f>
        <v>1</v>
      </c>
      <c r="I596">
        <v>23</v>
      </c>
      <c r="J596">
        <v>130316</v>
      </c>
      <c r="K596">
        <v>86878</v>
      </c>
      <c r="L596">
        <v>217217</v>
      </c>
      <c r="M596">
        <v>0.01</v>
      </c>
      <c r="N596">
        <v>216</v>
      </c>
      <c r="O596">
        <v>10.3</v>
      </c>
      <c r="P596">
        <v>175</v>
      </c>
      <c r="Q596">
        <v>0.84699999999999998</v>
      </c>
      <c r="R596">
        <v>7.9000000000000001E-2</v>
      </c>
      <c r="S596">
        <v>9476</v>
      </c>
      <c r="T596">
        <v>79.599999999999994</v>
      </c>
      <c r="U596">
        <v>168.9</v>
      </c>
      <c r="V596">
        <v>0</v>
      </c>
      <c r="W596">
        <v>27.2</v>
      </c>
      <c r="X596">
        <v>27.87</v>
      </c>
      <c r="Y596">
        <v>0</v>
      </c>
    </row>
    <row r="597" spans="1:25" x14ac:dyDescent="0.25">
      <c r="A597" t="s">
        <v>47</v>
      </c>
      <c r="B597">
        <f>_xlfn.XLOOKUP(Table4[[#This Row],[country]],Table2[country],Table2[country_id],FALSE)</f>
        <v>13</v>
      </c>
      <c r="C597" t="s">
        <v>38</v>
      </c>
      <c r="D597">
        <v>2016</v>
      </c>
      <c r="E597">
        <f>_xlfn.XLOOKUP(Table4[[#This Row],[year]],Table1[year],Table1[year_id])</f>
        <v>7</v>
      </c>
      <c r="F597" t="s">
        <v>29</v>
      </c>
      <c r="G597" t="s">
        <v>28</v>
      </c>
      <c r="H597" cm="1">
        <f t="array" ref="H597">_xlfn.XLOOKUP(Table4[[#This Row],[vehicle_segment]]&amp;Table4[[#This Row],[powertrain_type]],Table3[vehicle_segment]&amp;Table3[powertrain_type],Table3[vehicle_id])</f>
        <v>2</v>
      </c>
      <c r="I597">
        <v>255</v>
      </c>
      <c r="J597">
        <v>746750</v>
      </c>
      <c r="K597">
        <v>101829</v>
      </c>
      <c r="L597">
        <v>848834</v>
      </c>
      <c r="M597">
        <v>0.03</v>
      </c>
      <c r="N597">
        <v>216</v>
      </c>
      <c r="O597">
        <v>10.3</v>
      </c>
      <c r="P597">
        <v>175</v>
      </c>
      <c r="Q597">
        <v>0.84699999999999998</v>
      </c>
      <c r="R597">
        <v>7.9000000000000001E-2</v>
      </c>
      <c r="S597">
        <v>9476</v>
      </c>
      <c r="T597">
        <v>79.599999999999994</v>
      </c>
      <c r="U597">
        <v>168.9</v>
      </c>
      <c r="V597">
        <v>0</v>
      </c>
      <c r="W597">
        <v>27.2</v>
      </c>
      <c r="X597">
        <v>65.58</v>
      </c>
      <c r="Y597">
        <v>0</v>
      </c>
    </row>
    <row r="598" spans="1:25" x14ac:dyDescent="0.25">
      <c r="A598" t="s">
        <v>47</v>
      </c>
      <c r="B598">
        <f>_xlfn.XLOOKUP(Table4[[#This Row],[country]],Table2[country],Table2[country_id],FALSE)</f>
        <v>13</v>
      </c>
      <c r="C598" t="s">
        <v>38</v>
      </c>
      <c r="D598">
        <v>2016</v>
      </c>
      <c r="E598">
        <f>_xlfn.XLOOKUP(Table4[[#This Row],[year]],Table1[year],Table1[year_id])</f>
        <v>7</v>
      </c>
      <c r="F598" t="s">
        <v>30</v>
      </c>
      <c r="G598" t="s">
        <v>28</v>
      </c>
      <c r="H598" cm="1">
        <f t="array" ref="H598">_xlfn.XLOOKUP(Table4[[#This Row],[vehicle_segment]]&amp;Table4[[#This Row],[powertrain_type]],Table3[vehicle_segment]&amp;Table3[powertrain_type],Table3[vehicle_id])</f>
        <v>3</v>
      </c>
      <c r="I598">
        <v>154</v>
      </c>
      <c r="J598">
        <v>325890</v>
      </c>
      <c r="K598">
        <v>28338</v>
      </c>
      <c r="L598">
        <v>354382</v>
      </c>
      <c r="M598">
        <v>0.04</v>
      </c>
      <c r="N598">
        <v>216</v>
      </c>
      <c r="O598">
        <v>10.3</v>
      </c>
      <c r="P598">
        <v>175</v>
      </c>
      <c r="Q598">
        <v>0.84699999999999998</v>
      </c>
      <c r="R598">
        <v>7.9000000000000001E-2</v>
      </c>
      <c r="S598">
        <v>9476</v>
      </c>
      <c r="T598">
        <v>79.599999999999994</v>
      </c>
      <c r="U598">
        <v>168.9</v>
      </c>
      <c r="V598">
        <v>0</v>
      </c>
      <c r="W598">
        <v>27.2</v>
      </c>
      <c r="X598">
        <v>25.99</v>
      </c>
      <c r="Y598">
        <v>0</v>
      </c>
    </row>
    <row r="599" spans="1:25" x14ac:dyDescent="0.25">
      <c r="A599" t="s">
        <v>47</v>
      </c>
      <c r="B599">
        <f>_xlfn.XLOOKUP(Table4[[#This Row],[country]],Table2[country],Table2[country_id],FALSE)</f>
        <v>13</v>
      </c>
      <c r="C599" t="s">
        <v>38</v>
      </c>
      <c r="D599">
        <v>2017</v>
      </c>
      <c r="E599">
        <f>_xlfn.XLOOKUP(Table4[[#This Row],[year]],Table1[year],Table1[year_id])</f>
        <v>8</v>
      </c>
      <c r="F599" t="s">
        <v>27</v>
      </c>
      <c r="G599" t="s">
        <v>28</v>
      </c>
      <c r="H599" cm="1">
        <f t="array" ref="H599">_xlfn.XLOOKUP(Table4[[#This Row],[vehicle_segment]]&amp;Table4[[#This Row],[powertrain_type]],Table3[vehicle_segment]&amp;Table3[powertrain_type],Table3[vehicle_id])</f>
        <v>1</v>
      </c>
      <c r="I599">
        <v>40</v>
      </c>
      <c r="J599">
        <v>138659</v>
      </c>
      <c r="K599">
        <v>92439</v>
      </c>
      <c r="L599">
        <v>231138</v>
      </c>
      <c r="M599">
        <v>0.02</v>
      </c>
      <c r="N599">
        <v>250</v>
      </c>
      <c r="O599">
        <v>11.4</v>
      </c>
      <c r="P599">
        <v>201</v>
      </c>
      <c r="Q599">
        <v>0.89700000000000002</v>
      </c>
      <c r="R599">
        <v>7.8E-2</v>
      </c>
      <c r="S599">
        <v>9541</v>
      </c>
      <c r="T599">
        <v>79.7</v>
      </c>
      <c r="U599">
        <v>170.9</v>
      </c>
      <c r="V599">
        <v>0</v>
      </c>
      <c r="W599">
        <v>29</v>
      </c>
      <c r="X599">
        <v>45.45</v>
      </c>
      <c r="Y599">
        <v>0</v>
      </c>
    </row>
    <row r="600" spans="1:25" x14ac:dyDescent="0.25">
      <c r="A600" t="s">
        <v>47</v>
      </c>
      <c r="B600">
        <f>_xlfn.XLOOKUP(Table4[[#This Row],[country]],Table2[country],Table2[country_id],FALSE)</f>
        <v>13</v>
      </c>
      <c r="C600" t="s">
        <v>38</v>
      </c>
      <c r="D600">
        <v>2017</v>
      </c>
      <c r="E600">
        <f>_xlfn.XLOOKUP(Table4[[#This Row],[year]],Table1[year],Table1[year_id])</f>
        <v>8</v>
      </c>
      <c r="F600" t="s">
        <v>29</v>
      </c>
      <c r="G600" t="s">
        <v>28</v>
      </c>
      <c r="H600" cm="1">
        <f t="array" ref="H600">_xlfn.XLOOKUP(Table4[[#This Row],[vehicle_segment]]&amp;Table4[[#This Row],[powertrain_type]],Table3[vehicle_segment]&amp;Table3[powertrain_type],Table3[vehicle_id])</f>
        <v>2</v>
      </c>
      <c r="I600">
        <v>465</v>
      </c>
      <c r="J600">
        <v>818499</v>
      </c>
      <c r="K600">
        <v>111613</v>
      </c>
      <c r="L600">
        <v>930577</v>
      </c>
      <c r="M600">
        <v>0.05</v>
      </c>
      <c r="N600">
        <v>250</v>
      </c>
      <c r="O600">
        <v>11.4</v>
      </c>
      <c r="P600">
        <v>201</v>
      </c>
      <c r="Q600">
        <v>0.89700000000000002</v>
      </c>
      <c r="R600">
        <v>7.8E-2</v>
      </c>
      <c r="S600">
        <v>9541</v>
      </c>
      <c r="T600">
        <v>79.7</v>
      </c>
      <c r="U600">
        <v>170.9</v>
      </c>
      <c r="V600">
        <v>0</v>
      </c>
      <c r="W600">
        <v>29</v>
      </c>
      <c r="X600">
        <v>82.35</v>
      </c>
      <c r="Y600">
        <v>0</v>
      </c>
    </row>
    <row r="601" spans="1:25" x14ac:dyDescent="0.25">
      <c r="A601" t="s">
        <v>47</v>
      </c>
      <c r="B601">
        <f>_xlfn.XLOOKUP(Table4[[#This Row],[country]],Table2[country],Table2[country_id],FALSE)</f>
        <v>13</v>
      </c>
      <c r="C601" t="s">
        <v>38</v>
      </c>
      <c r="D601">
        <v>2017</v>
      </c>
      <c r="E601">
        <f>_xlfn.XLOOKUP(Table4[[#This Row],[year]],Table1[year],Table1[year_id])</f>
        <v>8</v>
      </c>
      <c r="F601" t="s">
        <v>30</v>
      </c>
      <c r="G601" t="s">
        <v>28</v>
      </c>
      <c r="H601" cm="1">
        <f t="array" ref="H601">_xlfn.XLOOKUP(Table4[[#This Row],[vehicle_segment]]&amp;Table4[[#This Row],[powertrain_type]],Table3[vehicle_segment]&amp;Table3[powertrain_type],Table3[vehicle_id])</f>
        <v>3</v>
      </c>
      <c r="I601">
        <v>279</v>
      </c>
      <c r="J601">
        <v>354150</v>
      </c>
      <c r="K601">
        <v>30796</v>
      </c>
      <c r="L601">
        <v>385225</v>
      </c>
      <c r="M601">
        <v>7.0000000000000007E-2</v>
      </c>
      <c r="N601">
        <v>250</v>
      </c>
      <c r="O601">
        <v>11.4</v>
      </c>
      <c r="P601">
        <v>201</v>
      </c>
      <c r="Q601">
        <v>0.89700000000000002</v>
      </c>
      <c r="R601">
        <v>7.8E-2</v>
      </c>
      <c r="S601">
        <v>9541</v>
      </c>
      <c r="T601">
        <v>79.7</v>
      </c>
      <c r="U601">
        <v>170.9</v>
      </c>
      <c r="V601">
        <v>0</v>
      </c>
      <c r="W601">
        <v>29</v>
      </c>
      <c r="X601">
        <v>81.17</v>
      </c>
      <c r="Y601">
        <v>0</v>
      </c>
    </row>
    <row r="602" spans="1:25" x14ac:dyDescent="0.25">
      <c r="A602" t="s">
        <v>47</v>
      </c>
      <c r="B602">
        <f>_xlfn.XLOOKUP(Table4[[#This Row],[country]],Table2[country],Table2[country_id],FALSE)</f>
        <v>13</v>
      </c>
      <c r="C602" t="s">
        <v>38</v>
      </c>
      <c r="D602">
        <v>2018</v>
      </c>
      <c r="E602">
        <f>_xlfn.XLOOKUP(Table4[[#This Row],[year]],Table1[year],Table1[year_id])</f>
        <v>9</v>
      </c>
      <c r="F602" t="s">
        <v>27</v>
      </c>
      <c r="G602" t="s">
        <v>28</v>
      </c>
      <c r="H602" cm="1">
        <f t="array" ref="H602">_xlfn.XLOOKUP(Table4[[#This Row],[vehicle_segment]]&amp;Table4[[#This Row],[powertrain_type]],Table3[vehicle_segment]&amp;Table3[powertrain_type],Table3[vehicle_id])</f>
        <v>1</v>
      </c>
      <c r="I602">
        <v>53</v>
      </c>
      <c r="J602">
        <v>128654</v>
      </c>
      <c r="K602">
        <v>85770</v>
      </c>
      <c r="L602">
        <v>214477</v>
      </c>
      <c r="M602">
        <v>0.02</v>
      </c>
      <c r="N602">
        <v>288</v>
      </c>
      <c r="O602">
        <v>13.2</v>
      </c>
      <c r="P602">
        <v>246</v>
      </c>
      <c r="Q602">
        <v>0.95299999999999996</v>
      </c>
      <c r="R602">
        <v>7.8E-2</v>
      </c>
      <c r="S602">
        <v>9843</v>
      </c>
      <c r="T602">
        <v>80.2</v>
      </c>
      <c r="U602">
        <v>172.8</v>
      </c>
      <c r="V602">
        <v>0</v>
      </c>
      <c r="W602">
        <v>31.8</v>
      </c>
      <c r="X602">
        <v>55.85</v>
      </c>
      <c r="Y602">
        <v>0</v>
      </c>
    </row>
    <row r="603" spans="1:25" x14ac:dyDescent="0.25">
      <c r="A603" t="s">
        <v>47</v>
      </c>
      <c r="B603">
        <f>_xlfn.XLOOKUP(Table4[[#This Row],[country]],Table2[country],Table2[country_id],FALSE)</f>
        <v>13</v>
      </c>
      <c r="C603" t="s">
        <v>38</v>
      </c>
      <c r="D603">
        <v>2018</v>
      </c>
      <c r="E603">
        <f>_xlfn.XLOOKUP(Table4[[#This Row],[year]],Table1[year],Table1[year_id])</f>
        <v>9</v>
      </c>
      <c r="F603" t="s">
        <v>29</v>
      </c>
      <c r="G603" t="s">
        <v>28</v>
      </c>
      <c r="H603" cm="1">
        <f t="array" ref="H603">_xlfn.XLOOKUP(Table4[[#This Row],[vehicle_segment]]&amp;Table4[[#This Row],[powertrain_type]],Table3[vehicle_segment]&amp;Table3[powertrain_type],Table3[vehicle_id])</f>
        <v>2</v>
      </c>
      <c r="I603">
        <v>600</v>
      </c>
      <c r="J603">
        <v>754024</v>
      </c>
      <c r="K603">
        <v>102821</v>
      </c>
      <c r="L603">
        <v>857445</v>
      </c>
      <c r="M603">
        <v>7.0000000000000007E-2</v>
      </c>
      <c r="N603">
        <v>288</v>
      </c>
      <c r="O603">
        <v>13.2</v>
      </c>
      <c r="P603">
        <v>246</v>
      </c>
      <c r="Q603">
        <v>0.95299999999999996</v>
      </c>
      <c r="R603">
        <v>7.8E-2</v>
      </c>
      <c r="S603">
        <v>9843</v>
      </c>
      <c r="T603">
        <v>80.2</v>
      </c>
      <c r="U603">
        <v>172.8</v>
      </c>
      <c r="V603">
        <v>0</v>
      </c>
      <c r="W603">
        <v>31.8</v>
      </c>
      <c r="X603">
        <v>29.03</v>
      </c>
      <c r="Y603">
        <v>0</v>
      </c>
    </row>
    <row r="604" spans="1:25" x14ac:dyDescent="0.25">
      <c r="A604" t="s">
        <v>47</v>
      </c>
      <c r="B604">
        <f>_xlfn.XLOOKUP(Table4[[#This Row],[country]],Table2[country],Table2[country_id],FALSE)</f>
        <v>13</v>
      </c>
      <c r="C604" t="s">
        <v>38</v>
      </c>
      <c r="D604">
        <v>2018</v>
      </c>
      <c r="E604">
        <f>_xlfn.XLOOKUP(Table4[[#This Row],[year]],Table1[year],Table1[year_id])</f>
        <v>9</v>
      </c>
      <c r="F604" t="s">
        <v>30</v>
      </c>
      <c r="G604" t="s">
        <v>28</v>
      </c>
      <c r="H604" cm="1">
        <f t="array" ref="H604">_xlfn.XLOOKUP(Table4[[#This Row],[vehicle_segment]]&amp;Table4[[#This Row],[powertrain_type]],Table3[vehicle_segment]&amp;Table3[powertrain_type],Table3[vehicle_id])</f>
        <v>3</v>
      </c>
      <c r="I604">
        <v>365</v>
      </c>
      <c r="J604">
        <v>330374</v>
      </c>
      <c r="K604">
        <v>28728</v>
      </c>
      <c r="L604">
        <v>359467</v>
      </c>
      <c r="M604">
        <v>0.1</v>
      </c>
      <c r="N604">
        <v>288</v>
      </c>
      <c r="O604">
        <v>13.2</v>
      </c>
      <c r="P604">
        <v>246</v>
      </c>
      <c r="Q604">
        <v>0.95299999999999996</v>
      </c>
      <c r="R604">
        <v>7.8E-2</v>
      </c>
      <c r="S604">
        <v>9843</v>
      </c>
      <c r="T604">
        <v>80.2</v>
      </c>
      <c r="U604">
        <v>172.8</v>
      </c>
      <c r="V604">
        <v>0</v>
      </c>
      <c r="W604">
        <v>31.8</v>
      </c>
      <c r="X604">
        <v>30.82</v>
      </c>
      <c r="Y604">
        <v>0</v>
      </c>
    </row>
    <row r="605" spans="1:25" x14ac:dyDescent="0.25">
      <c r="A605" t="s">
        <v>47</v>
      </c>
      <c r="B605">
        <f>_xlfn.XLOOKUP(Table4[[#This Row],[country]],Table2[country],Table2[country_id],FALSE)</f>
        <v>13</v>
      </c>
      <c r="C605" t="s">
        <v>38</v>
      </c>
      <c r="D605">
        <v>2019</v>
      </c>
      <c r="E605">
        <f>_xlfn.XLOOKUP(Table4[[#This Row],[year]],Table1[year],Table1[year_id])</f>
        <v>10</v>
      </c>
      <c r="F605" t="s">
        <v>27</v>
      </c>
      <c r="G605" t="s">
        <v>28</v>
      </c>
      <c r="H605" cm="1">
        <f t="array" ref="H605">_xlfn.XLOOKUP(Table4[[#This Row],[vehicle_segment]]&amp;Table4[[#This Row],[powertrain_type]],Table3[vehicle_segment]&amp;Table3[powertrain_type],Table3[vehicle_id])</f>
        <v>1</v>
      </c>
      <c r="I605">
        <v>76</v>
      </c>
      <c r="J605">
        <v>118841</v>
      </c>
      <c r="K605">
        <v>79227</v>
      </c>
      <c r="L605">
        <v>198144</v>
      </c>
      <c r="M605">
        <v>0.04</v>
      </c>
      <c r="N605">
        <v>630</v>
      </c>
      <c r="O605">
        <v>16</v>
      </c>
      <c r="P605">
        <v>277</v>
      </c>
      <c r="Q605">
        <v>1</v>
      </c>
      <c r="R605">
        <v>7.9000000000000001E-2</v>
      </c>
      <c r="S605">
        <v>10035</v>
      </c>
      <c r="T605">
        <v>80.8</v>
      </c>
      <c r="U605">
        <v>166.2</v>
      </c>
      <c r="V605">
        <v>0</v>
      </c>
      <c r="W605">
        <v>32.700000000000003</v>
      </c>
      <c r="X605">
        <v>48.95</v>
      </c>
      <c r="Y605">
        <v>0</v>
      </c>
    </row>
    <row r="606" spans="1:25" x14ac:dyDescent="0.25">
      <c r="A606" t="s">
        <v>47</v>
      </c>
      <c r="B606">
        <f>_xlfn.XLOOKUP(Table4[[#This Row],[country]],Table2[country],Table2[country_id],FALSE)</f>
        <v>13</v>
      </c>
      <c r="C606" t="s">
        <v>38</v>
      </c>
      <c r="D606">
        <v>2019</v>
      </c>
      <c r="E606">
        <f>_xlfn.XLOOKUP(Table4[[#This Row],[year]],Table1[year],Table1[year_id])</f>
        <v>10</v>
      </c>
      <c r="F606" t="s">
        <v>29</v>
      </c>
      <c r="G606" t="s">
        <v>28</v>
      </c>
      <c r="H606" cm="1">
        <f t="array" ref="H606">_xlfn.XLOOKUP(Table4[[#This Row],[vehicle_segment]]&amp;Table4[[#This Row],[powertrain_type]],Table3[vehicle_segment]&amp;Table3[powertrain_type],Table3[vehicle_id])</f>
        <v>2</v>
      </c>
      <c r="I606">
        <v>873</v>
      </c>
      <c r="J606">
        <v>697888</v>
      </c>
      <c r="K606">
        <v>95166</v>
      </c>
      <c r="L606">
        <v>793927</v>
      </c>
      <c r="M606">
        <v>0.11</v>
      </c>
      <c r="N606">
        <v>630</v>
      </c>
      <c r="O606">
        <v>16</v>
      </c>
      <c r="P606">
        <v>277</v>
      </c>
      <c r="Q606">
        <v>1</v>
      </c>
      <c r="R606">
        <v>7.9000000000000001E-2</v>
      </c>
      <c r="S606">
        <v>10035</v>
      </c>
      <c r="T606">
        <v>80.8</v>
      </c>
      <c r="U606">
        <v>166.2</v>
      </c>
      <c r="V606">
        <v>0</v>
      </c>
      <c r="W606">
        <v>32.700000000000003</v>
      </c>
      <c r="X606">
        <v>45.5</v>
      </c>
      <c r="Y606">
        <v>0</v>
      </c>
    </row>
    <row r="607" spans="1:25" x14ac:dyDescent="0.25">
      <c r="A607" t="s">
        <v>47</v>
      </c>
      <c r="B607">
        <f>_xlfn.XLOOKUP(Table4[[#This Row],[country]],Table2[country],Table2[country_id],FALSE)</f>
        <v>13</v>
      </c>
      <c r="C607" t="s">
        <v>38</v>
      </c>
      <c r="D607">
        <v>2019</v>
      </c>
      <c r="E607">
        <f>_xlfn.XLOOKUP(Table4[[#This Row],[year]],Table1[year],Table1[year_id])</f>
        <v>10</v>
      </c>
      <c r="F607" t="s">
        <v>30</v>
      </c>
      <c r="G607" t="s">
        <v>28</v>
      </c>
      <c r="H607" cm="1">
        <f t="array" ref="H607">_xlfn.XLOOKUP(Table4[[#This Row],[vehicle_segment]]&amp;Table4[[#This Row],[powertrain_type]],Table3[vehicle_segment]&amp;Table3[powertrain_type],Table3[vehicle_id])</f>
        <v>3</v>
      </c>
      <c r="I607">
        <v>530</v>
      </c>
      <c r="J607">
        <v>305473</v>
      </c>
      <c r="K607">
        <v>26563</v>
      </c>
      <c r="L607">
        <v>332566</v>
      </c>
      <c r="M607">
        <v>0.16</v>
      </c>
      <c r="N607">
        <v>630</v>
      </c>
      <c r="O607">
        <v>16</v>
      </c>
      <c r="P607">
        <v>277</v>
      </c>
      <c r="Q607">
        <v>1</v>
      </c>
      <c r="R607">
        <v>7.9000000000000001E-2</v>
      </c>
      <c r="S607">
        <v>10035</v>
      </c>
      <c r="T607">
        <v>80.8</v>
      </c>
      <c r="U607">
        <v>166.2</v>
      </c>
      <c r="V607">
        <v>0</v>
      </c>
      <c r="W607">
        <v>32.700000000000003</v>
      </c>
      <c r="X607">
        <v>45.21</v>
      </c>
      <c r="Y607">
        <v>0</v>
      </c>
    </row>
    <row r="608" spans="1:25" x14ac:dyDescent="0.25">
      <c r="A608" t="s">
        <v>47</v>
      </c>
      <c r="B608">
        <f>_xlfn.XLOOKUP(Table4[[#This Row],[country]],Table2[country],Table2[country_id],FALSE)</f>
        <v>13</v>
      </c>
      <c r="C608" t="s">
        <v>38</v>
      </c>
      <c r="D608">
        <v>2020</v>
      </c>
      <c r="E608">
        <f>_xlfn.XLOOKUP(Table4[[#This Row],[year]],Table1[year],Table1[year_id])</f>
        <v>11</v>
      </c>
      <c r="F608" t="s">
        <v>27</v>
      </c>
      <c r="G608" t="s">
        <v>28</v>
      </c>
      <c r="H608" cm="1">
        <f t="array" ref="H608">_xlfn.XLOOKUP(Table4[[#This Row],[vehicle_segment]]&amp;Table4[[#This Row],[powertrain_type]],Table3[vehicle_segment]&amp;Table3[powertrain_type],Table3[vehicle_id])</f>
        <v>1</v>
      </c>
      <c r="I608">
        <v>110</v>
      </c>
      <c r="J608">
        <v>85877</v>
      </c>
      <c r="K608">
        <v>57251</v>
      </c>
      <c r="L608">
        <v>143238</v>
      </c>
      <c r="M608">
        <v>0.08</v>
      </c>
      <c r="N608">
        <v>939</v>
      </c>
      <c r="O608">
        <v>15.1</v>
      </c>
      <c r="P608">
        <v>313</v>
      </c>
      <c r="Q608">
        <v>1.083</v>
      </c>
      <c r="R608">
        <v>8.1000000000000003E-2</v>
      </c>
      <c r="S608">
        <v>10289</v>
      </c>
      <c r="T608">
        <v>80.8</v>
      </c>
      <c r="U608">
        <v>161.30000000000001</v>
      </c>
      <c r="V608">
        <v>0</v>
      </c>
      <c r="W608">
        <v>36</v>
      </c>
      <c r="X608">
        <v>40.1</v>
      </c>
      <c r="Y608">
        <v>0</v>
      </c>
    </row>
    <row r="609" spans="1:25" x14ac:dyDescent="0.25">
      <c r="A609" t="s">
        <v>47</v>
      </c>
      <c r="B609">
        <f>_xlfn.XLOOKUP(Table4[[#This Row],[country]],Table2[country],Table2[country_id],FALSE)</f>
        <v>13</v>
      </c>
      <c r="C609" t="s">
        <v>38</v>
      </c>
      <c r="D609">
        <v>2020</v>
      </c>
      <c r="E609">
        <f>_xlfn.XLOOKUP(Table4[[#This Row],[year]],Table1[year],Table1[year_id])</f>
        <v>11</v>
      </c>
      <c r="F609" t="s">
        <v>29</v>
      </c>
      <c r="G609" t="s">
        <v>28</v>
      </c>
      <c r="H609" cm="1">
        <f t="array" ref="H609">_xlfn.XLOOKUP(Table4[[#This Row],[vehicle_segment]]&amp;Table4[[#This Row],[powertrain_type]],Table3[vehicle_segment]&amp;Table3[powertrain_type],Table3[vehicle_id])</f>
        <v>2</v>
      </c>
      <c r="I609">
        <v>1255</v>
      </c>
      <c r="J609">
        <v>500791</v>
      </c>
      <c r="K609">
        <v>68290</v>
      </c>
      <c r="L609">
        <v>570336</v>
      </c>
      <c r="M609">
        <v>0.22</v>
      </c>
      <c r="N609">
        <v>939</v>
      </c>
      <c r="O609">
        <v>15.1</v>
      </c>
      <c r="P609">
        <v>313</v>
      </c>
      <c r="Q609">
        <v>1.083</v>
      </c>
      <c r="R609">
        <v>8.1000000000000003E-2</v>
      </c>
      <c r="S609">
        <v>10289</v>
      </c>
      <c r="T609">
        <v>80.8</v>
      </c>
      <c r="U609">
        <v>161.30000000000001</v>
      </c>
      <c r="V609">
        <v>0</v>
      </c>
      <c r="W609">
        <v>36</v>
      </c>
      <c r="X609">
        <v>43.76</v>
      </c>
      <c r="Y609">
        <v>0</v>
      </c>
    </row>
    <row r="610" spans="1:25" x14ac:dyDescent="0.25">
      <c r="A610" t="s">
        <v>47</v>
      </c>
      <c r="B610">
        <f>_xlfn.XLOOKUP(Table4[[#This Row],[country]],Table2[country],Table2[country_id],FALSE)</f>
        <v>13</v>
      </c>
      <c r="C610" t="s">
        <v>38</v>
      </c>
      <c r="D610">
        <v>2020</v>
      </c>
      <c r="E610">
        <f>_xlfn.XLOOKUP(Table4[[#This Row],[year]],Table1[year],Table1[year_id])</f>
        <v>11</v>
      </c>
      <c r="F610" t="s">
        <v>30</v>
      </c>
      <c r="G610" t="s">
        <v>28</v>
      </c>
      <c r="H610" cm="1">
        <f t="array" ref="H610">_xlfn.XLOOKUP(Table4[[#This Row],[vehicle_segment]]&amp;Table4[[#This Row],[powertrain_type]],Table3[vehicle_segment]&amp;Table3[powertrain_type],Table3[vehicle_id])</f>
        <v>3</v>
      </c>
      <c r="I610">
        <v>763</v>
      </c>
      <c r="J610">
        <v>219488</v>
      </c>
      <c r="K610">
        <v>19086</v>
      </c>
      <c r="L610">
        <v>239337</v>
      </c>
      <c r="M610">
        <v>0.32</v>
      </c>
      <c r="N610">
        <v>939</v>
      </c>
      <c r="O610">
        <v>15.1</v>
      </c>
      <c r="P610">
        <v>313</v>
      </c>
      <c r="Q610">
        <v>1.083</v>
      </c>
      <c r="R610">
        <v>8.1000000000000003E-2</v>
      </c>
      <c r="S610">
        <v>10289</v>
      </c>
      <c r="T610">
        <v>80.8</v>
      </c>
      <c r="U610">
        <v>161.30000000000001</v>
      </c>
      <c r="V610">
        <v>0</v>
      </c>
      <c r="W610">
        <v>36</v>
      </c>
      <c r="X610">
        <v>43.96</v>
      </c>
      <c r="Y610">
        <v>0</v>
      </c>
    </row>
    <row r="611" spans="1:25" x14ac:dyDescent="0.25">
      <c r="A611" t="s">
        <v>47</v>
      </c>
      <c r="B611">
        <f>_xlfn.XLOOKUP(Table4[[#This Row],[country]],Table2[country],Table2[country_id],FALSE)</f>
        <v>13</v>
      </c>
      <c r="C611" t="s">
        <v>38</v>
      </c>
      <c r="D611">
        <v>2021</v>
      </c>
      <c r="E611">
        <f>_xlfn.XLOOKUP(Table4[[#This Row],[year]],Table1[year],Table1[year_id])</f>
        <v>12</v>
      </c>
      <c r="F611" t="s">
        <v>27</v>
      </c>
      <c r="G611" t="s">
        <v>28</v>
      </c>
      <c r="H611" cm="1">
        <f t="array" ref="H611">_xlfn.XLOOKUP(Table4[[#This Row],[vehicle_segment]]&amp;Table4[[#This Row],[powertrain_type]],Table3[vehicle_segment]&amp;Table3[powertrain_type],Table3[vehicle_id])</f>
        <v>1</v>
      </c>
      <c r="I611">
        <v>259</v>
      </c>
      <c r="J611">
        <v>90323</v>
      </c>
      <c r="K611">
        <v>60215</v>
      </c>
      <c r="L611">
        <v>150797</v>
      </c>
      <c r="M611">
        <v>0.17</v>
      </c>
      <c r="N611">
        <v>1443</v>
      </c>
      <c r="O611">
        <v>17.7</v>
      </c>
      <c r="P611">
        <v>350</v>
      </c>
      <c r="Q611">
        <v>1.157</v>
      </c>
      <c r="R611">
        <v>8.3000000000000004E-2</v>
      </c>
      <c r="S611">
        <v>10806</v>
      </c>
      <c r="T611">
        <v>81</v>
      </c>
      <c r="U611">
        <v>158.19999999999999</v>
      </c>
      <c r="V611">
        <v>0</v>
      </c>
      <c r="W611">
        <v>39.200000000000003</v>
      </c>
      <c r="X611">
        <v>135.44999999999999</v>
      </c>
      <c r="Y611">
        <v>0</v>
      </c>
    </row>
    <row r="612" spans="1:25" x14ac:dyDescent="0.25">
      <c r="A612" t="s">
        <v>47</v>
      </c>
      <c r="B612">
        <f>_xlfn.XLOOKUP(Table4[[#This Row],[country]],Table2[country],Table2[country_id],FALSE)</f>
        <v>13</v>
      </c>
      <c r="C612" t="s">
        <v>38</v>
      </c>
      <c r="D612">
        <v>2021</v>
      </c>
      <c r="E612">
        <f>_xlfn.XLOOKUP(Table4[[#This Row],[year]],Table1[year],Table1[year_id])</f>
        <v>12</v>
      </c>
      <c r="F612" t="s">
        <v>29</v>
      </c>
      <c r="G612" t="s">
        <v>28</v>
      </c>
      <c r="H612" cm="1">
        <f t="array" ref="H612">_xlfn.XLOOKUP(Table4[[#This Row],[vehicle_segment]]&amp;Table4[[#This Row],[powertrain_type]],Table3[vehicle_segment]&amp;Table3[powertrain_type],Table3[vehicle_id])</f>
        <v>2</v>
      </c>
      <c r="I612">
        <v>3006</v>
      </c>
      <c r="J612">
        <v>537222</v>
      </c>
      <c r="K612">
        <v>73258</v>
      </c>
      <c r="L612">
        <v>613486</v>
      </c>
      <c r="M612">
        <v>0.49</v>
      </c>
      <c r="N612">
        <v>1443</v>
      </c>
      <c r="O612">
        <v>17.7</v>
      </c>
      <c r="P612">
        <v>350</v>
      </c>
      <c r="Q612">
        <v>1.157</v>
      </c>
      <c r="R612">
        <v>8.3000000000000004E-2</v>
      </c>
      <c r="S612">
        <v>10806</v>
      </c>
      <c r="T612">
        <v>81</v>
      </c>
      <c r="U612">
        <v>158.19999999999999</v>
      </c>
      <c r="V612">
        <v>0</v>
      </c>
      <c r="W612">
        <v>39.200000000000003</v>
      </c>
      <c r="X612">
        <v>139.52000000000001</v>
      </c>
      <c r="Y612">
        <v>0</v>
      </c>
    </row>
    <row r="613" spans="1:25" x14ac:dyDescent="0.25">
      <c r="A613" t="s">
        <v>47</v>
      </c>
      <c r="B613">
        <f>_xlfn.XLOOKUP(Table4[[#This Row],[country]],Table2[country],Table2[country_id],FALSE)</f>
        <v>13</v>
      </c>
      <c r="C613" t="s">
        <v>38</v>
      </c>
      <c r="D613">
        <v>2021</v>
      </c>
      <c r="E613">
        <f>_xlfn.XLOOKUP(Table4[[#This Row],[year]],Table1[year],Table1[year_id])</f>
        <v>12</v>
      </c>
      <c r="F613" t="s">
        <v>30</v>
      </c>
      <c r="G613" t="s">
        <v>28</v>
      </c>
      <c r="H613" cm="1">
        <f t="array" ref="H613">_xlfn.XLOOKUP(Table4[[#This Row],[vehicle_segment]]&amp;Table4[[#This Row],[powertrain_type]],Table3[vehicle_segment]&amp;Table3[powertrain_type],Table3[vehicle_id])</f>
        <v>3</v>
      </c>
      <c r="I613">
        <v>1831</v>
      </c>
      <c r="J613">
        <v>235445</v>
      </c>
      <c r="K613">
        <v>20474</v>
      </c>
      <c r="L613">
        <v>257750</v>
      </c>
      <c r="M613">
        <v>0.71</v>
      </c>
      <c r="N613">
        <v>1443</v>
      </c>
      <c r="O613">
        <v>17.7</v>
      </c>
      <c r="P613">
        <v>350</v>
      </c>
      <c r="Q613">
        <v>1.157</v>
      </c>
      <c r="R613">
        <v>8.3000000000000004E-2</v>
      </c>
      <c r="S613">
        <v>10806</v>
      </c>
      <c r="T613">
        <v>81</v>
      </c>
      <c r="U613">
        <v>158.19999999999999</v>
      </c>
      <c r="V613">
        <v>0</v>
      </c>
      <c r="W613">
        <v>39.200000000000003</v>
      </c>
      <c r="X613">
        <v>139.97</v>
      </c>
      <c r="Y613">
        <v>0</v>
      </c>
    </row>
    <row r="614" spans="1:25" x14ac:dyDescent="0.25">
      <c r="A614" t="s">
        <v>47</v>
      </c>
      <c r="B614">
        <f>_xlfn.XLOOKUP(Table4[[#This Row],[country]],Table2[country],Table2[country_id],FALSE)</f>
        <v>13</v>
      </c>
      <c r="C614" t="s">
        <v>38</v>
      </c>
      <c r="D614">
        <v>2022</v>
      </c>
      <c r="E614">
        <f>_xlfn.XLOOKUP(Table4[[#This Row],[year]],Table1[year],Table1[year_id])</f>
        <v>13</v>
      </c>
      <c r="F614" t="s">
        <v>27</v>
      </c>
      <c r="G614" t="s">
        <v>28</v>
      </c>
      <c r="H614" cm="1">
        <f t="array" ref="H614">_xlfn.XLOOKUP(Table4[[#This Row],[vehicle_segment]]&amp;Table4[[#This Row],[powertrain_type]],Table3[vehicle_segment]&amp;Table3[powertrain_type],Table3[vehicle_id])</f>
        <v>1</v>
      </c>
      <c r="I614">
        <v>725</v>
      </c>
      <c r="J614">
        <v>96601</v>
      </c>
      <c r="K614">
        <v>64400</v>
      </c>
      <c r="L614">
        <v>161726</v>
      </c>
      <c r="M614">
        <v>0.45</v>
      </c>
      <c r="N614">
        <v>2059</v>
      </c>
      <c r="O614">
        <v>21.8</v>
      </c>
      <c r="P614">
        <v>380</v>
      </c>
      <c r="Q614">
        <v>1.2270000000000001</v>
      </c>
      <c r="R614">
        <v>8.5999999999999993E-2</v>
      </c>
      <c r="S614">
        <v>11009</v>
      </c>
      <c r="T614">
        <v>81.2</v>
      </c>
      <c r="U614">
        <v>163.80000000000001</v>
      </c>
      <c r="V614">
        <v>0</v>
      </c>
      <c r="W614">
        <v>41.2</v>
      </c>
      <c r="X614">
        <v>179.92</v>
      </c>
      <c r="Y614">
        <v>0</v>
      </c>
    </row>
    <row r="615" spans="1:25" x14ac:dyDescent="0.25">
      <c r="A615" t="s">
        <v>47</v>
      </c>
      <c r="B615">
        <f>_xlfn.XLOOKUP(Table4[[#This Row],[country]],Table2[country],Table2[country_id],FALSE)</f>
        <v>13</v>
      </c>
      <c r="C615" t="s">
        <v>38</v>
      </c>
      <c r="D615">
        <v>2022</v>
      </c>
      <c r="E615">
        <f>_xlfn.XLOOKUP(Table4[[#This Row],[year]],Table1[year],Table1[year_id])</f>
        <v>13</v>
      </c>
      <c r="F615" t="s">
        <v>29</v>
      </c>
      <c r="G615" t="s">
        <v>28</v>
      </c>
      <c r="H615" cm="1">
        <f t="array" ref="H615">_xlfn.XLOOKUP(Table4[[#This Row],[vehicle_segment]]&amp;Table4[[#This Row],[powertrain_type]],Table3[vehicle_segment]&amp;Table3[powertrain_type],Table3[vehicle_id])</f>
        <v>2</v>
      </c>
      <c r="I615">
        <v>8266</v>
      </c>
      <c r="J615">
        <v>561012</v>
      </c>
      <c r="K615">
        <v>76502</v>
      </c>
      <c r="L615">
        <v>645780</v>
      </c>
      <c r="M615">
        <v>1.28</v>
      </c>
      <c r="N615">
        <v>2059</v>
      </c>
      <c r="O615">
        <v>21.8</v>
      </c>
      <c r="P615">
        <v>380</v>
      </c>
      <c r="Q615">
        <v>1.2270000000000001</v>
      </c>
      <c r="R615">
        <v>8.5999999999999993E-2</v>
      </c>
      <c r="S615">
        <v>11009</v>
      </c>
      <c r="T615">
        <v>81.2</v>
      </c>
      <c r="U615">
        <v>163.80000000000001</v>
      </c>
      <c r="V615">
        <v>0</v>
      </c>
      <c r="W615">
        <v>41.2</v>
      </c>
      <c r="X615">
        <v>174.98</v>
      </c>
      <c r="Y615">
        <v>0</v>
      </c>
    </row>
    <row r="616" spans="1:25" x14ac:dyDescent="0.25">
      <c r="A616" t="s">
        <v>47</v>
      </c>
      <c r="B616">
        <f>_xlfn.XLOOKUP(Table4[[#This Row],[country]],Table2[country],Table2[country_id],FALSE)</f>
        <v>13</v>
      </c>
      <c r="C616" t="s">
        <v>38</v>
      </c>
      <c r="D616">
        <v>2022</v>
      </c>
      <c r="E616">
        <f>_xlfn.XLOOKUP(Table4[[#This Row],[year]],Table1[year],Table1[year_id])</f>
        <v>13</v>
      </c>
      <c r="F616" t="s">
        <v>30</v>
      </c>
      <c r="G616" t="s">
        <v>28</v>
      </c>
      <c r="H616" cm="1">
        <f t="array" ref="H616">_xlfn.XLOOKUP(Table4[[#This Row],[vehicle_segment]]&amp;Table4[[#This Row],[powertrain_type]],Table3[vehicle_segment]&amp;Table3[powertrain_type],Table3[vehicle_id])</f>
        <v>3</v>
      </c>
      <c r="I616">
        <v>4954</v>
      </c>
      <c r="J616">
        <v>241011</v>
      </c>
      <c r="K616">
        <v>20957</v>
      </c>
      <c r="L616">
        <v>266922</v>
      </c>
      <c r="M616">
        <v>1.86</v>
      </c>
      <c r="N616">
        <v>2059</v>
      </c>
      <c r="O616">
        <v>21.8</v>
      </c>
      <c r="P616">
        <v>380</v>
      </c>
      <c r="Q616">
        <v>1.2270000000000001</v>
      </c>
      <c r="R616">
        <v>8.5999999999999993E-2</v>
      </c>
      <c r="S616">
        <v>11009</v>
      </c>
      <c r="T616">
        <v>81.2</v>
      </c>
      <c r="U616">
        <v>163.80000000000001</v>
      </c>
      <c r="V616">
        <v>0</v>
      </c>
      <c r="W616">
        <v>41.2</v>
      </c>
      <c r="X616">
        <v>170.56</v>
      </c>
      <c r="Y616">
        <v>0</v>
      </c>
    </row>
    <row r="617" spans="1:25" x14ac:dyDescent="0.25">
      <c r="A617" t="s">
        <v>47</v>
      </c>
      <c r="B617">
        <f>_xlfn.XLOOKUP(Table4[[#This Row],[country]],Table2[country],Table2[country_id],FALSE)</f>
        <v>13</v>
      </c>
      <c r="C617" t="s">
        <v>38</v>
      </c>
      <c r="D617">
        <v>2023</v>
      </c>
      <c r="E617">
        <f>_xlfn.XLOOKUP(Table4[[#This Row],[year]],Table1[year],Table1[year_id])</f>
        <v>14</v>
      </c>
      <c r="F617" t="s">
        <v>27</v>
      </c>
      <c r="G617" t="s">
        <v>28</v>
      </c>
      <c r="H617" cm="1">
        <f t="array" ref="H617">_xlfn.XLOOKUP(Table4[[#This Row],[vehicle_segment]]&amp;Table4[[#This Row],[powertrain_type]],Table3[vehicle_segment]&amp;Table3[powertrain_type],Table3[vehicle_id])</f>
        <v>1</v>
      </c>
      <c r="I617">
        <v>1197</v>
      </c>
      <c r="J617">
        <v>114552</v>
      </c>
      <c r="K617">
        <v>76368</v>
      </c>
      <c r="L617">
        <v>192117</v>
      </c>
      <c r="M617">
        <v>0.62</v>
      </c>
      <c r="N617">
        <v>3540</v>
      </c>
      <c r="O617">
        <v>20.6</v>
      </c>
      <c r="P617">
        <v>403</v>
      </c>
      <c r="Q617">
        <v>1.2130000000000001</v>
      </c>
      <c r="R617">
        <v>9.0999999999999998E-2</v>
      </c>
      <c r="S617">
        <v>11434</v>
      </c>
      <c r="T617">
        <v>81.2</v>
      </c>
      <c r="U617">
        <v>164.9</v>
      </c>
      <c r="V617">
        <v>0</v>
      </c>
      <c r="W617">
        <v>43.6</v>
      </c>
      <c r="X617">
        <v>65.099999999999994</v>
      </c>
      <c r="Y617">
        <v>0</v>
      </c>
    </row>
    <row r="618" spans="1:25" x14ac:dyDescent="0.25">
      <c r="A618" t="s">
        <v>47</v>
      </c>
      <c r="B618">
        <f>_xlfn.XLOOKUP(Table4[[#This Row],[country]],Table2[country],Table2[country_id],FALSE)</f>
        <v>13</v>
      </c>
      <c r="C618" t="s">
        <v>38</v>
      </c>
      <c r="D618">
        <v>2023</v>
      </c>
      <c r="E618">
        <f>_xlfn.XLOOKUP(Table4[[#This Row],[year]],Table1[year],Table1[year_id])</f>
        <v>14</v>
      </c>
      <c r="F618" t="s">
        <v>29</v>
      </c>
      <c r="G618" t="s">
        <v>28</v>
      </c>
      <c r="H618" cm="1">
        <f t="array" ref="H618">_xlfn.XLOOKUP(Table4[[#This Row],[vehicle_segment]]&amp;Table4[[#This Row],[powertrain_type]],Table3[vehicle_segment]&amp;Table3[powertrain_type],Table3[vehicle_id])</f>
        <v>2</v>
      </c>
      <c r="I618">
        <v>13922</v>
      </c>
      <c r="J618">
        <v>676027</v>
      </c>
      <c r="K618">
        <v>92186</v>
      </c>
      <c r="L618">
        <v>782135</v>
      </c>
      <c r="M618">
        <v>1.78</v>
      </c>
      <c r="N618">
        <v>3540</v>
      </c>
      <c r="O618">
        <v>20.6</v>
      </c>
      <c r="P618">
        <v>403</v>
      </c>
      <c r="Q618">
        <v>1.2130000000000001</v>
      </c>
      <c r="R618">
        <v>9.0999999999999998E-2</v>
      </c>
      <c r="S618">
        <v>11434</v>
      </c>
      <c r="T618">
        <v>81.2</v>
      </c>
      <c r="U618">
        <v>164.9</v>
      </c>
      <c r="V618">
        <v>0</v>
      </c>
      <c r="W618">
        <v>43.6</v>
      </c>
      <c r="X618">
        <v>68.42</v>
      </c>
      <c r="Y618">
        <v>0</v>
      </c>
    </row>
    <row r="619" spans="1:25" x14ac:dyDescent="0.25">
      <c r="A619" t="s">
        <v>47</v>
      </c>
      <c r="B619">
        <f>_xlfn.XLOOKUP(Table4[[#This Row],[country]],Table2[country],Table2[country_id],FALSE)</f>
        <v>13</v>
      </c>
      <c r="C619" t="s">
        <v>38</v>
      </c>
      <c r="D619">
        <v>2023</v>
      </c>
      <c r="E619">
        <f>_xlfn.XLOOKUP(Table4[[#This Row],[year]],Table1[year],Table1[year_id])</f>
        <v>14</v>
      </c>
      <c r="F619" t="s">
        <v>30</v>
      </c>
      <c r="G619" t="s">
        <v>28</v>
      </c>
      <c r="H619" cm="1">
        <f t="array" ref="H619">_xlfn.XLOOKUP(Table4[[#This Row],[vehicle_segment]]&amp;Table4[[#This Row],[powertrain_type]],Table3[vehicle_segment]&amp;Table3[powertrain_type],Table3[vehicle_id])</f>
        <v>3</v>
      </c>
      <c r="I619">
        <v>8485</v>
      </c>
      <c r="J619">
        <v>294642</v>
      </c>
      <c r="K619">
        <v>25621</v>
      </c>
      <c r="L619">
        <v>328748</v>
      </c>
      <c r="M619">
        <v>2.58</v>
      </c>
      <c r="N619">
        <v>3540</v>
      </c>
      <c r="O619">
        <v>20.6</v>
      </c>
      <c r="P619">
        <v>403</v>
      </c>
      <c r="Q619">
        <v>1.2130000000000001</v>
      </c>
      <c r="R619">
        <v>9.0999999999999998E-2</v>
      </c>
      <c r="S619">
        <v>11434</v>
      </c>
      <c r="T619">
        <v>81.2</v>
      </c>
      <c r="U619">
        <v>164.9</v>
      </c>
      <c r="V619">
        <v>0</v>
      </c>
      <c r="W619">
        <v>43.6</v>
      </c>
      <c r="X619">
        <v>71.28</v>
      </c>
      <c r="Y619">
        <v>0</v>
      </c>
    </row>
    <row r="620" spans="1:25" x14ac:dyDescent="0.25">
      <c r="A620" t="s">
        <v>47</v>
      </c>
      <c r="B620">
        <f>_xlfn.XLOOKUP(Table4[[#This Row],[country]],Table2[country],Table2[country_id],FALSE)</f>
        <v>13</v>
      </c>
      <c r="C620" t="s">
        <v>38</v>
      </c>
      <c r="D620">
        <v>2024</v>
      </c>
      <c r="E620">
        <f>_xlfn.XLOOKUP(Table4[[#This Row],[year]],Table1[year],Table1[year_id])</f>
        <v>15</v>
      </c>
      <c r="F620" t="s">
        <v>27</v>
      </c>
      <c r="G620" t="s">
        <v>28</v>
      </c>
      <c r="H620" cm="1">
        <f t="array" ref="H620">_xlfn.XLOOKUP(Table4[[#This Row],[vehicle_segment]]&amp;Table4[[#This Row],[powertrain_type]],Table3[vehicle_segment]&amp;Table3[powertrain_type],Table3[vehicle_id])</f>
        <v>1</v>
      </c>
      <c r="I620">
        <v>1771</v>
      </c>
      <c r="J620">
        <v>113525</v>
      </c>
      <c r="K620">
        <v>75684</v>
      </c>
      <c r="L620">
        <v>190980</v>
      </c>
      <c r="M620">
        <v>0.93</v>
      </c>
      <c r="N620">
        <v>4744</v>
      </c>
      <c r="O620">
        <v>23.6</v>
      </c>
      <c r="P620">
        <v>433</v>
      </c>
      <c r="Q620">
        <v>1.177</v>
      </c>
      <c r="R620">
        <v>9.6000000000000002E-2</v>
      </c>
      <c r="S620">
        <v>11621</v>
      </c>
      <c r="T620">
        <v>81.599999999999994</v>
      </c>
      <c r="U620">
        <v>164.7</v>
      </c>
      <c r="V620">
        <v>0</v>
      </c>
      <c r="W620">
        <v>46.6</v>
      </c>
      <c r="X620">
        <v>47.95</v>
      </c>
      <c r="Y620">
        <v>0</v>
      </c>
    </row>
    <row r="621" spans="1:25" x14ac:dyDescent="0.25">
      <c r="A621" t="s">
        <v>47</v>
      </c>
      <c r="B621">
        <f>_xlfn.XLOOKUP(Table4[[#This Row],[country]],Table2[country],Table2[country_id],FALSE)</f>
        <v>13</v>
      </c>
      <c r="C621" t="s">
        <v>38</v>
      </c>
      <c r="D621">
        <v>2024</v>
      </c>
      <c r="E621">
        <f>_xlfn.XLOOKUP(Table4[[#This Row],[year]],Table1[year],Table1[year_id])</f>
        <v>15</v>
      </c>
      <c r="F621" t="s">
        <v>29</v>
      </c>
      <c r="G621" t="s">
        <v>28</v>
      </c>
      <c r="H621" cm="1">
        <f t="array" ref="H621">_xlfn.XLOOKUP(Table4[[#This Row],[vehicle_segment]]&amp;Table4[[#This Row],[powertrain_type]],Table3[vehicle_segment]&amp;Table3[powertrain_type],Table3[vehicle_id])</f>
        <v>2</v>
      </c>
      <c r="I621">
        <v>20646</v>
      </c>
      <c r="J621">
        <v>667434</v>
      </c>
      <c r="K621">
        <v>91014</v>
      </c>
      <c r="L621">
        <v>779094</v>
      </c>
      <c r="M621">
        <v>2.65</v>
      </c>
      <c r="N621">
        <v>4744</v>
      </c>
      <c r="O621">
        <v>23.6</v>
      </c>
      <c r="P621">
        <v>433</v>
      </c>
      <c r="Q621">
        <v>1.177</v>
      </c>
      <c r="R621">
        <v>9.6000000000000002E-2</v>
      </c>
      <c r="S621">
        <v>11621</v>
      </c>
      <c r="T621">
        <v>81.599999999999994</v>
      </c>
      <c r="U621">
        <v>164.7</v>
      </c>
      <c r="V621">
        <v>0</v>
      </c>
      <c r="W621">
        <v>46.6</v>
      </c>
      <c r="X621">
        <v>48.3</v>
      </c>
      <c r="Y621">
        <v>0</v>
      </c>
    </row>
    <row r="622" spans="1:25" x14ac:dyDescent="0.25">
      <c r="A622" t="s">
        <v>47</v>
      </c>
      <c r="B622">
        <f>_xlfn.XLOOKUP(Table4[[#This Row],[country]],Table2[country],Table2[country_id],FALSE)</f>
        <v>13</v>
      </c>
      <c r="C622" t="s">
        <v>38</v>
      </c>
      <c r="D622">
        <v>2024</v>
      </c>
      <c r="E622">
        <f>_xlfn.XLOOKUP(Table4[[#This Row],[year]],Table1[year],Table1[year_id])</f>
        <v>15</v>
      </c>
      <c r="F622" t="s">
        <v>30</v>
      </c>
      <c r="G622" t="s">
        <v>28</v>
      </c>
      <c r="H622" cm="1">
        <f t="array" ref="H622">_xlfn.XLOOKUP(Table4[[#This Row],[vehicle_segment]]&amp;Table4[[#This Row],[powertrain_type]],Table3[vehicle_segment]&amp;Table3[powertrain_type],Table3[vehicle_id])</f>
        <v>3</v>
      </c>
      <c r="I622">
        <v>12489</v>
      </c>
      <c r="J622">
        <v>287534</v>
      </c>
      <c r="K622">
        <v>25003</v>
      </c>
      <c r="L622">
        <v>325026</v>
      </c>
      <c r="M622">
        <v>3.84</v>
      </c>
      <c r="N622">
        <v>4744</v>
      </c>
      <c r="O622">
        <v>23.6</v>
      </c>
      <c r="P622">
        <v>433</v>
      </c>
      <c r="Q622">
        <v>1.177</v>
      </c>
      <c r="R622">
        <v>9.6000000000000002E-2</v>
      </c>
      <c r="S622">
        <v>11621</v>
      </c>
      <c r="T622">
        <v>81.599999999999994</v>
      </c>
      <c r="U622">
        <v>164.7</v>
      </c>
      <c r="V622">
        <v>0</v>
      </c>
      <c r="W622">
        <v>46.6</v>
      </c>
      <c r="X622">
        <v>47.19</v>
      </c>
      <c r="Y622">
        <v>0</v>
      </c>
    </row>
    <row r="623" spans="1:25" x14ac:dyDescent="0.25">
      <c r="A623" t="s">
        <v>47</v>
      </c>
      <c r="B623">
        <f>_xlfn.XLOOKUP(Table4[[#This Row],[country]],Table2[country],Table2[country_id],FALSE)</f>
        <v>13</v>
      </c>
      <c r="C623" t="s">
        <v>38</v>
      </c>
      <c r="D623">
        <v>2025</v>
      </c>
      <c r="E623">
        <f>_xlfn.XLOOKUP(Table4[[#This Row],[year]],Table1[year],Table1[year_id])</f>
        <v>16</v>
      </c>
      <c r="F623" t="s">
        <v>27</v>
      </c>
      <c r="G623" t="s">
        <v>28</v>
      </c>
      <c r="H623" cm="1">
        <f t="array" ref="H623">_xlfn.XLOOKUP(Table4[[#This Row],[vehicle_segment]]&amp;Table4[[#This Row],[powertrain_type]],Table3[vehicle_segment]&amp;Table3[powertrain_type],Table3[vehicle_id])</f>
        <v>1</v>
      </c>
      <c r="I623">
        <v>2468</v>
      </c>
      <c r="J623">
        <v>125943</v>
      </c>
      <c r="K623">
        <v>83962</v>
      </c>
      <c r="L623">
        <v>212373</v>
      </c>
      <c r="M623">
        <v>1.1599999999999999</v>
      </c>
      <c r="N623">
        <v>7945</v>
      </c>
      <c r="O623">
        <v>26</v>
      </c>
      <c r="P623">
        <v>447</v>
      </c>
      <c r="Q623">
        <v>1.1299999999999999</v>
      </c>
      <c r="R623">
        <v>0.10100000000000001</v>
      </c>
      <c r="S623">
        <v>11927</v>
      </c>
      <c r="T623">
        <v>81</v>
      </c>
      <c r="U623">
        <v>164</v>
      </c>
      <c r="V623">
        <v>0</v>
      </c>
      <c r="W623">
        <v>49.7</v>
      </c>
      <c r="X623">
        <v>39.36</v>
      </c>
      <c r="Y623">
        <v>0</v>
      </c>
    </row>
    <row r="624" spans="1:25" x14ac:dyDescent="0.25">
      <c r="A624" t="s">
        <v>47</v>
      </c>
      <c r="B624">
        <f>_xlfn.XLOOKUP(Table4[[#This Row],[country]],Table2[country],Table2[country_id],FALSE)</f>
        <v>13</v>
      </c>
      <c r="C624" t="s">
        <v>38</v>
      </c>
      <c r="D624">
        <v>2025</v>
      </c>
      <c r="E624">
        <f>_xlfn.XLOOKUP(Table4[[#This Row],[year]],Table1[year],Table1[year_id])</f>
        <v>16</v>
      </c>
      <c r="F624" t="s">
        <v>29</v>
      </c>
      <c r="G624" t="s">
        <v>28</v>
      </c>
      <c r="H624" cm="1">
        <f t="array" ref="H624">_xlfn.XLOOKUP(Table4[[#This Row],[vehicle_segment]]&amp;Table4[[#This Row],[powertrain_type]],Table3[vehicle_segment]&amp;Table3[powertrain_type],Table3[vehicle_id])</f>
        <v>2</v>
      </c>
      <c r="I624">
        <v>28384</v>
      </c>
      <c r="J624">
        <v>727380</v>
      </c>
      <c r="K624">
        <v>99188</v>
      </c>
      <c r="L624">
        <v>854952</v>
      </c>
      <c r="M624">
        <v>3.32</v>
      </c>
      <c r="N624">
        <v>7945</v>
      </c>
      <c r="O624">
        <v>26</v>
      </c>
      <c r="P624">
        <v>447</v>
      </c>
      <c r="Q624">
        <v>1.1299999999999999</v>
      </c>
      <c r="R624">
        <v>0.10100000000000001</v>
      </c>
      <c r="S624">
        <v>11927</v>
      </c>
      <c r="T624">
        <v>81</v>
      </c>
      <c r="U624">
        <v>164</v>
      </c>
      <c r="V624">
        <v>0</v>
      </c>
      <c r="W624">
        <v>49.7</v>
      </c>
      <c r="X624">
        <v>37.479999999999997</v>
      </c>
      <c r="Y624">
        <v>0</v>
      </c>
    </row>
    <row r="625" spans="1:25" x14ac:dyDescent="0.25">
      <c r="A625" t="s">
        <v>47</v>
      </c>
      <c r="B625">
        <f>_xlfn.XLOOKUP(Table4[[#This Row],[country]],Table2[country],Table2[country_id],FALSE)</f>
        <v>13</v>
      </c>
      <c r="C625" t="s">
        <v>38</v>
      </c>
      <c r="D625">
        <v>2025</v>
      </c>
      <c r="E625">
        <f>_xlfn.XLOOKUP(Table4[[#This Row],[year]],Table1[year],Table1[year_id])</f>
        <v>16</v>
      </c>
      <c r="F625" t="s">
        <v>30</v>
      </c>
      <c r="G625" t="s">
        <v>28</v>
      </c>
      <c r="H625" cm="1">
        <f t="array" ref="H625">_xlfn.XLOOKUP(Table4[[#This Row],[vehicle_segment]]&amp;Table4[[#This Row],[powertrain_type]],Table3[vehicle_segment]&amp;Table3[powertrain_type],Table3[vehicle_id])</f>
        <v>3</v>
      </c>
      <c r="I625">
        <v>16966</v>
      </c>
      <c r="J625">
        <v>308631</v>
      </c>
      <c r="K625">
        <v>26837</v>
      </c>
      <c r="L625">
        <v>352434</v>
      </c>
      <c r="M625">
        <v>4.8099999999999996</v>
      </c>
      <c r="N625">
        <v>7945</v>
      </c>
      <c r="O625">
        <v>26</v>
      </c>
      <c r="P625">
        <v>447</v>
      </c>
      <c r="Q625">
        <v>1.1299999999999999</v>
      </c>
      <c r="R625">
        <v>0.10100000000000001</v>
      </c>
      <c r="S625">
        <v>11927</v>
      </c>
      <c r="T625">
        <v>81</v>
      </c>
      <c r="U625">
        <v>164</v>
      </c>
      <c r="V625">
        <v>0</v>
      </c>
      <c r="W625">
        <v>49.7</v>
      </c>
      <c r="X625">
        <v>35.85</v>
      </c>
      <c r="Y625">
        <v>0</v>
      </c>
    </row>
    <row r="626" spans="1:25" x14ac:dyDescent="0.25">
      <c r="A626" t="s">
        <v>48</v>
      </c>
      <c r="B626">
        <f>_xlfn.XLOOKUP(Table4[[#This Row],[country]],Table2[country],Table2[country_id],FALSE)</f>
        <v>14</v>
      </c>
      <c r="C626" t="s">
        <v>32</v>
      </c>
      <c r="D626">
        <v>2010</v>
      </c>
      <c r="E626">
        <f>_xlfn.XLOOKUP(Table4[[#This Row],[year]],Table1[year],Table1[year_id])</f>
        <v>1</v>
      </c>
      <c r="F626" t="s">
        <v>27</v>
      </c>
      <c r="G626" t="s">
        <v>28</v>
      </c>
      <c r="H626" cm="1">
        <f t="array" ref="H626">_xlfn.XLOOKUP(Table4[[#This Row],[vehicle_segment]]&amp;Table4[[#This Row],[powertrain_type]],Table3[vehicle_segment]&amp;Table3[powertrain_type],Table3[vehicle_id])</f>
        <v>1</v>
      </c>
      <c r="I626">
        <v>15</v>
      </c>
      <c r="J626">
        <v>42900</v>
      </c>
      <c r="K626">
        <v>28600</v>
      </c>
      <c r="L626">
        <v>71515</v>
      </c>
      <c r="M626">
        <v>0.02</v>
      </c>
      <c r="N626">
        <v>304</v>
      </c>
      <c r="O626">
        <v>2.1</v>
      </c>
      <c r="P626">
        <v>121</v>
      </c>
      <c r="Q626">
        <v>1.75</v>
      </c>
      <c r="R626">
        <v>0.19700000000000001</v>
      </c>
      <c r="S626">
        <v>50202</v>
      </c>
      <c r="T626">
        <v>83</v>
      </c>
      <c r="U626">
        <v>34.5</v>
      </c>
      <c r="V626">
        <v>0</v>
      </c>
      <c r="W626">
        <v>61.2</v>
      </c>
      <c r="X626">
        <v>0</v>
      </c>
      <c r="Y626">
        <v>0</v>
      </c>
    </row>
    <row r="627" spans="1:25" x14ac:dyDescent="0.25">
      <c r="A627" t="s">
        <v>48</v>
      </c>
      <c r="B627">
        <f>_xlfn.XLOOKUP(Table4[[#This Row],[country]],Table2[country],Table2[country_id],FALSE)</f>
        <v>14</v>
      </c>
      <c r="C627" t="s">
        <v>32</v>
      </c>
      <c r="D627">
        <v>2010</v>
      </c>
      <c r="E627">
        <f>_xlfn.XLOOKUP(Table4[[#This Row],[year]],Table1[year],Table1[year_id])</f>
        <v>1</v>
      </c>
      <c r="F627" t="s">
        <v>29</v>
      </c>
      <c r="G627" t="s">
        <v>28</v>
      </c>
      <c r="H627" cm="1">
        <f t="array" ref="H627">_xlfn.XLOOKUP(Table4[[#This Row],[vehicle_segment]]&amp;Table4[[#This Row],[powertrain_type]],Table3[vehicle_segment]&amp;Table3[powertrain_type],Table3[vehicle_id])</f>
        <v>2</v>
      </c>
      <c r="I627">
        <v>170</v>
      </c>
      <c r="J627">
        <v>249066</v>
      </c>
      <c r="K627">
        <v>33964</v>
      </c>
      <c r="L627">
        <v>283200</v>
      </c>
      <c r="M627">
        <v>0.06</v>
      </c>
      <c r="N627">
        <v>304</v>
      </c>
      <c r="O627">
        <v>2.1</v>
      </c>
      <c r="P627">
        <v>121</v>
      </c>
      <c r="Q627">
        <v>1.75</v>
      </c>
      <c r="R627">
        <v>0.19700000000000001</v>
      </c>
      <c r="S627">
        <v>50202</v>
      </c>
      <c r="T627">
        <v>83</v>
      </c>
      <c r="U627">
        <v>34.5</v>
      </c>
      <c r="V627">
        <v>0</v>
      </c>
      <c r="W627">
        <v>61.2</v>
      </c>
      <c r="X627">
        <v>0</v>
      </c>
      <c r="Y627">
        <v>0</v>
      </c>
    </row>
    <row r="628" spans="1:25" x14ac:dyDescent="0.25">
      <c r="A628" t="s">
        <v>48</v>
      </c>
      <c r="B628">
        <f>_xlfn.XLOOKUP(Table4[[#This Row],[country]],Table2[country],Table2[country_id],FALSE)</f>
        <v>14</v>
      </c>
      <c r="C628" t="s">
        <v>32</v>
      </c>
      <c r="D628">
        <v>2010</v>
      </c>
      <c r="E628">
        <f>_xlfn.XLOOKUP(Table4[[#This Row],[year]],Table1[year],Table1[year_id])</f>
        <v>1</v>
      </c>
      <c r="F628" t="s">
        <v>30</v>
      </c>
      <c r="G628" t="s">
        <v>28</v>
      </c>
      <c r="H628" cm="1">
        <f t="array" ref="H628">_xlfn.XLOOKUP(Table4[[#This Row],[vehicle_segment]]&amp;Table4[[#This Row],[powertrain_type]],Table3[vehicle_segment]&amp;Table3[powertrain_type],Table3[vehicle_id])</f>
        <v>3</v>
      </c>
      <c r="I628">
        <v>103</v>
      </c>
      <c r="J628">
        <v>109267</v>
      </c>
      <c r="K628">
        <v>9502</v>
      </c>
      <c r="L628">
        <v>118872</v>
      </c>
      <c r="M628">
        <v>0.09</v>
      </c>
      <c r="N628">
        <v>304</v>
      </c>
      <c r="O628">
        <v>2.1</v>
      </c>
      <c r="P628">
        <v>121</v>
      </c>
      <c r="Q628">
        <v>1.75</v>
      </c>
      <c r="R628">
        <v>0.19700000000000001</v>
      </c>
      <c r="S628">
        <v>50202</v>
      </c>
      <c r="T628">
        <v>83</v>
      </c>
      <c r="U628">
        <v>34.5</v>
      </c>
      <c r="V628">
        <v>0</v>
      </c>
      <c r="W628">
        <v>61.2</v>
      </c>
      <c r="X628">
        <v>0</v>
      </c>
      <c r="Y628">
        <v>0</v>
      </c>
    </row>
    <row r="629" spans="1:25" x14ac:dyDescent="0.25">
      <c r="A629" t="s">
        <v>48</v>
      </c>
      <c r="B629">
        <f>_xlfn.XLOOKUP(Table4[[#This Row],[country]],Table2[country],Table2[country_id],FALSE)</f>
        <v>14</v>
      </c>
      <c r="C629" t="s">
        <v>32</v>
      </c>
      <c r="D629">
        <v>2011</v>
      </c>
      <c r="E629">
        <f>_xlfn.XLOOKUP(Table4[[#This Row],[year]],Table1[year],Table1[year_id])</f>
        <v>2</v>
      </c>
      <c r="F629" t="s">
        <v>27</v>
      </c>
      <c r="G629" t="s">
        <v>28</v>
      </c>
      <c r="H629" cm="1">
        <f t="array" ref="H629">_xlfn.XLOOKUP(Table4[[#This Row],[vehicle_segment]]&amp;Table4[[#This Row],[powertrain_type]],Table3[vehicle_segment]&amp;Table3[powertrain_type],Table3[vehicle_id])</f>
        <v>1</v>
      </c>
      <c r="I629">
        <v>142</v>
      </c>
      <c r="J629">
        <v>39753</v>
      </c>
      <c r="K629">
        <v>26502</v>
      </c>
      <c r="L629">
        <v>66397</v>
      </c>
      <c r="M629">
        <v>0.21</v>
      </c>
      <c r="N629">
        <v>2175</v>
      </c>
      <c r="O629">
        <v>2.6</v>
      </c>
      <c r="P629">
        <v>136</v>
      </c>
      <c r="Q629">
        <v>1.67</v>
      </c>
      <c r="R629">
        <v>0.19900000000000001</v>
      </c>
      <c r="S629">
        <v>48960</v>
      </c>
      <c r="T629">
        <v>84.7</v>
      </c>
      <c r="U629">
        <v>34</v>
      </c>
      <c r="V629">
        <v>669</v>
      </c>
      <c r="W629">
        <v>65.2</v>
      </c>
      <c r="X629">
        <v>300</v>
      </c>
      <c r="Y629">
        <v>0</v>
      </c>
    </row>
    <row r="630" spans="1:25" x14ac:dyDescent="0.25">
      <c r="A630" t="s">
        <v>48</v>
      </c>
      <c r="B630">
        <f>_xlfn.XLOOKUP(Table4[[#This Row],[country]],Table2[country],Table2[country_id],FALSE)</f>
        <v>14</v>
      </c>
      <c r="C630" t="s">
        <v>32</v>
      </c>
      <c r="D630">
        <v>2011</v>
      </c>
      <c r="E630">
        <f>_xlfn.XLOOKUP(Table4[[#This Row],[year]],Table1[year],Table1[year_id])</f>
        <v>2</v>
      </c>
      <c r="F630" t="s">
        <v>29</v>
      </c>
      <c r="G630" t="s">
        <v>28</v>
      </c>
      <c r="H630" cm="1">
        <f t="array" ref="H630">_xlfn.XLOOKUP(Table4[[#This Row],[vehicle_segment]]&amp;Table4[[#This Row],[powertrain_type]],Table3[vehicle_segment]&amp;Table3[powertrain_type],Table3[vehicle_id])</f>
        <v>2</v>
      </c>
      <c r="I630">
        <v>1607</v>
      </c>
      <c r="J630">
        <v>230465</v>
      </c>
      <c r="K630">
        <v>31427</v>
      </c>
      <c r="L630">
        <v>263499</v>
      </c>
      <c r="M630">
        <v>0.61</v>
      </c>
      <c r="N630">
        <v>2175</v>
      </c>
      <c r="O630">
        <v>2.6</v>
      </c>
      <c r="P630">
        <v>136</v>
      </c>
      <c r="Q630">
        <v>1.67</v>
      </c>
      <c r="R630">
        <v>0.19900000000000001</v>
      </c>
      <c r="S630">
        <v>48960</v>
      </c>
      <c r="T630">
        <v>84.7</v>
      </c>
      <c r="U630">
        <v>34</v>
      </c>
      <c r="V630">
        <v>669</v>
      </c>
      <c r="W630">
        <v>65.2</v>
      </c>
      <c r="X630">
        <v>300</v>
      </c>
      <c r="Y630">
        <v>0</v>
      </c>
    </row>
    <row r="631" spans="1:25" x14ac:dyDescent="0.25">
      <c r="A631" t="s">
        <v>48</v>
      </c>
      <c r="B631">
        <f>_xlfn.XLOOKUP(Table4[[#This Row],[country]],Table2[country],Table2[country_id],FALSE)</f>
        <v>14</v>
      </c>
      <c r="C631" t="s">
        <v>32</v>
      </c>
      <c r="D631">
        <v>2011</v>
      </c>
      <c r="E631">
        <f>_xlfn.XLOOKUP(Table4[[#This Row],[year]],Table1[year],Table1[year_id])</f>
        <v>2</v>
      </c>
      <c r="F631" t="s">
        <v>30</v>
      </c>
      <c r="G631" t="s">
        <v>28</v>
      </c>
      <c r="H631" cm="1">
        <f t="array" ref="H631">_xlfn.XLOOKUP(Table4[[#This Row],[vehicle_segment]]&amp;Table4[[#This Row],[powertrain_type]],Table3[vehicle_segment]&amp;Table3[powertrain_type],Table3[vehicle_id])</f>
        <v>3</v>
      </c>
      <c r="I631">
        <v>991</v>
      </c>
      <c r="J631">
        <v>102119</v>
      </c>
      <c r="K631">
        <v>8880</v>
      </c>
      <c r="L631">
        <v>111990</v>
      </c>
      <c r="M631">
        <v>0.88</v>
      </c>
      <c r="N631">
        <v>2175</v>
      </c>
      <c r="O631">
        <v>2.6</v>
      </c>
      <c r="P631">
        <v>136</v>
      </c>
      <c r="Q631">
        <v>1.67</v>
      </c>
      <c r="R631">
        <v>0.19900000000000001</v>
      </c>
      <c r="S631">
        <v>48960</v>
      </c>
      <c r="T631">
        <v>84.7</v>
      </c>
      <c r="U631">
        <v>34</v>
      </c>
      <c r="V631">
        <v>669</v>
      </c>
      <c r="W631">
        <v>65.2</v>
      </c>
      <c r="X631">
        <v>300</v>
      </c>
      <c r="Y631">
        <v>0</v>
      </c>
    </row>
    <row r="632" spans="1:25" x14ac:dyDescent="0.25">
      <c r="A632" t="s">
        <v>48</v>
      </c>
      <c r="B632">
        <f>_xlfn.XLOOKUP(Table4[[#This Row],[country]],Table2[country],Table2[country_id],FALSE)</f>
        <v>14</v>
      </c>
      <c r="C632" t="s">
        <v>32</v>
      </c>
      <c r="D632">
        <v>2012</v>
      </c>
      <c r="E632">
        <f>_xlfn.XLOOKUP(Table4[[#This Row],[year]],Table1[year],Table1[year_id])</f>
        <v>3</v>
      </c>
      <c r="F632" t="s">
        <v>27</v>
      </c>
      <c r="G632" t="s">
        <v>28</v>
      </c>
      <c r="H632" cm="1">
        <f t="array" ref="H632">_xlfn.XLOOKUP(Table4[[#This Row],[vehicle_segment]]&amp;Table4[[#This Row],[powertrain_type]],Table3[vehicle_segment]&amp;Table3[powertrain_type],Table3[vehicle_id])</f>
        <v>1</v>
      </c>
      <c r="I632">
        <v>267</v>
      </c>
      <c r="J632">
        <v>38665</v>
      </c>
      <c r="K632">
        <v>25776</v>
      </c>
      <c r="L632">
        <v>64708</v>
      </c>
      <c r="M632">
        <v>0.41</v>
      </c>
      <c r="N632">
        <v>3835</v>
      </c>
      <c r="O632">
        <v>3.4</v>
      </c>
      <c r="P632">
        <v>143</v>
      </c>
      <c r="Q632">
        <v>1.62</v>
      </c>
      <c r="R632">
        <v>0.2</v>
      </c>
      <c r="S632">
        <v>48198</v>
      </c>
      <c r="T632">
        <v>86.3</v>
      </c>
      <c r="U632">
        <v>34.1</v>
      </c>
      <c r="V632">
        <v>1334</v>
      </c>
      <c r="W632">
        <v>66</v>
      </c>
      <c r="X632">
        <v>88.03</v>
      </c>
      <c r="Y632">
        <v>0</v>
      </c>
    </row>
    <row r="633" spans="1:25" x14ac:dyDescent="0.25">
      <c r="A633" t="s">
        <v>48</v>
      </c>
      <c r="B633">
        <f>_xlfn.XLOOKUP(Table4[[#This Row],[country]],Table2[country],Table2[country_id],FALSE)</f>
        <v>14</v>
      </c>
      <c r="C633" t="s">
        <v>32</v>
      </c>
      <c r="D633">
        <v>2012</v>
      </c>
      <c r="E633">
        <f>_xlfn.XLOOKUP(Table4[[#This Row],[year]],Table1[year],Table1[year_id])</f>
        <v>3</v>
      </c>
      <c r="F633" t="s">
        <v>29</v>
      </c>
      <c r="G633" t="s">
        <v>28</v>
      </c>
      <c r="H633" cm="1">
        <f t="array" ref="H633">_xlfn.XLOOKUP(Table4[[#This Row],[vehicle_segment]]&amp;Table4[[#This Row],[powertrain_type]],Table3[vehicle_segment]&amp;Table3[powertrain_type],Table3[vehicle_id])</f>
        <v>2</v>
      </c>
      <c r="I633">
        <v>3063</v>
      </c>
      <c r="J633">
        <v>225738</v>
      </c>
      <c r="K633">
        <v>30783</v>
      </c>
      <c r="L633">
        <v>259584</v>
      </c>
      <c r="M633">
        <v>1.18</v>
      </c>
      <c r="N633">
        <v>3835</v>
      </c>
      <c r="O633">
        <v>3.4</v>
      </c>
      <c r="P633">
        <v>143</v>
      </c>
      <c r="Q633">
        <v>1.62</v>
      </c>
      <c r="R633">
        <v>0.2</v>
      </c>
      <c r="S633">
        <v>48198</v>
      </c>
      <c r="T633">
        <v>86.3</v>
      </c>
      <c r="U633">
        <v>34.1</v>
      </c>
      <c r="V633">
        <v>1334</v>
      </c>
      <c r="W633">
        <v>66</v>
      </c>
      <c r="X633">
        <v>90.6</v>
      </c>
      <c r="Y633">
        <v>0</v>
      </c>
    </row>
    <row r="634" spans="1:25" x14ac:dyDescent="0.25">
      <c r="A634" t="s">
        <v>48</v>
      </c>
      <c r="B634">
        <f>_xlfn.XLOOKUP(Table4[[#This Row],[country]],Table2[country],Table2[country_id],FALSE)</f>
        <v>14</v>
      </c>
      <c r="C634" t="s">
        <v>32</v>
      </c>
      <c r="D634">
        <v>2012</v>
      </c>
      <c r="E634">
        <f>_xlfn.XLOOKUP(Table4[[#This Row],[year]],Table1[year],Table1[year_id])</f>
        <v>3</v>
      </c>
      <c r="F634" t="s">
        <v>30</v>
      </c>
      <c r="G634" t="s">
        <v>28</v>
      </c>
      <c r="H634" cm="1">
        <f t="array" ref="H634">_xlfn.XLOOKUP(Table4[[#This Row],[vehicle_segment]]&amp;Table4[[#This Row],[powertrain_type]],Table3[vehicle_segment]&amp;Table3[powertrain_type],Table3[vehicle_id])</f>
        <v>3</v>
      </c>
      <c r="I634">
        <v>1818</v>
      </c>
      <c r="J634">
        <v>96058</v>
      </c>
      <c r="K634">
        <v>8353</v>
      </c>
      <c r="L634">
        <v>106229</v>
      </c>
      <c r="M634">
        <v>1.71</v>
      </c>
      <c r="N634">
        <v>3835</v>
      </c>
      <c r="O634">
        <v>3.4</v>
      </c>
      <c r="P634">
        <v>143</v>
      </c>
      <c r="Q634">
        <v>1.62</v>
      </c>
      <c r="R634">
        <v>0.2</v>
      </c>
      <c r="S634">
        <v>48198</v>
      </c>
      <c r="T634">
        <v>86.3</v>
      </c>
      <c r="U634">
        <v>34.1</v>
      </c>
      <c r="V634">
        <v>1334</v>
      </c>
      <c r="W634">
        <v>66</v>
      </c>
      <c r="X634">
        <v>83.45</v>
      </c>
      <c r="Y634">
        <v>0</v>
      </c>
    </row>
    <row r="635" spans="1:25" x14ac:dyDescent="0.25">
      <c r="A635" t="s">
        <v>48</v>
      </c>
      <c r="B635">
        <f>_xlfn.XLOOKUP(Table4[[#This Row],[country]],Table2[country],Table2[country_id],FALSE)</f>
        <v>14</v>
      </c>
      <c r="C635" t="s">
        <v>32</v>
      </c>
      <c r="D635">
        <v>2013</v>
      </c>
      <c r="E635">
        <f>_xlfn.XLOOKUP(Table4[[#This Row],[year]],Table1[year],Table1[year_id])</f>
        <v>4</v>
      </c>
      <c r="F635" t="s">
        <v>27</v>
      </c>
      <c r="G635" t="s">
        <v>28</v>
      </c>
      <c r="H635" cm="1">
        <f t="array" ref="H635">_xlfn.XLOOKUP(Table4[[#This Row],[vehicle_segment]]&amp;Table4[[#This Row],[powertrain_type]],Table3[vehicle_segment]&amp;Table3[powertrain_type],Table3[vehicle_id])</f>
        <v>1</v>
      </c>
      <c r="I635">
        <v>549</v>
      </c>
      <c r="J635">
        <v>38369</v>
      </c>
      <c r="K635">
        <v>25580</v>
      </c>
      <c r="L635">
        <v>64498</v>
      </c>
      <c r="M635">
        <v>0.85</v>
      </c>
      <c r="N635">
        <v>5912</v>
      </c>
      <c r="O635">
        <v>3.6</v>
      </c>
      <c r="P635">
        <v>149</v>
      </c>
      <c r="Q635">
        <v>1.63</v>
      </c>
      <c r="R635">
        <v>0.19900000000000001</v>
      </c>
      <c r="S635">
        <v>45611</v>
      </c>
      <c r="T635">
        <v>87.6</v>
      </c>
      <c r="U635">
        <v>34</v>
      </c>
      <c r="V635">
        <v>1953</v>
      </c>
      <c r="W635">
        <v>68.099999999999994</v>
      </c>
      <c r="X635">
        <v>105.62</v>
      </c>
      <c r="Y635">
        <v>0</v>
      </c>
    </row>
    <row r="636" spans="1:25" x14ac:dyDescent="0.25">
      <c r="A636" t="s">
        <v>48</v>
      </c>
      <c r="B636">
        <f>_xlfn.XLOOKUP(Table4[[#This Row],[country]],Table2[country],Table2[country_id],FALSE)</f>
        <v>14</v>
      </c>
      <c r="C636" t="s">
        <v>32</v>
      </c>
      <c r="D636">
        <v>2013</v>
      </c>
      <c r="E636">
        <f>_xlfn.XLOOKUP(Table4[[#This Row],[year]],Table1[year],Table1[year_id])</f>
        <v>4</v>
      </c>
      <c r="F636" t="s">
        <v>29</v>
      </c>
      <c r="G636" t="s">
        <v>28</v>
      </c>
      <c r="H636" cm="1">
        <f t="array" ref="H636">_xlfn.XLOOKUP(Table4[[#This Row],[vehicle_segment]]&amp;Table4[[#This Row],[powertrain_type]],Table3[vehicle_segment]&amp;Table3[powertrain_type],Table3[vehicle_id])</f>
        <v>2</v>
      </c>
      <c r="I636">
        <v>6149</v>
      </c>
      <c r="J636">
        <v>217272</v>
      </c>
      <c r="K636">
        <v>29628</v>
      </c>
      <c r="L636">
        <v>253049</v>
      </c>
      <c r="M636">
        <v>2.4300000000000002</v>
      </c>
      <c r="N636">
        <v>5912</v>
      </c>
      <c r="O636">
        <v>3.6</v>
      </c>
      <c r="P636">
        <v>149</v>
      </c>
      <c r="Q636">
        <v>1.63</v>
      </c>
      <c r="R636">
        <v>0.19900000000000001</v>
      </c>
      <c r="S636">
        <v>45611</v>
      </c>
      <c r="T636">
        <v>87.6</v>
      </c>
      <c r="U636">
        <v>34</v>
      </c>
      <c r="V636">
        <v>1953</v>
      </c>
      <c r="W636">
        <v>68.099999999999994</v>
      </c>
      <c r="X636">
        <v>100.75</v>
      </c>
      <c r="Y636">
        <v>0</v>
      </c>
    </row>
    <row r="637" spans="1:25" x14ac:dyDescent="0.25">
      <c r="A637" t="s">
        <v>48</v>
      </c>
      <c r="B637">
        <f>_xlfn.XLOOKUP(Table4[[#This Row],[country]],Table2[country],Table2[country_id],FALSE)</f>
        <v>14</v>
      </c>
      <c r="C637" t="s">
        <v>32</v>
      </c>
      <c r="D637">
        <v>2013</v>
      </c>
      <c r="E637">
        <f>_xlfn.XLOOKUP(Table4[[#This Row],[year]],Table1[year],Table1[year_id])</f>
        <v>4</v>
      </c>
      <c r="F637" t="s">
        <v>30</v>
      </c>
      <c r="G637" t="s">
        <v>28</v>
      </c>
      <c r="H637" cm="1">
        <f t="array" ref="H637">_xlfn.XLOOKUP(Table4[[#This Row],[vehicle_segment]]&amp;Table4[[#This Row],[powertrain_type]],Table3[vehicle_segment]&amp;Table3[powertrain_type],Table3[vehicle_id])</f>
        <v>3</v>
      </c>
      <c r="I637">
        <v>3708</v>
      </c>
      <c r="J637">
        <v>93395</v>
      </c>
      <c r="K637">
        <v>8121</v>
      </c>
      <c r="L637">
        <v>105224</v>
      </c>
      <c r="M637">
        <v>3.52</v>
      </c>
      <c r="N637">
        <v>5912</v>
      </c>
      <c r="O637">
        <v>3.6</v>
      </c>
      <c r="P637">
        <v>149</v>
      </c>
      <c r="Q637">
        <v>1.63</v>
      </c>
      <c r="R637">
        <v>0.19900000000000001</v>
      </c>
      <c r="S637">
        <v>45611</v>
      </c>
      <c r="T637">
        <v>87.6</v>
      </c>
      <c r="U637">
        <v>34</v>
      </c>
      <c r="V637">
        <v>1953</v>
      </c>
      <c r="W637">
        <v>68.099999999999994</v>
      </c>
      <c r="X637">
        <v>103.96</v>
      </c>
      <c r="Y637">
        <v>0</v>
      </c>
    </row>
    <row r="638" spans="1:25" x14ac:dyDescent="0.25">
      <c r="A638" t="s">
        <v>48</v>
      </c>
      <c r="B638">
        <f>_xlfn.XLOOKUP(Table4[[#This Row],[country]],Table2[country],Table2[country_id],FALSE)</f>
        <v>14</v>
      </c>
      <c r="C638" t="s">
        <v>32</v>
      </c>
      <c r="D638">
        <v>2014</v>
      </c>
      <c r="E638">
        <f>_xlfn.XLOOKUP(Table4[[#This Row],[year]],Table1[year],Table1[year_id])</f>
        <v>5</v>
      </c>
      <c r="F638" t="s">
        <v>27</v>
      </c>
      <c r="G638" t="s">
        <v>28</v>
      </c>
      <c r="H638" cm="1">
        <f t="array" ref="H638">_xlfn.XLOOKUP(Table4[[#This Row],[vehicle_segment]]&amp;Table4[[#This Row],[powertrain_type]],Table3[vehicle_segment]&amp;Table3[powertrain_type],Table3[vehicle_id])</f>
        <v>1</v>
      </c>
      <c r="I638">
        <v>797</v>
      </c>
      <c r="J638">
        <v>37688</v>
      </c>
      <c r="K638">
        <v>25126</v>
      </c>
      <c r="L638">
        <v>63611</v>
      </c>
      <c r="M638">
        <v>1.25</v>
      </c>
      <c r="N638">
        <v>12010</v>
      </c>
      <c r="O638">
        <v>4.2</v>
      </c>
      <c r="P638">
        <v>168</v>
      </c>
      <c r="Q638">
        <v>1.63</v>
      </c>
      <c r="R638">
        <v>0.19800000000000001</v>
      </c>
      <c r="S638">
        <v>45570</v>
      </c>
      <c r="T638">
        <v>88.8</v>
      </c>
      <c r="U638">
        <v>34.6</v>
      </c>
      <c r="V638">
        <v>2641</v>
      </c>
      <c r="W638">
        <v>69.5</v>
      </c>
      <c r="X638">
        <v>45.17</v>
      </c>
      <c r="Y638">
        <v>0</v>
      </c>
    </row>
    <row r="639" spans="1:25" x14ac:dyDescent="0.25">
      <c r="A639" t="s">
        <v>48</v>
      </c>
      <c r="B639">
        <f>_xlfn.XLOOKUP(Table4[[#This Row],[country]],Table2[country],Table2[country_id],FALSE)</f>
        <v>14</v>
      </c>
      <c r="C639" t="s">
        <v>32</v>
      </c>
      <c r="D639">
        <v>2014</v>
      </c>
      <c r="E639">
        <f>_xlfn.XLOOKUP(Table4[[#This Row],[year]],Table1[year],Table1[year_id])</f>
        <v>5</v>
      </c>
      <c r="F639" t="s">
        <v>29</v>
      </c>
      <c r="G639" t="s">
        <v>28</v>
      </c>
      <c r="H639" cm="1">
        <f t="array" ref="H639">_xlfn.XLOOKUP(Table4[[#This Row],[vehicle_segment]]&amp;Table4[[#This Row],[powertrain_type]],Table3[vehicle_segment]&amp;Table3[powertrain_type],Table3[vehicle_id])</f>
        <v>2</v>
      </c>
      <c r="I639">
        <v>9111</v>
      </c>
      <c r="J639">
        <v>215948</v>
      </c>
      <c r="K639">
        <v>29448</v>
      </c>
      <c r="L639">
        <v>254507</v>
      </c>
      <c r="M639">
        <v>3.58</v>
      </c>
      <c r="N639">
        <v>12010</v>
      </c>
      <c r="O639">
        <v>4.2</v>
      </c>
      <c r="P639">
        <v>168</v>
      </c>
      <c r="Q639">
        <v>1.63</v>
      </c>
      <c r="R639">
        <v>0.19800000000000001</v>
      </c>
      <c r="S639">
        <v>45570</v>
      </c>
      <c r="T639">
        <v>88.8</v>
      </c>
      <c r="U639">
        <v>34.6</v>
      </c>
      <c r="V639">
        <v>2641</v>
      </c>
      <c r="W639">
        <v>69.5</v>
      </c>
      <c r="X639">
        <v>48.17</v>
      </c>
      <c r="Y639">
        <v>0</v>
      </c>
    </row>
    <row r="640" spans="1:25" x14ac:dyDescent="0.25">
      <c r="A640" t="s">
        <v>48</v>
      </c>
      <c r="B640">
        <f>_xlfn.XLOOKUP(Table4[[#This Row],[country]],Table2[country],Table2[country_id],FALSE)</f>
        <v>14</v>
      </c>
      <c r="C640" t="s">
        <v>32</v>
      </c>
      <c r="D640">
        <v>2014</v>
      </c>
      <c r="E640">
        <f>_xlfn.XLOOKUP(Table4[[#This Row],[year]],Table1[year],Table1[year_id])</f>
        <v>5</v>
      </c>
      <c r="F640" t="s">
        <v>30</v>
      </c>
      <c r="G640" t="s">
        <v>28</v>
      </c>
      <c r="H640" cm="1">
        <f t="array" ref="H640">_xlfn.XLOOKUP(Table4[[#This Row],[vehicle_segment]]&amp;Table4[[#This Row],[powertrain_type]],Table3[vehicle_segment]&amp;Table3[powertrain_type],Table3[vehicle_id])</f>
        <v>3</v>
      </c>
      <c r="I640">
        <v>5500</v>
      </c>
      <c r="J640">
        <v>92410</v>
      </c>
      <c r="K640">
        <v>8036</v>
      </c>
      <c r="L640">
        <v>105946</v>
      </c>
      <c r="M640">
        <v>5.19</v>
      </c>
      <c r="N640">
        <v>12010</v>
      </c>
      <c r="O640">
        <v>4.2</v>
      </c>
      <c r="P640">
        <v>168</v>
      </c>
      <c r="Q640">
        <v>1.63</v>
      </c>
      <c r="R640">
        <v>0.19800000000000001</v>
      </c>
      <c r="S640">
        <v>45570</v>
      </c>
      <c r="T640">
        <v>88.8</v>
      </c>
      <c r="U640">
        <v>34.6</v>
      </c>
      <c r="V640">
        <v>2641</v>
      </c>
      <c r="W640">
        <v>69.5</v>
      </c>
      <c r="X640">
        <v>48.33</v>
      </c>
      <c r="Y640">
        <v>0</v>
      </c>
    </row>
    <row r="641" spans="1:25" x14ac:dyDescent="0.25">
      <c r="A641" t="s">
        <v>48</v>
      </c>
      <c r="B641">
        <f>_xlfn.XLOOKUP(Table4[[#This Row],[country]],Table2[country],Table2[country_id],FALSE)</f>
        <v>14</v>
      </c>
      <c r="C641" t="s">
        <v>32</v>
      </c>
      <c r="D641">
        <v>2015</v>
      </c>
      <c r="E641">
        <f>_xlfn.XLOOKUP(Table4[[#This Row],[year]],Table1[year],Table1[year_id])</f>
        <v>6</v>
      </c>
      <c r="F641" t="s">
        <v>27</v>
      </c>
      <c r="G641" t="s">
        <v>28</v>
      </c>
      <c r="H641" cm="1">
        <f t="array" ref="H641">_xlfn.XLOOKUP(Table4[[#This Row],[vehicle_segment]]&amp;Table4[[#This Row],[powertrain_type]],Table3[vehicle_segment]&amp;Table3[powertrain_type],Table3[vehicle_id])</f>
        <v>1</v>
      </c>
      <c r="I641">
        <v>1068</v>
      </c>
      <c r="J641">
        <v>39613</v>
      </c>
      <c r="K641">
        <v>26408</v>
      </c>
      <c r="L641">
        <v>67089</v>
      </c>
      <c r="M641">
        <v>1.59</v>
      </c>
      <c r="N641">
        <v>17818</v>
      </c>
      <c r="O641">
        <v>4.9000000000000004</v>
      </c>
      <c r="P641">
        <v>175</v>
      </c>
      <c r="Q641">
        <v>1.637</v>
      </c>
      <c r="R641">
        <v>0.2</v>
      </c>
      <c r="S641">
        <v>44713</v>
      </c>
      <c r="T641">
        <v>90.5</v>
      </c>
      <c r="U641">
        <v>34.1</v>
      </c>
      <c r="V641">
        <v>3343</v>
      </c>
      <c r="W641">
        <v>71.5</v>
      </c>
      <c r="X641">
        <v>34</v>
      </c>
      <c r="Y641">
        <v>0</v>
      </c>
    </row>
    <row r="642" spans="1:25" x14ac:dyDescent="0.25">
      <c r="A642" t="s">
        <v>48</v>
      </c>
      <c r="B642">
        <f>_xlfn.XLOOKUP(Table4[[#This Row],[country]],Table2[country],Table2[country_id],FALSE)</f>
        <v>14</v>
      </c>
      <c r="C642" t="s">
        <v>32</v>
      </c>
      <c r="D642">
        <v>2015</v>
      </c>
      <c r="E642">
        <f>_xlfn.XLOOKUP(Table4[[#This Row],[year]],Table1[year],Table1[year_id])</f>
        <v>6</v>
      </c>
      <c r="F642" t="s">
        <v>29</v>
      </c>
      <c r="G642" t="s">
        <v>28</v>
      </c>
      <c r="H642" cm="1">
        <f t="array" ref="H642">_xlfn.XLOOKUP(Table4[[#This Row],[vehicle_segment]]&amp;Table4[[#This Row],[powertrain_type]],Table3[vehicle_segment]&amp;Table3[powertrain_type],Table3[vehicle_id])</f>
        <v>2</v>
      </c>
      <c r="I642">
        <v>12426</v>
      </c>
      <c r="J642">
        <v>229398</v>
      </c>
      <c r="K642">
        <v>31281</v>
      </c>
      <c r="L642">
        <v>273105</v>
      </c>
      <c r="M642">
        <v>4.55</v>
      </c>
      <c r="N642">
        <v>17818</v>
      </c>
      <c r="O642">
        <v>4.9000000000000004</v>
      </c>
      <c r="P642">
        <v>175</v>
      </c>
      <c r="Q642">
        <v>1.637</v>
      </c>
      <c r="R642">
        <v>0.2</v>
      </c>
      <c r="S642">
        <v>44713</v>
      </c>
      <c r="T642">
        <v>90.5</v>
      </c>
      <c r="U642">
        <v>34.1</v>
      </c>
      <c r="V642">
        <v>3343</v>
      </c>
      <c r="W642">
        <v>71.5</v>
      </c>
      <c r="X642">
        <v>36.380000000000003</v>
      </c>
      <c r="Y642">
        <v>0</v>
      </c>
    </row>
    <row r="643" spans="1:25" x14ac:dyDescent="0.25">
      <c r="A643" t="s">
        <v>48</v>
      </c>
      <c r="B643">
        <f>_xlfn.XLOOKUP(Table4[[#This Row],[country]],Table2[country],Table2[country_id],FALSE)</f>
        <v>14</v>
      </c>
      <c r="C643" t="s">
        <v>32</v>
      </c>
      <c r="D643">
        <v>2015</v>
      </c>
      <c r="E643">
        <f>_xlfn.XLOOKUP(Table4[[#This Row],[year]],Table1[year],Table1[year_id])</f>
        <v>6</v>
      </c>
      <c r="F643" t="s">
        <v>30</v>
      </c>
      <c r="G643" t="s">
        <v>28</v>
      </c>
      <c r="H643" cm="1">
        <f t="array" ref="H643">_xlfn.XLOOKUP(Table4[[#This Row],[vehicle_segment]]&amp;Table4[[#This Row],[powertrain_type]],Table3[vehicle_segment]&amp;Table3[powertrain_type],Table3[vehicle_id])</f>
        <v>3</v>
      </c>
      <c r="I643">
        <v>7525</v>
      </c>
      <c r="J643">
        <v>98007</v>
      </c>
      <c r="K643">
        <v>8522</v>
      </c>
      <c r="L643">
        <v>114054</v>
      </c>
      <c r="M643">
        <v>6.6</v>
      </c>
      <c r="N643">
        <v>17818</v>
      </c>
      <c r="O643">
        <v>4.9000000000000004</v>
      </c>
      <c r="P643">
        <v>175</v>
      </c>
      <c r="Q643">
        <v>1.637</v>
      </c>
      <c r="R643">
        <v>0.2</v>
      </c>
      <c r="S643">
        <v>44713</v>
      </c>
      <c r="T643">
        <v>90.5</v>
      </c>
      <c r="U643">
        <v>34.1</v>
      </c>
      <c r="V643">
        <v>3343</v>
      </c>
      <c r="W643">
        <v>71.5</v>
      </c>
      <c r="X643">
        <v>36.82</v>
      </c>
      <c r="Y643">
        <v>0</v>
      </c>
    </row>
    <row r="644" spans="1:25" x14ac:dyDescent="0.25">
      <c r="A644" t="s">
        <v>48</v>
      </c>
      <c r="B644">
        <f>_xlfn.XLOOKUP(Table4[[#This Row],[country]],Table2[country],Table2[country_id],FALSE)</f>
        <v>14</v>
      </c>
      <c r="C644" t="s">
        <v>32</v>
      </c>
      <c r="D644">
        <v>2016</v>
      </c>
      <c r="E644">
        <f>_xlfn.XLOOKUP(Table4[[#This Row],[year]],Table1[year],Table1[year_id])</f>
        <v>7</v>
      </c>
      <c r="F644" t="s">
        <v>27</v>
      </c>
      <c r="G644" t="s">
        <v>28</v>
      </c>
      <c r="H644" cm="1">
        <f t="array" ref="H644">_xlfn.XLOOKUP(Table4[[#This Row],[vehicle_segment]]&amp;Table4[[#This Row],[powertrain_type]],Table3[vehicle_segment]&amp;Table3[powertrain_type],Table3[vehicle_id])</f>
        <v>1</v>
      </c>
      <c r="I644">
        <v>1252</v>
      </c>
      <c r="J644">
        <v>37978</v>
      </c>
      <c r="K644">
        <v>25319</v>
      </c>
      <c r="L644">
        <v>64549</v>
      </c>
      <c r="M644">
        <v>1.94</v>
      </c>
      <c r="N644">
        <v>25616</v>
      </c>
      <c r="O644">
        <v>5.3</v>
      </c>
      <c r="P644">
        <v>200</v>
      </c>
      <c r="Q644">
        <v>1.637</v>
      </c>
      <c r="R644">
        <v>0.20499999999999999</v>
      </c>
      <c r="S644">
        <v>47547</v>
      </c>
      <c r="T644">
        <v>91.1</v>
      </c>
      <c r="U644">
        <v>34.1</v>
      </c>
      <c r="V644">
        <v>4051</v>
      </c>
      <c r="W644">
        <v>73.900000000000006</v>
      </c>
      <c r="X644">
        <v>17.23</v>
      </c>
      <c r="Y644">
        <v>0</v>
      </c>
    </row>
    <row r="645" spans="1:25" x14ac:dyDescent="0.25">
      <c r="A645" t="s">
        <v>48</v>
      </c>
      <c r="B645">
        <f>_xlfn.XLOOKUP(Table4[[#This Row],[country]],Table2[country],Table2[country_id],FALSE)</f>
        <v>14</v>
      </c>
      <c r="C645" t="s">
        <v>32</v>
      </c>
      <c r="D645">
        <v>2016</v>
      </c>
      <c r="E645">
        <f>_xlfn.XLOOKUP(Table4[[#This Row],[year]],Table1[year],Table1[year_id])</f>
        <v>7</v>
      </c>
      <c r="F645" t="s">
        <v>29</v>
      </c>
      <c r="G645" t="s">
        <v>28</v>
      </c>
      <c r="H645" cm="1">
        <f t="array" ref="H645">_xlfn.XLOOKUP(Table4[[#This Row],[vehicle_segment]]&amp;Table4[[#This Row],[powertrain_type]],Table3[vehicle_segment]&amp;Table3[powertrain_type],Table3[vehicle_id])</f>
        <v>2</v>
      </c>
      <c r="I645">
        <v>14281</v>
      </c>
      <c r="J645">
        <v>214282</v>
      </c>
      <c r="K645">
        <v>29220</v>
      </c>
      <c r="L645">
        <v>257783</v>
      </c>
      <c r="M645">
        <v>5.54</v>
      </c>
      <c r="N645">
        <v>25616</v>
      </c>
      <c r="O645">
        <v>5.3</v>
      </c>
      <c r="P645">
        <v>200</v>
      </c>
      <c r="Q645">
        <v>1.637</v>
      </c>
      <c r="R645">
        <v>0.20499999999999999</v>
      </c>
      <c r="S645">
        <v>47547</v>
      </c>
      <c r="T645">
        <v>91.1</v>
      </c>
      <c r="U645">
        <v>34.1</v>
      </c>
      <c r="V645">
        <v>4051</v>
      </c>
      <c r="W645">
        <v>73.900000000000006</v>
      </c>
      <c r="X645">
        <v>14.93</v>
      </c>
      <c r="Y645">
        <v>0</v>
      </c>
    </row>
    <row r="646" spans="1:25" x14ac:dyDescent="0.25">
      <c r="A646" t="s">
        <v>48</v>
      </c>
      <c r="B646">
        <f>_xlfn.XLOOKUP(Table4[[#This Row],[country]],Table2[country],Table2[country_id],FALSE)</f>
        <v>14</v>
      </c>
      <c r="C646" t="s">
        <v>32</v>
      </c>
      <c r="D646">
        <v>2016</v>
      </c>
      <c r="E646">
        <f>_xlfn.XLOOKUP(Table4[[#This Row],[year]],Table1[year],Table1[year_id])</f>
        <v>7</v>
      </c>
      <c r="F646" t="s">
        <v>30</v>
      </c>
      <c r="G646" t="s">
        <v>28</v>
      </c>
      <c r="H646" cm="1">
        <f t="array" ref="H646">_xlfn.XLOOKUP(Table4[[#This Row],[vehicle_segment]]&amp;Table4[[#This Row],[powertrain_type]],Table3[vehicle_segment]&amp;Table3[powertrain_type],Table3[vehicle_id])</f>
        <v>3</v>
      </c>
      <c r="I646">
        <v>8540</v>
      </c>
      <c r="J646">
        <v>89953</v>
      </c>
      <c r="K646">
        <v>7822</v>
      </c>
      <c r="L646">
        <v>106315</v>
      </c>
      <c r="M646">
        <v>8.0299999999999994</v>
      </c>
      <c r="N646">
        <v>25616</v>
      </c>
      <c r="O646">
        <v>5.3</v>
      </c>
      <c r="P646">
        <v>200</v>
      </c>
      <c r="Q646">
        <v>1.637</v>
      </c>
      <c r="R646">
        <v>0.20499999999999999</v>
      </c>
      <c r="S646">
        <v>47547</v>
      </c>
      <c r="T646">
        <v>91.1</v>
      </c>
      <c r="U646">
        <v>34.1</v>
      </c>
      <c r="V646">
        <v>4051</v>
      </c>
      <c r="W646">
        <v>73.900000000000006</v>
      </c>
      <c r="X646">
        <v>13.49</v>
      </c>
      <c r="Y646">
        <v>0</v>
      </c>
    </row>
    <row r="647" spans="1:25" x14ac:dyDescent="0.25">
      <c r="A647" t="s">
        <v>48</v>
      </c>
      <c r="B647">
        <f>_xlfn.XLOOKUP(Table4[[#This Row],[country]],Table2[country],Table2[country_id],FALSE)</f>
        <v>14</v>
      </c>
      <c r="C647" t="s">
        <v>32</v>
      </c>
      <c r="D647">
        <v>2017</v>
      </c>
      <c r="E647">
        <f>_xlfn.XLOOKUP(Table4[[#This Row],[year]],Table1[year],Table1[year_id])</f>
        <v>8</v>
      </c>
      <c r="F647" t="s">
        <v>27</v>
      </c>
      <c r="G647" t="s">
        <v>28</v>
      </c>
      <c r="H647" cm="1">
        <f t="array" ref="H647">_xlfn.XLOOKUP(Table4[[#This Row],[vehicle_segment]]&amp;Table4[[#This Row],[powertrain_type]],Table3[vehicle_segment]&amp;Table3[powertrain_type],Table3[vehicle_id])</f>
        <v>1</v>
      </c>
      <c r="I647">
        <v>1342</v>
      </c>
      <c r="J647">
        <v>37346</v>
      </c>
      <c r="K647">
        <v>24897</v>
      </c>
      <c r="L647">
        <v>63585</v>
      </c>
      <c r="M647">
        <v>2.11</v>
      </c>
      <c r="N647">
        <v>31883</v>
      </c>
      <c r="O647">
        <v>6.3</v>
      </c>
      <c r="P647">
        <v>227</v>
      </c>
      <c r="Q647">
        <v>1.67</v>
      </c>
      <c r="R647">
        <v>0.20899999999999999</v>
      </c>
      <c r="S647">
        <v>48401</v>
      </c>
      <c r="T647">
        <v>90.9</v>
      </c>
      <c r="U647">
        <v>33.5</v>
      </c>
      <c r="V647">
        <v>4083</v>
      </c>
      <c r="W647">
        <v>77.400000000000006</v>
      </c>
      <c r="X647">
        <v>7.19</v>
      </c>
      <c r="Y647">
        <v>0</v>
      </c>
    </row>
    <row r="648" spans="1:25" x14ac:dyDescent="0.25">
      <c r="A648" t="s">
        <v>48</v>
      </c>
      <c r="B648">
        <f>_xlfn.XLOOKUP(Table4[[#This Row],[country]],Table2[country],Table2[country_id],FALSE)</f>
        <v>14</v>
      </c>
      <c r="C648" t="s">
        <v>32</v>
      </c>
      <c r="D648">
        <v>2017</v>
      </c>
      <c r="E648">
        <f>_xlfn.XLOOKUP(Table4[[#This Row],[year]],Table1[year],Table1[year_id])</f>
        <v>8</v>
      </c>
      <c r="F648" t="s">
        <v>29</v>
      </c>
      <c r="G648" t="s">
        <v>28</v>
      </c>
      <c r="H648" cm="1">
        <f t="array" ref="H648">_xlfn.XLOOKUP(Table4[[#This Row],[vehicle_segment]]&amp;Table4[[#This Row],[powertrain_type]],Table3[vehicle_segment]&amp;Table3[powertrain_type],Table3[vehicle_id])</f>
        <v>2</v>
      </c>
      <c r="I648">
        <v>14838</v>
      </c>
      <c r="J648">
        <v>203482</v>
      </c>
      <c r="K648">
        <v>27747</v>
      </c>
      <c r="L648">
        <v>246067</v>
      </c>
      <c r="M648">
        <v>6.03</v>
      </c>
      <c r="N648">
        <v>31883</v>
      </c>
      <c r="O648">
        <v>6.3</v>
      </c>
      <c r="P648">
        <v>227</v>
      </c>
      <c r="Q648">
        <v>1.67</v>
      </c>
      <c r="R648">
        <v>0.20899999999999999</v>
      </c>
      <c r="S648">
        <v>48401</v>
      </c>
      <c r="T648">
        <v>90.9</v>
      </c>
      <c r="U648">
        <v>33.5</v>
      </c>
      <c r="V648">
        <v>4083</v>
      </c>
      <c r="W648">
        <v>77.400000000000006</v>
      </c>
      <c r="X648">
        <v>3.9</v>
      </c>
      <c r="Y648">
        <v>0</v>
      </c>
    </row>
    <row r="649" spans="1:25" x14ac:dyDescent="0.25">
      <c r="A649" t="s">
        <v>48</v>
      </c>
      <c r="B649">
        <f>_xlfn.XLOOKUP(Table4[[#This Row],[country]],Table2[country],Table2[country_id],FALSE)</f>
        <v>14</v>
      </c>
      <c r="C649" t="s">
        <v>32</v>
      </c>
      <c r="D649">
        <v>2017</v>
      </c>
      <c r="E649">
        <f>_xlfn.XLOOKUP(Table4[[#This Row],[year]],Table1[year],Table1[year_id])</f>
        <v>8</v>
      </c>
      <c r="F649" t="s">
        <v>30</v>
      </c>
      <c r="G649" t="s">
        <v>28</v>
      </c>
      <c r="H649" cm="1">
        <f t="array" ref="H649">_xlfn.XLOOKUP(Table4[[#This Row],[vehicle_segment]]&amp;Table4[[#This Row],[powertrain_type]],Table3[vehicle_segment]&amp;Table3[powertrain_type],Table3[vehicle_id])</f>
        <v>3</v>
      </c>
      <c r="I649">
        <v>9243</v>
      </c>
      <c r="J649">
        <v>88756</v>
      </c>
      <c r="K649">
        <v>7718</v>
      </c>
      <c r="L649">
        <v>105717</v>
      </c>
      <c r="M649">
        <v>8.74</v>
      </c>
      <c r="N649">
        <v>31883</v>
      </c>
      <c r="O649">
        <v>6.3</v>
      </c>
      <c r="P649">
        <v>227</v>
      </c>
      <c r="Q649">
        <v>1.67</v>
      </c>
      <c r="R649">
        <v>0.20899999999999999</v>
      </c>
      <c r="S649">
        <v>48401</v>
      </c>
      <c r="T649">
        <v>90.9</v>
      </c>
      <c r="U649">
        <v>33.5</v>
      </c>
      <c r="V649">
        <v>4083</v>
      </c>
      <c r="W649">
        <v>77.400000000000006</v>
      </c>
      <c r="X649">
        <v>8.23</v>
      </c>
      <c r="Y649">
        <v>0</v>
      </c>
    </row>
    <row r="650" spans="1:25" x14ac:dyDescent="0.25">
      <c r="A650" t="s">
        <v>48</v>
      </c>
      <c r="B650">
        <f>_xlfn.XLOOKUP(Table4[[#This Row],[country]],Table2[country],Table2[country_id],FALSE)</f>
        <v>14</v>
      </c>
      <c r="C650" t="s">
        <v>32</v>
      </c>
      <c r="D650">
        <v>2018</v>
      </c>
      <c r="E650">
        <f>_xlfn.XLOOKUP(Table4[[#This Row],[year]],Table1[year],Table1[year_id])</f>
        <v>9</v>
      </c>
      <c r="F650" t="s">
        <v>27</v>
      </c>
      <c r="G650" t="s">
        <v>28</v>
      </c>
      <c r="H650" cm="1">
        <f t="array" ref="H650">_xlfn.XLOOKUP(Table4[[#This Row],[vehicle_segment]]&amp;Table4[[#This Row],[powertrain_type]],Table3[vehicle_segment]&amp;Table3[powertrain_type],Table3[vehicle_id])</f>
        <v>1</v>
      </c>
      <c r="I650">
        <v>1317</v>
      </c>
      <c r="J650">
        <v>37417</v>
      </c>
      <c r="K650">
        <v>24945</v>
      </c>
      <c r="L650">
        <v>63679</v>
      </c>
      <c r="M650">
        <v>2.0699999999999998</v>
      </c>
      <c r="N650">
        <v>42365</v>
      </c>
      <c r="O650">
        <v>7.4</v>
      </c>
      <c r="P650">
        <v>272</v>
      </c>
      <c r="Q650">
        <v>1.7170000000000001</v>
      </c>
      <c r="R650">
        <v>0.21099999999999999</v>
      </c>
      <c r="S650">
        <v>50428</v>
      </c>
      <c r="T650">
        <v>91.8</v>
      </c>
      <c r="U650">
        <v>33.700000000000003</v>
      </c>
      <c r="V650">
        <v>4104</v>
      </c>
      <c r="W650">
        <v>79.3</v>
      </c>
      <c r="X650">
        <v>-1.86</v>
      </c>
      <c r="Y650">
        <v>0</v>
      </c>
    </row>
    <row r="651" spans="1:25" x14ac:dyDescent="0.25">
      <c r="A651" t="s">
        <v>48</v>
      </c>
      <c r="B651">
        <f>_xlfn.XLOOKUP(Table4[[#This Row],[country]],Table2[country],Table2[country_id],FALSE)</f>
        <v>14</v>
      </c>
      <c r="C651" t="s">
        <v>32</v>
      </c>
      <c r="D651">
        <v>2018</v>
      </c>
      <c r="E651">
        <f>_xlfn.XLOOKUP(Table4[[#This Row],[year]],Table1[year],Table1[year_id])</f>
        <v>9</v>
      </c>
      <c r="F651" t="s">
        <v>29</v>
      </c>
      <c r="G651" t="s">
        <v>28</v>
      </c>
      <c r="H651" cm="1">
        <f t="array" ref="H651">_xlfn.XLOOKUP(Table4[[#This Row],[vehicle_segment]]&amp;Table4[[#This Row],[powertrain_type]],Table3[vehicle_segment]&amp;Table3[powertrain_type],Table3[vehicle_id])</f>
        <v>2</v>
      </c>
      <c r="I651">
        <v>14945</v>
      </c>
      <c r="J651">
        <v>209386</v>
      </c>
      <c r="K651">
        <v>28553</v>
      </c>
      <c r="L651">
        <v>252884</v>
      </c>
      <c r="M651">
        <v>5.91</v>
      </c>
      <c r="N651">
        <v>42365</v>
      </c>
      <c r="O651">
        <v>7.4</v>
      </c>
      <c r="P651">
        <v>272</v>
      </c>
      <c r="Q651">
        <v>1.7170000000000001</v>
      </c>
      <c r="R651">
        <v>0.21099999999999999</v>
      </c>
      <c r="S651">
        <v>50428</v>
      </c>
      <c r="T651">
        <v>91.8</v>
      </c>
      <c r="U651">
        <v>33.700000000000003</v>
      </c>
      <c r="V651">
        <v>4104</v>
      </c>
      <c r="W651">
        <v>79.3</v>
      </c>
      <c r="X651">
        <v>0.72</v>
      </c>
      <c r="Y651">
        <v>0</v>
      </c>
    </row>
    <row r="652" spans="1:25" x14ac:dyDescent="0.25">
      <c r="A652" t="s">
        <v>48</v>
      </c>
      <c r="B652">
        <f>_xlfn.XLOOKUP(Table4[[#This Row],[country]],Table2[country],Table2[country_id],FALSE)</f>
        <v>14</v>
      </c>
      <c r="C652" t="s">
        <v>32</v>
      </c>
      <c r="D652">
        <v>2018</v>
      </c>
      <c r="E652">
        <f>_xlfn.XLOOKUP(Table4[[#This Row],[year]],Table1[year],Table1[year_id])</f>
        <v>9</v>
      </c>
      <c r="F652" t="s">
        <v>30</v>
      </c>
      <c r="G652" t="s">
        <v>28</v>
      </c>
      <c r="H652" cm="1">
        <f t="array" ref="H652">_xlfn.XLOOKUP(Table4[[#This Row],[vehicle_segment]]&amp;Table4[[#This Row],[powertrain_type]],Table3[vehicle_segment]&amp;Table3[powertrain_type],Table3[vehicle_id])</f>
        <v>3</v>
      </c>
      <c r="I652">
        <v>9091</v>
      </c>
      <c r="J652">
        <v>89231</v>
      </c>
      <c r="K652">
        <v>7759</v>
      </c>
      <c r="L652">
        <v>106081</v>
      </c>
      <c r="M652">
        <v>8.57</v>
      </c>
      <c r="N652">
        <v>42365</v>
      </c>
      <c r="O652">
        <v>7.4</v>
      </c>
      <c r="P652">
        <v>272</v>
      </c>
      <c r="Q652">
        <v>1.7170000000000001</v>
      </c>
      <c r="R652">
        <v>0.21099999999999999</v>
      </c>
      <c r="S652">
        <v>50428</v>
      </c>
      <c r="T652">
        <v>91.8</v>
      </c>
      <c r="U652">
        <v>33.700000000000003</v>
      </c>
      <c r="V652">
        <v>4104</v>
      </c>
      <c r="W652">
        <v>79.3</v>
      </c>
      <c r="X652">
        <v>-1.64</v>
      </c>
      <c r="Y652">
        <v>0</v>
      </c>
    </row>
    <row r="653" spans="1:25" x14ac:dyDescent="0.25">
      <c r="A653" t="s">
        <v>48</v>
      </c>
      <c r="B653">
        <f>_xlfn.XLOOKUP(Table4[[#This Row],[country]],Table2[country],Table2[country_id],FALSE)</f>
        <v>14</v>
      </c>
      <c r="C653" t="s">
        <v>32</v>
      </c>
      <c r="D653">
        <v>2019</v>
      </c>
      <c r="E653">
        <f>_xlfn.XLOOKUP(Table4[[#This Row],[year]],Table1[year],Table1[year_id])</f>
        <v>10</v>
      </c>
      <c r="F653" t="s">
        <v>27</v>
      </c>
      <c r="G653" t="s">
        <v>28</v>
      </c>
      <c r="H653" cm="1">
        <f t="array" ref="H653">_xlfn.XLOOKUP(Table4[[#This Row],[vehicle_segment]]&amp;Table4[[#This Row],[powertrain_type]],Table3[vehicle_segment]&amp;Table3[powertrain_type],Table3[vehicle_id])</f>
        <v>1</v>
      </c>
      <c r="I653">
        <v>3524</v>
      </c>
      <c r="J653">
        <v>37871</v>
      </c>
      <c r="K653">
        <v>25248</v>
      </c>
      <c r="L653">
        <v>66643</v>
      </c>
      <c r="M653">
        <v>5.29</v>
      </c>
      <c r="N653">
        <v>51265</v>
      </c>
      <c r="O653">
        <v>8.1</v>
      </c>
      <c r="P653">
        <v>307</v>
      </c>
      <c r="Q653">
        <v>1.8069999999999999</v>
      </c>
      <c r="R653">
        <v>0.21299999999999999</v>
      </c>
      <c r="S653">
        <v>53138</v>
      </c>
      <c r="T653">
        <v>91.6</v>
      </c>
      <c r="U653">
        <v>32.1</v>
      </c>
      <c r="V653">
        <v>4053</v>
      </c>
      <c r="W653">
        <v>82.9</v>
      </c>
      <c r="X653">
        <v>167.58</v>
      </c>
      <c r="Y653">
        <v>0</v>
      </c>
    </row>
    <row r="654" spans="1:25" x14ac:dyDescent="0.25">
      <c r="A654" t="s">
        <v>48</v>
      </c>
      <c r="B654">
        <f>_xlfn.XLOOKUP(Table4[[#This Row],[country]],Table2[country],Table2[country_id],FALSE)</f>
        <v>14</v>
      </c>
      <c r="C654" t="s">
        <v>32</v>
      </c>
      <c r="D654">
        <v>2019</v>
      </c>
      <c r="E654">
        <f>_xlfn.XLOOKUP(Table4[[#This Row],[year]],Table1[year],Table1[year_id])</f>
        <v>10</v>
      </c>
      <c r="F654" t="s">
        <v>29</v>
      </c>
      <c r="G654" t="s">
        <v>28</v>
      </c>
      <c r="H654" cm="1">
        <f t="array" ref="H654">_xlfn.XLOOKUP(Table4[[#This Row],[vehicle_segment]]&amp;Table4[[#This Row],[powertrain_type]],Table3[vehicle_segment]&amp;Table3[powertrain_type],Table3[vehicle_id])</f>
        <v>2</v>
      </c>
      <c r="I654">
        <v>41419</v>
      </c>
      <c r="J654">
        <v>204775</v>
      </c>
      <c r="K654">
        <v>27924</v>
      </c>
      <c r="L654">
        <v>274118</v>
      </c>
      <c r="M654">
        <v>15.11</v>
      </c>
      <c r="N654">
        <v>51265</v>
      </c>
      <c r="O654">
        <v>8.1</v>
      </c>
      <c r="P654">
        <v>307</v>
      </c>
      <c r="Q654">
        <v>1.8069999999999999</v>
      </c>
      <c r="R654">
        <v>0.21299999999999999</v>
      </c>
      <c r="S654">
        <v>53138</v>
      </c>
      <c r="T654">
        <v>91.6</v>
      </c>
      <c r="U654">
        <v>32.1</v>
      </c>
      <c r="V654">
        <v>4053</v>
      </c>
      <c r="W654">
        <v>82.9</v>
      </c>
      <c r="X654">
        <v>177.14</v>
      </c>
      <c r="Y654">
        <v>0</v>
      </c>
    </row>
    <row r="655" spans="1:25" x14ac:dyDescent="0.25">
      <c r="A655" t="s">
        <v>48</v>
      </c>
      <c r="B655">
        <f>_xlfn.XLOOKUP(Table4[[#This Row],[country]],Table2[country],Table2[country_id],FALSE)</f>
        <v>14</v>
      </c>
      <c r="C655" t="s">
        <v>32</v>
      </c>
      <c r="D655">
        <v>2019</v>
      </c>
      <c r="E655">
        <f>_xlfn.XLOOKUP(Table4[[#This Row],[year]],Table1[year],Table1[year_id])</f>
        <v>10</v>
      </c>
      <c r="F655" t="s">
        <v>30</v>
      </c>
      <c r="G655" t="s">
        <v>28</v>
      </c>
      <c r="H655" cm="1">
        <f t="array" ref="H655">_xlfn.XLOOKUP(Table4[[#This Row],[vehicle_segment]]&amp;Table4[[#This Row],[powertrain_type]],Table3[vehicle_segment]&amp;Table3[powertrain_type],Table3[vehicle_id])</f>
        <v>3</v>
      </c>
      <c r="I655">
        <v>24488</v>
      </c>
      <c r="J655">
        <v>80297</v>
      </c>
      <c r="K655">
        <v>6982</v>
      </c>
      <c r="L655">
        <v>111767</v>
      </c>
      <c r="M655">
        <v>21.91</v>
      </c>
      <c r="N655">
        <v>51265</v>
      </c>
      <c r="O655">
        <v>8.1</v>
      </c>
      <c r="P655">
        <v>307</v>
      </c>
      <c r="Q655">
        <v>1.8069999999999999</v>
      </c>
      <c r="R655">
        <v>0.21299999999999999</v>
      </c>
      <c r="S655">
        <v>53138</v>
      </c>
      <c r="T655">
        <v>91.6</v>
      </c>
      <c r="U655">
        <v>32.1</v>
      </c>
      <c r="V655">
        <v>4053</v>
      </c>
      <c r="W655">
        <v>82.9</v>
      </c>
      <c r="X655">
        <v>169.37</v>
      </c>
      <c r="Y655">
        <v>0</v>
      </c>
    </row>
    <row r="656" spans="1:25" x14ac:dyDescent="0.25">
      <c r="A656" t="s">
        <v>48</v>
      </c>
      <c r="B656">
        <f>_xlfn.XLOOKUP(Table4[[#This Row],[country]],Table2[country],Table2[country_id],FALSE)</f>
        <v>14</v>
      </c>
      <c r="C656" t="s">
        <v>32</v>
      </c>
      <c r="D656">
        <v>2020</v>
      </c>
      <c r="E656">
        <f>_xlfn.XLOOKUP(Table4[[#This Row],[year]],Table1[year],Table1[year_id])</f>
        <v>11</v>
      </c>
      <c r="F656" t="s">
        <v>27</v>
      </c>
      <c r="G656" t="s">
        <v>28</v>
      </c>
      <c r="H656" cm="1">
        <f t="array" ref="H656">_xlfn.XLOOKUP(Table4[[#This Row],[vehicle_segment]]&amp;Table4[[#This Row],[powertrain_type]],Table3[vehicle_segment]&amp;Table3[powertrain_type],Table3[vehicle_id])</f>
        <v>1</v>
      </c>
      <c r="I656">
        <v>3652</v>
      </c>
      <c r="J656">
        <v>30366</v>
      </c>
      <c r="K656">
        <v>20244</v>
      </c>
      <c r="L656">
        <v>54262</v>
      </c>
      <c r="M656">
        <v>6.73</v>
      </c>
      <c r="N656">
        <v>70476</v>
      </c>
      <c r="O656">
        <v>9.3000000000000007</v>
      </c>
      <c r="P656">
        <v>344</v>
      </c>
      <c r="Q656">
        <v>1.96</v>
      </c>
      <c r="R656">
        <v>0.24199999999999999</v>
      </c>
      <c r="S656">
        <v>54427</v>
      </c>
      <c r="T656">
        <v>92.4</v>
      </c>
      <c r="U656">
        <v>30.7</v>
      </c>
      <c r="V656">
        <v>3985</v>
      </c>
      <c r="W656">
        <v>83.9</v>
      </c>
      <c r="X656">
        <v>3.63</v>
      </c>
      <c r="Y656">
        <v>0</v>
      </c>
    </row>
    <row r="657" spans="1:25" x14ac:dyDescent="0.25">
      <c r="A657" t="s">
        <v>48</v>
      </c>
      <c r="B657">
        <f>_xlfn.XLOOKUP(Table4[[#This Row],[country]],Table2[country],Table2[country_id],FALSE)</f>
        <v>14</v>
      </c>
      <c r="C657" t="s">
        <v>32</v>
      </c>
      <c r="D657">
        <v>2020</v>
      </c>
      <c r="E657">
        <f>_xlfn.XLOOKUP(Table4[[#This Row],[year]],Table1[year],Table1[year_id])</f>
        <v>11</v>
      </c>
      <c r="F657" t="s">
        <v>29</v>
      </c>
      <c r="G657" t="s">
        <v>28</v>
      </c>
      <c r="H657" cm="1">
        <f t="array" ref="H657">_xlfn.XLOOKUP(Table4[[#This Row],[vehicle_segment]]&amp;Table4[[#This Row],[powertrain_type]],Table3[vehicle_segment]&amp;Table3[powertrain_type],Table3[vehicle_id])</f>
        <v>2</v>
      </c>
      <c r="I657">
        <v>40703</v>
      </c>
      <c r="J657">
        <v>150445</v>
      </c>
      <c r="K657">
        <v>20515</v>
      </c>
      <c r="L657">
        <v>211663</v>
      </c>
      <c r="M657">
        <v>19.23</v>
      </c>
      <c r="N657">
        <v>70476</v>
      </c>
      <c r="O657">
        <v>9.3000000000000007</v>
      </c>
      <c r="P657">
        <v>344</v>
      </c>
      <c r="Q657">
        <v>1.96</v>
      </c>
      <c r="R657">
        <v>0.24199999999999999</v>
      </c>
      <c r="S657">
        <v>54427</v>
      </c>
      <c r="T657">
        <v>92.4</v>
      </c>
      <c r="U657">
        <v>30.7</v>
      </c>
      <c r="V657">
        <v>3985</v>
      </c>
      <c r="W657">
        <v>83.9</v>
      </c>
      <c r="X657">
        <v>-1.73</v>
      </c>
      <c r="Y657">
        <v>0</v>
      </c>
    </row>
    <row r="658" spans="1:25" x14ac:dyDescent="0.25">
      <c r="A658" t="s">
        <v>48</v>
      </c>
      <c r="B658">
        <f>_xlfn.XLOOKUP(Table4[[#This Row],[country]],Table2[country],Table2[country_id],FALSE)</f>
        <v>14</v>
      </c>
      <c r="C658" t="s">
        <v>32</v>
      </c>
      <c r="D658">
        <v>2020</v>
      </c>
      <c r="E658">
        <f>_xlfn.XLOOKUP(Table4[[#This Row],[year]],Table1[year],Table1[year_id])</f>
        <v>11</v>
      </c>
      <c r="F658" t="s">
        <v>30</v>
      </c>
      <c r="G658" t="s">
        <v>28</v>
      </c>
      <c r="H658" cm="1">
        <f t="array" ref="H658">_xlfn.XLOOKUP(Table4[[#This Row],[vehicle_segment]]&amp;Table4[[#This Row],[powertrain_type]],Table3[vehicle_segment]&amp;Table3[powertrain_type],Table3[vehicle_id])</f>
        <v>3</v>
      </c>
      <c r="I658">
        <v>24764</v>
      </c>
      <c r="J658">
        <v>58925</v>
      </c>
      <c r="K658">
        <v>5124</v>
      </c>
      <c r="L658">
        <v>88813</v>
      </c>
      <c r="M658">
        <v>27.88</v>
      </c>
      <c r="N658">
        <v>70476</v>
      </c>
      <c r="O658">
        <v>9.3000000000000007</v>
      </c>
      <c r="P658">
        <v>344</v>
      </c>
      <c r="Q658">
        <v>1.96</v>
      </c>
      <c r="R658">
        <v>0.24199999999999999</v>
      </c>
      <c r="S658">
        <v>54427</v>
      </c>
      <c r="T658">
        <v>92.4</v>
      </c>
      <c r="U658">
        <v>30.7</v>
      </c>
      <c r="V658">
        <v>3985</v>
      </c>
      <c r="W658">
        <v>83.9</v>
      </c>
      <c r="X658">
        <v>1.1299999999999999</v>
      </c>
      <c r="Y658">
        <v>0</v>
      </c>
    </row>
    <row r="659" spans="1:25" x14ac:dyDescent="0.25">
      <c r="A659" t="s">
        <v>48</v>
      </c>
      <c r="B659">
        <f>_xlfn.XLOOKUP(Table4[[#This Row],[country]],Table2[country],Table2[country_id],FALSE)</f>
        <v>14</v>
      </c>
      <c r="C659" t="s">
        <v>32</v>
      </c>
      <c r="D659">
        <v>2021</v>
      </c>
      <c r="E659">
        <f>_xlfn.XLOOKUP(Table4[[#This Row],[year]],Table1[year],Table1[year_id])</f>
        <v>12</v>
      </c>
      <c r="F659" t="s">
        <v>27</v>
      </c>
      <c r="G659" t="s">
        <v>28</v>
      </c>
      <c r="H659" cm="1">
        <f t="array" ref="H659">_xlfn.XLOOKUP(Table4[[#This Row],[vehicle_segment]]&amp;Table4[[#This Row],[powertrain_type]],Table3[vehicle_segment]&amp;Table3[powertrain_type],Table3[vehicle_id])</f>
        <v>1</v>
      </c>
      <c r="I659">
        <v>3305</v>
      </c>
      <c r="J659">
        <v>30338</v>
      </c>
      <c r="K659">
        <v>20225</v>
      </c>
      <c r="L659">
        <v>53868</v>
      </c>
      <c r="M659">
        <v>6.14</v>
      </c>
      <c r="N659">
        <v>88840</v>
      </c>
      <c r="O659">
        <v>11.3</v>
      </c>
      <c r="P659">
        <v>385</v>
      </c>
      <c r="Q659">
        <v>2.153</v>
      </c>
      <c r="R659">
        <v>0.28699999999999998</v>
      </c>
      <c r="S659">
        <v>55259</v>
      </c>
      <c r="T659">
        <v>92.5</v>
      </c>
      <c r="U659">
        <v>29.8</v>
      </c>
      <c r="V659">
        <v>3444</v>
      </c>
      <c r="W659">
        <v>86.4</v>
      </c>
      <c r="X659">
        <v>-9.5</v>
      </c>
      <c r="Y659">
        <v>0</v>
      </c>
    </row>
    <row r="660" spans="1:25" x14ac:dyDescent="0.25">
      <c r="A660" t="s">
        <v>48</v>
      </c>
      <c r="B660">
        <f>_xlfn.XLOOKUP(Table4[[#This Row],[country]],Table2[country],Table2[country_id],FALSE)</f>
        <v>14</v>
      </c>
      <c r="C660" t="s">
        <v>32</v>
      </c>
      <c r="D660">
        <v>2021</v>
      </c>
      <c r="E660">
        <f>_xlfn.XLOOKUP(Table4[[#This Row],[year]],Table1[year],Table1[year_id])</f>
        <v>12</v>
      </c>
      <c r="F660" t="s">
        <v>29</v>
      </c>
      <c r="G660" t="s">
        <v>28</v>
      </c>
      <c r="H660" cm="1">
        <f t="array" ref="H660">_xlfn.XLOOKUP(Table4[[#This Row],[vehicle_segment]]&amp;Table4[[#This Row],[powertrain_type]],Table3[vehicle_segment]&amp;Table3[powertrain_type],Table3[vehicle_id])</f>
        <v>2</v>
      </c>
      <c r="I660">
        <v>37412</v>
      </c>
      <c r="J660">
        <v>154885</v>
      </c>
      <c r="K660">
        <v>21121</v>
      </c>
      <c r="L660">
        <v>213418</v>
      </c>
      <c r="M660">
        <v>17.53</v>
      </c>
      <c r="N660">
        <v>88840</v>
      </c>
      <c r="O660">
        <v>11.3</v>
      </c>
      <c r="P660">
        <v>385</v>
      </c>
      <c r="Q660">
        <v>2.153</v>
      </c>
      <c r="R660">
        <v>0.28699999999999998</v>
      </c>
      <c r="S660">
        <v>55259</v>
      </c>
      <c r="T660">
        <v>92.5</v>
      </c>
      <c r="U660">
        <v>29.8</v>
      </c>
      <c r="V660">
        <v>3444</v>
      </c>
      <c r="W660">
        <v>86.4</v>
      </c>
      <c r="X660">
        <v>-8.09</v>
      </c>
      <c r="Y660">
        <v>0</v>
      </c>
    </row>
    <row r="661" spans="1:25" x14ac:dyDescent="0.25">
      <c r="A661" t="s">
        <v>48</v>
      </c>
      <c r="B661">
        <f>_xlfn.XLOOKUP(Table4[[#This Row],[country]],Table2[country],Table2[country_id],FALSE)</f>
        <v>14</v>
      </c>
      <c r="C661" t="s">
        <v>32</v>
      </c>
      <c r="D661">
        <v>2021</v>
      </c>
      <c r="E661">
        <f>_xlfn.XLOOKUP(Table4[[#This Row],[year]],Table1[year],Table1[year_id])</f>
        <v>12</v>
      </c>
      <c r="F661" t="s">
        <v>30</v>
      </c>
      <c r="G661" t="s">
        <v>28</v>
      </c>
      <c r="H661" cm="1">
        <f t="array" ref="H661">_xlfn.XLOOKUP(Table4[[#This Row],[vehicle_segment]]&amp;Table4[[#This Row],[powertrain_type]],Table3[vehicle_segment]&amp;Table3[powertrain_type],Table3[vehicle_id])</f>
        <v>3</v>
      </c>
      <c r="I661">
        <v>23402</v>
      </c>
      <c r="J661">
        <v>60016</v>
      </c>
      <c r="K661">
        <v>5293</v>
      </c>
      <c r="L661">
        <v>88711</v>
      </c>
      <c r="M661">
        <v>26.38</v>
      </c>
      <c r="N661">
        <v>88840</v>
      </c>
      <c r="O661">
        <v>11.3</v>
      </c>
      <c r="P661">
        <v>385</v>
      </c>
      <c r="Q661">
        <v>2.153</v>
      </c>
      <c r="R661">
        <v>0.28699999999999998</v>
      </c>
      <c r="S661">
        <v>55259</v>
      </c>
      <c r="T661">
        <v>92.5</v>
      </c>
      <c r="U661">
        <v>29.8</v>
      </c>
      <c r="V661">
        <v>3444</v>
      </c>
      <c r="W661">
        <v>86.4</v>
      </c>
      <c r="X661">
        <v>-5.5</v>
      </c>
      <c r="Y661">
        <v>0</v>
      </c>
    </row>
    <row r="662" spans="1:25" x14ac:dyDescent="0.25">
      <c r="A662" t="s">
        <v>48</v>
      </c>
      <c r="B662">
        <f>_xlfn.XLOOKUP(Table4[[#This Row],[country]],Table2[country],Table2[country_id],FALSE)</f>
        <v>14</v>
      </c>
      <c r="C662" t="s">
        <v>32</v>
      </c>
      <c r="D662">
        <v>2022</v>
      </c>
      <c r="E662">
        <f>_xlfn.XLOOKUP(Table4[[#This Row],[year]],Table1[year],Table1[year_id])</f>
        <v>13</v>
      </c>
      <c r="F662" t="s">
        <v>27</v>
      </c>
      <c r="G662" t="s">
        <v>28</v>
      </c>
      <c r="H662" cm="1">
        <f t="array" ref="H662">_xlfn.XLOOKUP(Table4[[#This Row],[vehicle_segment]]&amp;Table4[[#This Row],[powertrain_type]],Table3[vehicle_segment]&amp;Table3[powertrain_type],Table3[vehicle_id])</f>
        <v>1</v>
      </c>
      <c r="I662">
        <v>3992</v>
      </c>
      <c r="J662">
        <v>26116</v>
      </c>
      <c r="K662">
        <v>17411</v>
      </c>
      <c r="L662">
        <v>47519</v>
      </c>
      <c r="M662">
        <v>8.4</v>
      </c>
      <c r="N662">
        <v>114826</v>
      </c>
      <c r="O662">
        <v>12.1</v>
      </c>
      <c r="P662">
        <v>414</v>
      </c>
      <c r="Q662">
        <v>2.153</v>
      </c>
      <c r="R662">
        <v>0.32500000000000001</v>
      </c>
      <c r="S662">
        <v>57360</v>
      </c>
      <c r="T662">
        <v>92.4</v>
      </c>
      <c r="U662">
        <v>30.3</v>
      </c>
      <c r="V662">
        <v>2910</v>
      </c>
      <c r="W662">
        <v>90.6</v>
      </c>
      <c r="X662">
        <v>20.79</v>
      </c>
      <c r="Y662">
        <v>0</v>
      </c>
    </row>
    <row r="663" spans="1:25" x14ac:dyDescent="0.25">
      <c r="A663" t="s">
        <v>48</v>
      </c>
      <c r="B663">
        <f>_xlfn.XLOOKUP(Table4[[#This Row],[country]],Table2[country],Table2[country_id],FALSE)</f>
        <v>14</v>
      </c>
      <c r="C663" t="s">
        <v>32</v>
      </c>
      <c r="D663">
        <v>2022</v>
      </c>
      <c r="E663">
        <f>_xlfn.XLOOKUP(Table4[[#This Row],[year]],Table1[year],Table1[year_id])</f>
        <v>13</v>
      </c>
      <c r="F663" t="s">
        <v>29</v>
      </c>
      <c r="G663" t="s">
        <v>28</v>
      </c>
      <c r="H663" cm="1">
        <f t="array" ref="H663">_xlfn.XLOOKUP(Table4[[#This Row],[vehicle_segment]]&amp;Table4[[#This Row],[powertrain_type]],Table3[vehicle_segment]&amp;Table3[powertrain_type],Table3[vehicle_id])</f>
        <v>2</v>
      </c>
      <c r="I663">
        <v>44907</v>
      </c>
      <c r="J663">
        <v>125140</v>
      </c>
      <c r="K663">
        <v>17065</v>
      </c>
      <c r="L663">
        <v>187112</v>
      </c>
      <c r="M663">
        <v>24</v>
      </c>
      <c r="N663">
        <v>114826</v>
      </c>
      <c r="O663">
        <v>12.1</v>
      </c>
      <c r="P663">
        <v>414</v>
      </c>
      <c r="Q663">
        <v>2.153</v>
      </c>
      <c r="R663">
        <v>0.32500000000000001</v>
      </c>
      <c r="S663">
        <v>57360</v>
      </c>
      <c r="T663">
        <v>92.4</v>
      </c>
      <c r="U663">
        <v>30.3</v>
      </c>
      <c r="V663">
        <v>2910</v>
      </c>
      <c r="W663">
        <v>90.6</v>
      </c>
      <c r="X663">
        <v>20.03</v>
      </c>
      <c r="Y663">
        <v>0</v>
      </c>
    </row>
    <row r="664" spans="1:25" x14ac:dyDescent="0.25">
      <c r="A664" t="s">
        <v>48</v>
      </c>
      <c r="B664">
        <f>_xlfn.XLOOKUP(Table4[[#This Row],[country]],Table2[country],Table2[country_id],FALSE)</f>
        <v>14</v>
      </c>
      <c r="C664" t="s">
        <v>32</v>
      </c>
      <c r="D664">
        <v>2022</v>
      </c>
      <c r="E664">
        <f>_xlfn.XLOOKUP(Table4[[#This Row],[year]],Table1[year],Table1[year_id])</f>
        <v>13</v>
      </c>
      <c r="F664" t="s">
        <v>30</v>
      </c>
      <c r="G664" t="s">
        <v>28</v>
      </c>
      <c r="H664" cm="1">
        <f t="array" ref="H664">_xlfn.XLOOKUP(Table4[[#This Row],[vehicle_segment]]&amp;Table4[[#This Row],[powertrain_type]],Table3[vehicle_segment]&amp;Table3[powertrain_type],Table3[vehicle_id])</f>
        <v>3</v>
      </c>
      <c r="I664">
        <v>27143</v>
      </c>
      <c r="J664">
        <v>46785</v>
      </c>
      <c r="K664">
        <v>4068</v>
      </c>
      <c r="L664">
        <v>77996</v>
      </c>
      <c r="M664">
        <v>34.799999999999997</v>
      </c>
      <c r="N664">
        <v>114826</v>
      </c>
      <c r="O664">
        <v>12.1</v>
      </c>
      <c r="P664">
        <v>414</v>
      </c>
      <c r="Q664">
        <v>2.153</v>
      </c>
      <c r="R664">
        <v>0.32500000000000001</v>
      </c>
      <c r="S664">
        <v>57360</v>
      </c>
      <c r="T664">
        <v>92.4</v>
      </c>
      <c r="U664">
        <v>30.3</v>
      </c>
      <c r="V664">
        <v>2910</v>
      </c>
      <c r="W664">
        <v>90.6</v>
      </c>
      <c r="X664">
        <v>15.99</v>
      </c>
      <c r="Y664">
        <v>0</v>
      </c>
    </row>
    <row r="665" spans="1:25" x14ac:dyDescent="0.25">
      <c r="A665" t="s">
        <v>48</v>
      </c>
      <c r="B665">
        <f>_xlfn.XLOOKUP(Table4[[#This Row],[country]],Table2[country],Table2[country_id],FALSE)</f>
        <v>14</v>
      </c>
      <c r="C665" t="s">
        <v>32</v>
      </c>
      <c r="D665">
        <v>2023</v>
      </c>
      <c r="E665">
        <f>_xlfn.XLOOKUP(Table4[[#This Row],[year]],Table1[year],Table1[year_id])</f>
        <v>14</v>
      </c>
      <c r="F665" t="s">
        <v>27</v>
      </c>
      <c r="G665" t="s">
        <v>28</v>
      </c>
      <c r="H665" cm="1">
        <f t="array" ref="H665">_xlfn.XLOOKUP(Table4[[#This Row],[vehicle_segment]]&amp;Table4[[#This Row],[powertrain_type]],Table3[vehicle_segment]&amp;Table3[powertrain_type],Table3[vehicle_id])</f>
        <v>1</v>
      </c>
      <c r="I665">
        <v>6254</v>
      </c>
      <c r="J665">
        <v>30479</v>
      </c>
      <c r="K665">
        <v>20320</v>
      </c>
      <c r="L665">
        <v>57053</v>
      </c>
      <c r="M665">
        <v>10.96</v>
      </c>
      <c r="N665">
        <v>145934</v>
      </c>
      <c r="O665">
        <v>14.4</v>
      </c>
      <c r="P665">
        <v>434</v>
      </c>
      <c r="Q665">
        <v>2.153</v>
      </c>
      <c r="R665">
        <v>0.33</v>
      </c>
      <c r="S665">
        <v>59804</v>
      </c>
      <c r="T665">
        <v>92.9</v>
      </c>
      <c r="U665">
        <v>29.8</v>
      </c>
      <c r="V665">
        <v>2962</v>
      </c>
      <c r="W665">
        <v>90.9</v>
      </c>
      <c r="X665">
        <v>56.66</v>
      </c>
      <c r="Y665">
        <v>0</v>
      </c>
    </row>
    <row r="666" spans="1:25" x14ac:dyDescent="0.25">
      <c r="A666" t="s">
        <v>48</v>
      </c>
      <c r="B666">
        <f>_xlfn.XLOOKUP(Table4[[#This Row],[country]],Table2[country],Table2[country_id],FALSE)</f>
        <v>14</v>
      </c>
      <c r="C666" t="s">
        <v>32</v>
      </c>
      <c r="D666">
        <v>2023</v>
      </c>
      <c r="E666">
        <f>_xlfn.XLOOKUP(Table4[[#This Row],[year]],Table1[year],Table1[year_id])</f>
        <v>14</v>
      </c>
      <c r="F666" t="s">
        <v>29</v>
      </c>
      <c r="G666" t="s">
        <v>28</v>
      </c>
      <c r="H666" cm="1">
        <f t="array" ref="H666">_xlfn.XLOOKUP(Table4[[#This Row],[vehicle_segment]]&amp;Table4[[#This Row],[powertrain_type]],Table3[vehicle_segment]&amp;Table3[powertrain_type],Table3[vehicle_id])</f>
        <v>2</v>
      </c>
      <c r="I666">
        <v>73058</v>
      </c>
      <c r="J666">
        <v>140980</v>
      </c>
      <c r="K666">
        <v>19225</v>
      </c>
      <c r="L666">
        <v>233263</v>
      </c>
      <c r="M666">
        <v>31.32</v>
      </c>
      <c r="N666">
        <v>145934</v>
      </c>
      <c r="O666">
        <v>14.4</v>
      </c>
      <c r="P666">
        <v>434</v>
      </c>
      <c r="Q666">
        <v>2.153</v>
      </c>
      <c r="R666">
        <v>0.33</v>
      </c>
      <c r="S666">
        <v>59804</v>
      </c>
      <c r="T666">
        <v>92.9</v>
      </c>
      <c r="U666">
        <v>29.8</v>
      </c>
      <c r="V666">
        <v>2962</v>
      </c>
      <c r="W666">
        <v>90.9</v>
      </c>
      <c r="X666">
        <v>62.69</v>
      </c>
      <c r="Y666">
        <v>0</v>
      </c>
    </row>
    <row r="667" spans="1:25" x14ac:dyDescent="0.25">
      <c r="A667" t="s">
        <v>48</v>
      </c>
      <c r="B667">
        <f>_xlfn.XLOOKUP(Table4[[#This Row],[country]],Table2[country],Table2[country_id],FALSE)</f>
        <v>14</v>
      </c>
      <c r="C667" t="s">
        <v>32</v>
      </c>
      <c r="D667">
        <v>2023</v>
      </c>
      <c r="E667">
        <f>_xlfn.XLOOKUP(Table4[[#This Row],[year]],Table1[year],Table1[year_id])</f>
        <v>14</v>
      </c>
      <c r="F667" t="s">
        <v>30</v>
      </c>
      <c r="G667" t="s">
        <v>34</v>
      </c>
      <c r="H667" cm="1">
        <f t="array" ref="H667">_xlfn.XLOOKUP(Table4[[#This Row],[vehicle_segment]]&amp;Table4[[#This Row],[powertrain_type]],Table3[vehicle_segment]&amp;Table3[powertrain_type],Table3[vehicle_id])</f>
        <v>4</v>
      </c>
      <c r="I667">
        <v>43592</v>
      </c>
      <c r="J667">
        <v>48204</v>
      </c>
      <c r="K667">
        <v>4192</v>
      </c>
      <c r="L667">
        <v>95988</v>
      </c>
      <c r="M667">
        <v>45.41</v>
      </c>
      <c r="N667">
        <v>145934</v>
      </c>
      <c r="O667">
        <v>14.4</v>
      </c>
      <c r="P667">
        <v>434</v>
      </c>
      <c r="Q667">
        <v>2.153</v>
      </c>
      <c r="R667">
        <v>0.33</v>
      </c>
      <c r="S667">
        <v>59804</v>
      </c>
      <c r="T667">
        <v>92.9</v>
      </c>
      <c r="U667">
        <v>29.8</v>
      </c>
      <c r="V667">
        <v>2962</v>
      </c>
      <c r="W667">
        <v>90.9</v>
      </c>
      <c r="X667">
        <v>60.6</v>
      </c>
      <c r="Y667">
        <v>0</v>
      </c>
    </row>
    <row r="668" spans="1:25" x14ac:dyDescent="0.25">
      <c r="A668" t="s">
        <v>48</v>
      </c>
      <c r="B668">
        <f>_xlfn.XLOOKUP(Table4[[#This Row],[country]],Table2[country],Table2[country_id],FALSE)</f>
        <v>14</v>
      </c>
      <c r="C668" t="s">
        <v>32</v>
      </c>
      <c r="D668">
        <v>2024</v>
      </c>
      <c r="E668">
        <f>_xlfn.XLOOKUP(Table4[[#This Row],[year]],Table1[year],Table1[year_id])</f>
        <v>15</v>
      </c>
      <c r="F668" t="s">
        <v>27</v>
      </c>
      <c r="G668" t="s">
        <v>28</v>
      </c>
      <c r="H668" cm="1">
        <f t="array" ref="H668">_xlfn.XLOOKUP(Table4[[#This Row],[vehicle_segment]]&amp;Table4[[#This Row],[powertrain_type]],Table3[vehicle_segment]&amp;Table3[powertrain_type],Table3[vehicle_id])</f>
        <v>1</v>
      </c>
      <c r="I668">
        <v>6999</v>
      </c>
      <c r="J668">
        <v>31402</v>
      </c>
      <c r="K668">
        <v>20934</v>
      </c>
      <c r="L668">
        <v>59335</v>
      </c>
      <c r="M668">
        <v>11.8</v>
      </c>
      <c r="N668">
        <v>174072</v>
      </c>
      <c r="O668">
        <v>15.2</v>
      </c>
      <c r="P668">
        <v>474</v>
      </c>
      <c r="Q668">
        <v>2.153</v>
      </c>
      <c r="R668">
        <v>0.30599999999999999</v>
      </c>
      <c r="S668">
        <v>60653</v>
      </c>
      <c r="T668">
        <v>93.1</v>
      </c>
      <c r="U668">
        <v>28.7</v>
      </c>
      <c r="V668">
        <v>2947</v>
      </c>
      <c r="W668">
        <v>92.7</v>
      </c>
      <c r="X668">
        <v>11.91</v>
      </c>
      <c r="Y668">
        <v>0</v>
      </c>
    </row>
    <row r="669" spans="1:25" x14ac:dyDescent="0.25">
      <c r="A669" t="s">
        <v>48</v>
      </c>
      <c r="B669">
        <f>_xlfn.XLOOKUP(Table4[[#This Row],[country]],Table2[country],Table2[country_id],FALSE)</f>
        <v>14</v>
      </c>
      <c r="C669" t="s">
        <v>32</v>
      </c>
      <c r="D669">
        <v>2024</v>
      </c>
      <c r="E669">
        <f>_xlfn.XLOOKUP(Table4[[#This Row],[year]],Table1[year],Table1[year_id])</f>
        <v>15</v>
      </c>
      <c r="F669" t="s">
        <v>29</v>
      </c>
      <c r="G669" t="s">
        <v>28</v>
      </c>
      <c r="H669" cm="1">
        <f t="array" ref="H669">_xlfn.XLOOKUP(Table4[[#This Row],[vehicle_segment]]&amp;Table4[[#This Row],[powertrain_type]],Table3[vehicle_segment]&amp;Table3[powertrain_type],Table3[vehicle_id])</f>
        <v>2</v>
      </c>
      <c r="I669">
        <v>80462</v>
      </c>
      <c r="J669">
        <v>139303</v>
      </c>
      <c r="K669">
        <v>18996</v>
      </c>
      <c r="L669">
        <v>238761</v>
      </c>
      <c r="M669">
        <v>33.700000000000003</v>
      </c>
      <c r="N669">
        <v>174072</v>
      </c>
      <c r="O669">
        <v>15.2</v>
      </c>
      <c r="P669">
        <v>474</v>
      </c>
      <c r="Q669">
        <v>2.153</v>
      </c>
      <c r="R669">
        <v>0.30599999999999999</v>
      </c>
      <c r="S669">
        <v>60653</v>
      </c>
      <c r="T669">
        <v>93.1</v>
      </c>
      <c r="U669">
        <v>28.7</v>
      </c>
      <c r="V669">
        <v>2947</v>
      </c>
      <c r="W669">
        <v>92.7</v>
      </c>
      <c r="X669">
        <v>10.130000000000001</v>
      </c>
      <c r="Y669">
        <v>0</v>
      </c>
    </row>
    <row r="670" spans="1:25" x14ac:dyDescent="0.25">
      <c r="A670" t="s">
        <v>48</v>
      </c>
      <c r="B670">
        <f>_xlfn.XLOOKUP(Table4[[#This Row],[country]],Table2[country],Table2[country_id],FALSE)</f>
        <v>14</v>
      </c>
      <c r="C670" t="s">
        <v>32</v>
      </c>
      <c r="D670">
        <v>2024</v>
      </c>
      <c r="E670">
        <f>_xlfn.XLOOKUP(Table4[[#This Row],[year]],Table1[year],Table1[year_id])</f>
        <v>15</v>
      </c>
      <c r="F670" t="s">
        <v>30</v>
      </c>
      <c r="G670" t="s">
        <v>34</v>
      </c>
      <c r="H670" cm="1">
        <f t="array" ref="H670">_xlfn.XLOOKUP(Table4[[#This Row],[vehicle_segment]]&amp;Table4[[#This Row],[powertrain_type]],Table3[vehicle_segment]&amp;Table3[powertrain_type],Table3[vehicle_id])</f>
        <v>4</v>
      </c>
      <c r="I670">
        <v>48474</v>
      </c>
      <c r="J670">
        <v>46668</v>
      </c>
      <c r="K670">
        <v>4058</v>
      </c>
      <c r="L670">
        <v>99200</v>
      </c>
      <c r="M670">
        <v>48.86</v>
      </c>
      <c r="N670">
        <v>174072</v>
      </c>
      <c r="O670">
        <v>15.2</v>
      </c>
      <c r="P670">
        <v>474</v>
      </c>
      <c r="Q670">
        <v>2.153</v>
      </c>
      <c r="R670">
        <v>0.30599999999999999</v>
      </c>
      <c r="S670">
        <v>60653</v>
      </c>
      <c r="T670">
        <v>93.1</v>
      </c>
      <c r="U670">
        <v>28.7</v>
      </c>
      <c r="V670">
        <v>2947</v>
      </c>
      <c r="W670">
        <v>92.7</v>
      </c>
      <c r="X670">
        <v>11.2</v>
      </c>
      <c r="Y670">
        <v>0</v>
      </c>
    </row>
    <row r="671" spans="1:25" x14ac:dyDescent="0.25">
      <c r="A671" t="s">
        <v>48</v>
      </c>
      <c r="B671">
        <f>_xlfn.XLOOKUP(Table4[[#This Row],[country]],Table2[country],Table2[country_id],FALSE)</f>
        <v>14</v>
      </c>
      <c r="C671" t="s">
        <v>32</v>
      </c>
      <c r="D671">
        <v>2025</v>
      </c>
      <c r="E671">
        <f>_xlfn.XLOOKUP(Table4[[#This Row],[year]],Table1[year],Table1[year_id])</f>
        <v>16</v>
      </c>
      <c r="F671" t="s">
        <v>27</v>
      </c>
      <c r="G671" t="s">
        <v>28</v>
      </c>
      <c r="H671" cm="1">
        <f t="array" ref="H671">_xlfn.XLOOKUP(Table4[[#This Row],[vehicle_segment]]&amp;Table4[[#This Row],[powertrain_type]],Table3[vehicle_segment]&amp;Table3[powertrain_type],Table3[vehicle_id])</f>
        <v>1</v>
      </c>
      <c r="I671">
        <v>7865</v>
      </c>
      <c r="J671">
        <v>32150</v>
      </c>
      <c r="K671">
        <v>21434</v>
      </c>
      <c r="L671">
        <v>61449</v>
      </c>
      <c r="M671">
        <v>12.8</v>
      </c>
      <c r="N671">
        <v>196516</v>
      </c>
      <c r="O671">
        <v>18.5</v>
      </c>
      <c r="P671">
        <v>488</v>
      </c>
      <c r="Q671">
        <v>2.08</v>
      </c>
      <c r="R671">
        <v>0.27900000000000003</v>
      </c>
      <c r="S671">
        <v>63891</v>
      </c>
      <c r="T671">
        <v>92.7</v>
      </c>
      <c r="U671">
        <v>27.6</v>
      </c>
      <c r="V671">
        <v>2934</v>
      </c>
      <c r="W671">
        <v>94.9</v>
      </c>
      <c r="X671">
        <v>12.37</v>
      </c>
      <c r="Y671">
        <v>0</v>
      </c>
    </row>
    <row r="672" spans="1:25" x14ac:dyDescent="0.25">
      <c r="A672" t="s">
        <v>48</v>
      </c>
      <c r="B672">
        <f>_xlfn.XLOOKUP(Table4[[#This Row],[country]],Table2[country],Table2[country_id],FALSE)</f>
        <v>14</v>
      </c>
      <c r="C672" t="s">
        <v>32</v>
      </c>
      <c r="D672">
        <v>2025</v>
      </c>
      <c r="E672">
        <f>_xlfn.XLOOKUP(Table4[[#This Row],[year]],Table1[year],Table1[year_id])</f>
        <v>16</v>
      </c>
      <c r="F672" t="s">
        <v>29</v>
      </c>
      <c r="G672" t="s">
        <v>28</v>
      </c>
      <c r="H672" cm="1">
        <f t="array" ref="H672">_xlfn.XLOOKUP(Table4[[#This Row],[vehicle_segment]]&amp;Table4[[#This Row],[powertrain_type]],Table3[vehicle_segment]&amp;Table3[powertrain_type],Table3[vehicle_id])</f>
        <v>2</v>
      </c>
      <c r="I672">
        <v>90352</v>
      </c>
      <c r="J672">
        <v>137908</v>
      </c>
      <c r="K672">
        <v>18806</v>
      </c>
      <c r="L672">
        <v>247066</v>
      </c>
      <c r="M672">
        <v>36.57</v>
      </c>
      <c r="N672">
        <v>196516</v>
      </c>
      <c r="O672">
        <v>18.5</v>
      </c>
      <c r="P672">
        <v>488</v>
      </c>
      <c r="Q672">
        <v>2.08</v>
      </c>
      <c r="R672">
        <v>0.27900000000000003</v>
      </c>
      <c r="S672">
        <v>63891</v>
      </c>
      <c r="T672">
        <v>92.7</v>
      </c>
      <c r="U672">
        <v>27.6</v>
      </c>
      <c r="V672">
        <v>2934</v>
      </c>
      <c r="W672">
        <v>94.9</v>
      </c>
      <c r="X672">
        <v>12.29</v>
      </c>
      <c r="Y672">
        <v>0</v>
      </c>
    </row>
    <row r="673" spans="1:25" x14ac:dyDescent="0.25">
      <c r="A673" t="s">
        <v>48</v>
      </c>
      <c r="B673">
        <f>_xlfn.XLOOKUP(Table4[[#This Row],[country]],Table2[country],Table2[country_id],FALSE)</f>
        <v>14</v>
      </c>
      <c r="C673" t="s">
        <v>32</v>
      </c>
      <c r="D673">
        <v>2025</v>
      </c>
      <c r="E673">
        <f>_xlfn.XLOOKUP(Table4[[#This Row],[year]],Table1[year],Table1[year_id])</f>
        <v>16</v>
      </c>
      <c r="F673" t="s">
        <v>30</v>
      </c>
      <c r="G673" t="s">
        <v>34</v>
      </c>
      <c r="H673" cm="1">
        <f t="array" ref="H673">_xlfn.XLOOKUP(Table4[[#This Row],[vehicle_segment]]&amp;Table4[[#This Row],[powertrain_type]],Table3[vehicle_segment]&amp;Table3[powertrain_type],Table3[vehicle_id])</f>
        <v>4</v>
      </c>
      <c r="I673">
        <v>54703</v>
      </c>
      <c r="J673">
        <v>44581</v>
      </c>
      <c r="K673">
        <v>3877</v>
      </c>
      <c r="L673">
        <v>103161</v>
      </c>
      <c r="M673">
        <v>53.03</v>
      </c>
      <c r="N673">
        <v>196516</v>
      </c>
      <c r="O673">
        <v>18.5</v>
      </c>
      <c r="P673">
        <v>488</v>
      </c>
      <c r="Q673">
        <v>2.08</v>
      </c>
      <c r="R673">
        <v>0.27900000000000003</v>
      </c>
      <c r="S673">
        <v>63891</v>
      </c>
      <c r="T673">
        <v>92.7</v>
      </c>
      <c r="U673">
        <v>27.6</v>
      </c>
      <c r="V673">
        <v>2934</v>
      </c>
      <c r="W673">
        <v>94.9</v>
      </c>
      <c r="X673">
        <v>12.85</v>
      </c>
      <c r="Y673">
        <v>1</v>
      </c>
    </row>
    <row r="674" spans="1:25" x14ac:dyDescent="0.25">
      <c r="A674" t="s">
        <v>49</v>
      </c>
      <c r="B674">
        <f>_xlfn.XLOOKUP(Table4[[#This Row],[country]],Table2[country],Table2[country_id],FALSE)</f>
        <v>15</v>
      </c>
      <c r="C674" t="s">
        <v>32</v>
      </c>
      <c r="D674">
        <v>2010</v>
      </c>
      <c r="E674">
        <f>_xlfn.XLOOKUP(Table4[[#This Row],[year]],Table1[year],Table1[year_id])</f>
        <v>1</v>
      </c>
      <c r="F674" t="s">
        <v>27</v>
      </c>
      <c r="G674" t="s">
        <v>28</v>
      </c>
      <c r="H674" cm="1">
        <f t="array" ref="H674">_xlfn.XLOOKUP(Table4[[#This Row],[vehicle_segment]]&amp;Table4[[#This Row],[powertrain_type]],Table3[vehicle_segment]&amp;Table3[powertrain_type],Table3[vehicle_id])</f>
        <v>1</v>
      </c>
      <c r="I674">
        <v>20</v>
      </c>
      <c r="J674">
        <v>11782</v>
      </c>
      <c r="K674">
        <v>7854</v>
      </c>
      <c r="L674">
        <v>19656</v>
      </c>
      <c r="M674">
        <v>0.1</v>
      </c>
      <c r="N674">
        <v>205</v>
      </c>
      <c r="O674">
        <v>5.0999999999999996</v>
      </c>
      <c r="P674">
        <v>128</v>
      </c>
      <c r="Q674">
        <v>1.8</v>
      </c>
      <c r="R674">
        <v>0.12</v>
      </c>
      <c r="S674">
        <v>87808</v>
      </c>
      <c r="T674">
        <v>79.400000000000006</v>
      </c>
      <c r="U674">
        <v>10.7</v>
      </c>
      <c r="V674">
        <v>0</v>
      </c>
      <c r="W674">
        <v>69.900000000000006</v>
      </c>
      <c r="X674">
        <v>0</v>
      </c>
      <c r="Y674">
        <v>0</v>
      </c>
    </row>
    <row r="675" spans="1:25" x14ac:dyDescent="0.25">
      <c r="A675" t="s">
        <v>49</v>
      </c>
      <c r="B675">
        <f>_xlfn.XLOOKUP(Table4[[#This Row],[country]],Table2[country],Table2[country_id],FALSE)</f>
        <v>15</v>
      </c>
      <c r="C675" t="s">
        <v>32</v>
      </c>
      <c r="D675">
        <v>2010</v>
      </c>
      <c r="E675">
        <f>_xlfn.XLOOKUP(Table4[[#This Row],[year]],Table1[year],Table1[year_id])</f>
        <v>1</v>
      </c>
      <c r="F675" t="s">
        <v>29</v>
      </c>
      <c r="G675" t="s">
        <v>28</v>
      </c>
      <c r="H675" cm="1">
        <f t="array" ref="H675">_xlfn.XLOOKUP(Table4[[#This Row],[vehicle_segment]]&amp;Table4[[#This Row],[powertrain_type]],Table3[vehicle_segment]&amp;Table3[powertrain_type],Table3[vehicle_id])</f>
        <v>2</v>
      </c>
      <c r="I675">
        <v>230</v>
      </c>
      <c r="J675">
        <v>69659</v>
      </c>
      <c r="K675">
        <v>9499</v>
      </c>
      <c r="L675">
        <v>79388</v>
      </c>
      <c r="M675">
        <v>0.28999999999999998</v>
      </c>
      <c r="N675">
        <v>205</v>
      </c>
      <c r="O675">
        <v>5.0999999999999996</v>
      </c>
      <c r="P675">
        <v>128</v>
      </c>
      <c r="Q675">
        <v>1.8</v>
      </c>
      <c r="R675">
        <v>0.12</v>
      </c>
      <c r="S675">
        <v>87808</v>
      </c>
      <c r="T675">
        <v>79.400000000000006</v>
      </c>
      <c r="U675">
        <v>10.7</v>
      </c>
      <c r="V675">
        <v>0</v>
      </c>
      <c r="W675">
        <v>69.900000000000006</v>
      </c>
      <c r="X675">
        <v>0</v>
      </c>
      <c r="Y675">
        <v>0</v>
      </c>
    </row>
    <row r="676" spans="1:25" x14ac:dyDescent="0.25">
      <c r="A676" t="s">
        <v>49</v>
      </c>
      <c r="B676">
        <f>_xlfn.XLOOKUP(Table4[[#This Row],[country]],Table2[country],Table2[country_id],FALSE)</f>
        <v>15</v>
      </c>
      <c r="C676" t="s">
        <v>32</v>
      </c>
      <c r="D676">
        <v>2010</v>
      </c>
      <c r="E676">
        <f>_xlfn.XLOOKUP(Table4[[#This Row],[year]],Table1[year],Table1[year_id])</f>
        <v>1</v>
      </c>
      <c r="F676" t="s">
        <v>30</v>
      </c>
      <c r="G676" t="s">
        <v>28</v>
      </c>
      <c r="H676" cm="1">
        <f t="array" ref="H676">_xlfn.XLOOKUP(Table4[[#This Row],[vehicle_segment]]&amp;Table4[[#This Row],[powertrain_type]],Table3[vehicle_segment]&amp;Table3[powertrain_type],Table3[vehicle_id])</f>
        <v>3</v>
      </c>
      <c r="I676">
        <v>141</v>
      </c>
      <c r="J676">
        <v>30624</v>
      </c>
      <c r="K676">
        <v>2663</v>
      </c>
      <c r="L676">
        <v>33428</v>
      </c>
      <c r="M676">
        <v>0.42</v>
      </c>
      <c r="N676">
        <v>205</v>
      </c>
      <c r="O676">
        <v>5.0999999999999996</v>
      </c>
      <c r="P676">
        <v>128</v>
      </c>
      <c r="Q676">
        <v>1.8</v>
      </c>
      <c r="R676">
        <v>0.12</v>
      </c>
      <c r="S676">
        <v>87808</v>
      </c>
      <c r="T676">
        <v>79.400000000000006</v>
      </c>
      <c r="U676">
        <v>10.7</v>
      </c>
      <c r="V676">
        <v>0</v>
      </c>
      <c r="W676">
        <v>69.900000000000006</v>
      </c>
      <c r="X676">
        <v>0</v>
      </c>
      <c r="Y676">
        <v>0</v>
      </c>
    </row>
    <row r="677" spans="1:25" x14ac:dyDescent="0.25">
      <c r="A677" t="s">
        <v>49</v>
      </c>
      <c r="B677">
        <f>_xlfn.XLOOKUP(Table4[[#This Row],[country]],Table2[country],Table2[country_id],FALSE)</f>
        <v>15</v>
      </c>
      <c r="C677" t="s">
        <v>32</v>
      </c>
      <c r="D677">
        <v>2011</v>
      </c>
      <c r="E677">
        <f>_xlfn.XLOOKUP(Table4[[#This Row],[year]],Table1[year],Table1[year_id])</f>
        <v>2</v>
      </c>
      <c r="F677" t="s">
        <v>27</v>
      </c>
      <c r="G677" t="s">
        <v>28</v>
      </c>
      <c r="H677" cm="1">
        <f t="array" ref="H677">_xlfn.XLOOKUP(Table4[[#This Row],[vehicle_segment]]&amp;Table4[[#This Row],[powertrain_type]],Table3[vehicle_segment]&amp;Table3[powertrain_type],Table3[vehicle_id])</f>
        <v>1</v>
      </c>
      <c r="I677">
        <v>115</v>
      </c>
      <c r="J677">
        <v>12425</v>
      </c>
      <c r="K677">
        <v>8283</v>
      </c>
      <c r="L677">
        <v>20823</v>
      </c>
      <c r="M677">
        <v>0.55000000000000004</v>
      </c>
      <c r="N677">
        <v>797</v>
      </c>
      <c r="O677">
        <v>8.6</v>
      </c>
      <c r="P677">
        <v>130</v>
      </c>
      <c r="Q677">
        <v>1.7669999999999999</v>
      </c>
      <c r="R677">
        <v>0.113</v>
      </c>
      <c r="S677">
        <v>86544</v>
      </c>
      <c r="T677">
        <v>79.5</v>
      </c>
      <c r="U677">
        <v>10.5</v>
      </c>
      <c r="V677">
        <v>0</v>
      </c>
      <c r="W677">
        <v>72.7</v>
      </c>
      <c r="X677">
        <v>300</v>
      </c>
      <c r="Y677">
        <v>0</v>
      </c>
    </row>
    <row r="678" spans="1:25" x14ac:dyDescent="0.25">
      <c r="A678" t="s">
        <v>49</v>
      </c>
      <c r="B678">
        <f>_xlfn.XLOOKUP(Table4[[#This Row],[country]],Table2[country],Table2[country_id],FALSE)</f>
        <v>15</v>
      </c>
      <c r="C678" t="s">
        <v>32</v>
      </c>
      <c r="D678">
        <v>2011</v>
      </c>
      <c r="E678">
        <f>_xlfn.XLOOKUP(Table4[[#This Row],[year]],Table1[year],Table1[year_id])</f>
        <v>2</v>
      </c>
      <c r="F678" t="s">
        <v>29</v>
      </c>
      <c r="G678" t="s">
        <v>28</v>
      </c>
      <c r="H678" cm="1">
        <f t="array" ref="H678">_xlfn.XLOOKUP(Table4[[#This Row],[vehicle_segment]]&amp;Table4[[#This Row],[powertrain_type]],Table3[vehicle_segment]&amp;Table3[powertrain_type],Table3[vehicle_id])</f>
        <v>2</v>
      </c>
      <c r="I678">
        <v>1294</v>
      </c>
      <c r="J678">
        <v>70947</v>
      </c>
      <c r="K678">
        <v>9675</v>
      </c>
      <c r="L678">
        <v>81916</v>
      </c>
      <c r="M678">
        <v>1.58</v>
      </c>
      <c r="N678">
        <v>797</v>
      </c>
      <c r="O678">
        <v>8.6</v>
      </c>
      <c r="P678">
        <v>130</v>
      </c>
      <c r="Q678">
        <v>1.7669999999999999</v>
      </c>
      <c r="R678">
        <v>0.113</v>
      </c>
      <c r="S678">
        <v>86544</v>
      </c>
      <c r="T678">
        <v>79.5</v>
      </c>
      <c r="U678">
        <v>10.5</v>
      </c>
      <c r="V678">
        <v>0</v>
      </c>
      <c r="W678">
        <v>72.7</v>
      </c>
      <c r="X678">
        <v>300</v>
      </c>
      <c r="Y678">
        <v>0</v>
      </c>
    </row>
    <row r="679" spans="1:25" x14ac:dyDescent="0.25">
      <c r="A679" t="s">
        <v>49</v>
      </c>
      <c r="B679">
        <f>_xlfn.XLOOKUP(Table4[[#This Row],[country]],Table2[country],Table2[country_id],FALSE)</f>
        <v>15</v>
      </c>
      <c r="C679" t="s">
        <v>32</v>
      </c>
      <c r="D679">
        <v>2011</v>
      </c>
      <c r="E679">
        <f>_xlfn.XLOOKUP(Table4[[#This Row],[year]],Table1[year],Table1[year_id])</f>
        <v>2</v>
      </c>
      <c r="F679" t="s">
        <v>30</v>
      </c>
      <c r="G679" t="s">
        <v>28</v>
      </c>
      <c r="H679" cm="1">
        <f t="array" ref="H679">_xlfn.XLOOKUP(Table4[[#This Row],[vehicle_segment]]&amp;Table4[[#This Row],[powertrain_type]],Table3[vehicle_segment]&amp;Table3[powertrain_type],Table3[vehicle_id])</f>
        <v>3</v>
      </c>
      <c r="I679">
        <v>785</v>
      </c>
      <c r="J679">
        <v>30812</v>
      </c>
      <c r="K679">
        <v>2679</v>
      </c>
      <c r="L679">
        <v>34276</v>
      </c>
      <c r="M679">
        <v>2.29</v>
      </c>
      <c r="N679">
        <v>797</v>
      </c>
      <c r="O679">
        <v>8.6</v>
      </c>
      <c r="P679">
        <v>130</v>
      </c>
      <c r="Q679">
        <v>1.7669999999999999</v>
      </c>
      <c r="R679">
        <v>0.113</v>
      </c>
      <c r="S679">
        <v>86544</v>
      </c>
      <c r="T679">
        <v>79.5</v>
      </c>
      <c r="U679">
        <v>10.5</v>
      </c>
      <c r="V679">
        <v>0</v>
      </c>
      <c r="W679">
        <v>72.7</v>
      </c>
      <c r="X679">
        <v>300</v>
      </c>
      <c r="Y679">
        <v>0</v>
      </c>
    </row>
    <row r="680" spans="1:25" x14ac:dyDescent="0.25">
      <c r="A680" t="s">
        <v>49</v>
      </c>
      <c r="B680">
        <f>_xlfn.XLOOKUP(Table4[[#This Row],[country]],Table2[country],Table2[country_id],FALSE)</f>
        <v>15</v>
      </c>
      <c r="C680" t="s">
        <v>32</v>
      </c>
      <c r="D680">
        <v>2012</v>
      </c>
      <c r="E680">
        <f>_xlfn.XLOOKUP(Table4[[#This Row],[year]],Table1[year],Table1[year_id])</f>
        <v>3</v>
      </c>
      <c r="F680" t="s">
        <v>27</v>
      </c>
      <c r="G680" t="s">
        <v>28</v>
      </c>
      <c r="H680" cm="1">
        <f t="array" ref="H680">_xlfn.XLOOKUP(Table4[[#This Row],[vehicle_segment]]&amp;Table4[[#This Row],[powertrain_type]],Table3[vehicle_segment]&amp;Table3[powertrain_type],Table3[vehicle_id])</f>
        <v>1</v>
      </c>
      <c r="I680">
        <v>209</v>
      </c>
      <c r="J680">
        <v>12631</v>
      </c>
      <c r="K680">
        <v>8421</v>
      </c>
      <c r="L680">
        <v>21261</v>
      </c>
      <c r="M680">
        <v>0.98</v>
      </c>
      <c r="N680">
        <v>1367</v>
      </c>
      <c r="O680">
        <v>9.6999999999999993</v>
      </c>
      <c r="P680">
        <v>146</v>
      </c>
      <c r="Q680">
        <v>1.7130000000000001</v>
      </c>
      <c r="R680">
        <v>0.108</v>
      </c>
      <c r="S680">
        <v>82489</v>
      </c>
      <c r="T680">
        <v>79.7</v>
      </c>
      <c r="U680">
        <v>10.3</v>
      </c>
      <c r="V680">
        <v>0</v>
      </c>
      <c r="W680">
        <v>75</v>
      </c>
      <c r="X680">
        <v>81.739999999999995</v>
      </c>
      <c r="Y680">
        <v>0</v>
      </c>
    </row>
    <row r="681" spans="1:25" x14ac:dyDescent="0.25">
      <c r="A681" t="s">
        <v>49</v>
      </c>
      <c r="B681">
        <f>_xlfn.XLOOKUP(Table4[[#This Row],[country]],Table2[country],Table2[country_id],FALSE)</f>
        <v>15</v>
      </c>
      <c r="C681" t="s">
        <v>32</v>
      </c>
      <c r="D681">
        <v>2012</v>
      </c>
      <c r="E681">
        <f>_xlfn.XLOOKUP(Table4[[#This Row],[year]],Table1[year],Table1[year_id])</f>
        <v>3</v>
      </c>
      <c r="F681" t="s">
        <v>29</v>
      </c>
      <c r="G681" t="s">
        <v>28</v>
      </c>
      <c r="H681" cm="1">
        <f t="array" ref="H681">_xlfn.XLOOKUP(Table4[[#This Row],[vehicle_segment]]&amp;Table4[[#This Row],[powertrain_type]],Table3[vehicle_segment]&amp;Table3[powertrain_type],Table3[vehicle_id])</f>
        <v>2</v>
      </c>
      <c r="I681">
        <v>2373</v>
      </c>
      <c r="J681">
        <v>72230</v>
      </c>
      <c r="K681">
        <v>9849</v>
      </c>
      <c r="L681">
        <v>84452</v>
      </c>
      <c r="M681">
        <v>2.81</v>
      </c>
      <c r="N681">
        <v>1367</v>
      </c>
      <c r="O681">
        <v>9.6999999999999993</v>
      </c>
      <c r="P681">
        <v>146</v>
      </c>
      <c r="Q681">
        <v>1.7130000000000001</v>
      </c>
      <c r="R681">
        <v>0.108</v>
      </c>
      <c r="S681">
        <v>82489</v>
      </c>
      <c r="T681">
        <v>79.7</v>
      </c>
      <c r="U681">
        <v>10.3</v>
      </c>
      <c r="V681">
        <v>0</v>
      </c>
      <c r="W681">
        <v>75</v>
      </c>
      <c r="X681">
        <v>83.38</v>
      </c>
      <c r="Y681">
        <v>0</v>
      </c>
    </row>
    <row r="682" spans="1:25" x14ac:dyDescent="0.25">
      <c r="A682" t="s">
        <v>49</v>
      </c>
      <c r="B682">
        <f>_xlfn.XLOOKUP(Table4[[#This Row],[country]],Table2[country],Table2[country_id],FALSE)</f>
        <v>15</v>
      </c>
      <c r="C682" t="s">
        <v>32</v>
      </c>
      <c r="D682">
        <v>2012</v>
      </c>
      <c r="E682">
        <f>_xlfn.XLOOKUP(Table4[[#This Row],[year]],Table1[year],Table1[year_id])</f>
        <v>3</v>
      </c>
      <c r="F682" t="s">
        <v>30</v>
      </c>
      <c r="G682" t="s">
        <v>28</v>
      </c>
      <c r="H682" cm="1">
        <f t="array" ref="H682">_xlfn.XLOOKUP(Table4[[#This Row],[vehicle_segment]]&amp;Table4[[#This Row],[powertrain_type]],Table3[vehicle_segment]&amp;Table3[powertrain_type],Table3[vehicle_id])</f>
        <v>3</v>
      </c>
      <c r="I682">
        <v>1414</v>
      </c>
      <c r="J682">
        <v>30618</v>
      </c>
      <c r="K682">
        <v>2662</v>
      </c>
      <c r="L682">
        <v>34694</v>
      </c>
      <c r="M682">
        <v>4.08</v>
      </c>
      <c r="N682">
        <v>1367</v>
      </c>
      <c r="O682">
        <v>9.6999999999999993</v>
      </c>
      <c r="P682">
        <v>146</v>
      </c>
      <c r="Q682">
        <v>1.7130000000000001</v>
      </c>
      <c r="R682">
        <v>0.108</v>
      </c>
      <c r="S682">
        <v>82489</v>
      </c>
      <c r="T682">
        <v>79.7</v>
      </c>
      <c r="U682">
        <v>10.3</v>
      </c>
      <c r="V682">
        <v>0</v>
      </c>
      <c r="W682">
        <v>75</v>
      </c>
      <c r="X682">
        <v>80.13</v>
      </c>
      <c r="Y682">
        <v>0</v>
      </c>
    </row>
    <row r="683" spans="1:25" x14ac:dyDescent="0.25">
      <c r="A683" t="s">
        <v>49</v>
      </c>
      <c r="B683">
        <f>_xlfn.XLOOKUP(Table4[[#This Row],[country]],Table2[country],Table2[country_id],FALSE)</f>
        <v>15</v>
      </c>
      <c r="C683" t="s">
        <v>32</v>
      </c>
      <c r="D683">
        <v>2013</v>
      </c>
      <c r="E683">
        <f>_xlfn.XLOOKUP(Table4[[#This Row],[year]],Table1[year],Table1[year_id])</f>
        <v>4</v>
      </c>
      <c r="F683" t="s">
        <v>27</v>
      </c>
      <c r="G683" t="s">
        <v>28</v>
      </c>
      <c r="H683" cm="1">
        <f t="array" ref="H683">_xlfn.XLOOKUP(Table4[[#This Row],[vehicle_segment]]&amp;Table4[[#This Row],[powertrain_type]],Table3[vehicle_segment]&amp;Table3[powertrain_type],Table3[vehicle_id])</f>
        <v>1</v>
      </c>
      <c r="I683">
        <v>584</v>
      </c>
      <c r="J683">
        <v>12158</v>
      </c>
      <c r="K683">
        <v>8106</v>
      </c>
      <c r="L683">
        <v>20848</v>
      </c>
      <c r="M683">
        <v>2.8</v>
      </c>
      <c r="N683">
        <v>1841</v>
      </c>
      <c r="O683">
        <v>13</v>
      </c>
      <c r="P683">
        <v>156</v>
      </c>
      <c r="Q683">
        <v>1.637</v>
      </c>
      <c r="R683">
        <v>0.10299999999999999</v>
      </c>
      <c r="S683">
        <v>81142</v>
      </c>
      <c r="T683">
        <v>80.2</v>
      </c>
      <c r="U683">
        <v>10.199999999999999</v>
      </c>
      <c r="V683">
        <v>0</v>
      </c>
      <c r="W683">
        <v>77.7</v>
      </c>
      <c r="X683">
        <v>179.43</v>
      </c>
      <c r="Y683">
        <v>0</v>
      </c>
    </row>
    <row r="684" spans="1:25" x14ac:dyDescent="0.25">
      <c r="A684" t="s">
        <v>49</v>
      </c>
      <c r="B684">
        <f>_xlfn.XLOOKUP(Table4[[#This Row],[country]],Table2[country],Table2[country_id],FALSE)</f>
        <v>15</v>
      </c>
      <c r="C684" t="s">
        <v>32</v>
      </c>
      <c r="D684">
        <v>2013</v>
      </c>
      <c r="E684">
        <f>_xlfn.XLOOKUP(Table4[[#This Row],[year]],Table1[year],Table1[year_id])</f>
        <v>4</v>
      </c>
      <c r="F684" t="s">
        <v>29</v>
      </c>
      <c r="G684" t="s">
        <v>28</v>
      </c>
      <c r="H684" cm="1">
        <f t="array" ref="H684">_xlfn.XLOOKUP(Table4[[#This Row],[vehicle_segment]]&amp;Table4[[#This Row],[powertrain_type]],Table3[vehicle_segment]&amp;Table3[powertrain_type],Table3[vehicle_id])</f>
        <v>2</v>
      </c>
      <c r="I684">
        <v>6809</v>
      </c>
      <c r="J684">
        <v>68819</v>
      </c>
      <c r="K684">
        <v>9384</v>
      </c>
      <c r="L684">
        <v>85012</v>
      </c>
      <c r="M684">
        <v>8.01</v>
      </c>
      <c r="N684">
        <v>1841</v>
      </c>
      <c r="O684">
        <v>13</v>
      </c>
      <c r="P684">
        <v>156</v>
      </c>
      <c r="Q684">
        <v>1.637</v>
      </c>
      <c r="R684">
        <v>0.10299999999999999</v>
      </c>
      <c r="S684">
        <v>81142</v>
      </c>
      <c r="T684">
        <v>80.2</v>
      </c>
      <c r="U684">
        <v>10.199999999999999</v>
      </c>
      <c r="V684">
        <v>0</v>
      </c>
      <c r="W684">
        <v>77.7</v>
      </c>
      <c r="X684">
        <v>186.94</v>
      </c>
      <c r="Y684">
        <v>0</v>
      </c>
    </row>
    <row r="685" spans="1:25" x14ac:dyDescent="0.25">
      <c r="A685" t="s">
        <v>49</v>
      </c>
      <c r="B685">
        <f>_xlfn.XLOOKUP(Table4[[#This Row],[country]],Table2[country],Table2[country_id],FALSE)</f>
        <v>15</v>
      </c>
      <c r="C685" t="s">
        <v>32</v>
      </c>
      <c r="D685">
        <v>2013</v>
      </c>
      <c r="E685">
        <f>_xlfn.XLOOKUP(Table4[[#This Row],[year]],Table1[year],Table1[year_id])</f>
        <v>4</v>
      </c>
      <c r="F685" t="s">
        <v>30</v>
      </c>
      <c r="G685" t="s">
        <v>28</v>
      </c>
      <c r="H685" cm="1">
        <f t="array" ref="H685">_xlfn.XLOOKUP(Table4[[#This Row],[vehicle_segment]]&amp;Table4[[#This Row],[powertrain_type]],Table3[vehicle_segment]&amp;Table3[powertrain_type],Table3[vehicle_id])</f>
        <v>3</v>
      </c>
      <c r="I685">
        <v>4015</v>
      </c>
      <c r="J685">
        <v>28106</v>
      </c>
      <c r="K685">
        <v>2444</v>
      </c>
      <c r="L685">
        <v>34565</v>
      </c>
      <c r="M685">
        <v>11.62</v>
      </c>
      <c r="N685">
        <v>1841</v>
      </c>
      <c r="O685">
        <v>13</v>
      </c>
      <c r="P685">
        <v>156</v>
      </c>
      <c r="Q685">
        <v>1.637</v>
      </c>
      <c r="R685">
        <v>0.10299999999999999</v>
      </c>
      <c r="S685">
        <v>81142</v>
      </c>
      <c r="T685">
        <v>80.2</v>
      </c>
      <c r="U685">
        <v>10.199999999999999</v>
      </c>
      <c r="V685">
        <v>0</v>
      </c>
      <c r="W685">
        <v>77.7</v>
      </c>
      <c r="X685">
        <v>183.95</v>
      </c>
      <c r="Y685">
        <v>0</v>
      </c>
    </row>
    <row r="686" spans="1:25" x14ac:dyDescent="0.25">
      <c r="A686" t="s">
        <v>49</v>
      </c>
      <c r="B686">
        <f>_xlfn.XLOOKUP(Table4[[#This Row],[country]],Table2[country],Table2[country_id],FALSE)</f>
        <v>15</v>
      </c>
      <c r="C686" t="s">
        <v>32</v>
      </c>
      <c r="D686">
        <v>2014</v>
      </c>
      <c r="E686">
        <f>_xlfn.XLOOKUP(Table4[[#This Row],[year]],Table1[year],Table1[year_id])</f>
        <v>5</v>
      </c>
      <c r="F686" t="s">
        <v>27</v>
      </c>
      <c r="G686" t="s">
        <v>28</v>
      </c>
      <c r="H686" cm="1">
        <f t="array" ref="H686">_xlfn.XLOOKUP(Table4[[#This Row],[vehicle_segment]]&amp;Table4[[#This Row],[powertrain_type]],Table3[vehicle_segment]&amp;Table3[powertrain_type],Table3[vehicle_id])</f>
        <v>1</v>
      </c>
      <c r="I686">
        <v>964</v>
      </c>
      <c r="J686">
        <v>12587</v>
      </c>
      <c r="K686">
        <v>8392</v>
      </c>
      <c r="L686">
        <v>21943</v>
      </c>
      <c r="M686">
        <v>4.3899999999999997</v>
      </c>
      <c r="N686">
        <v>4086</v>
      </c>
      <c r="O686">
        <v>14.7</v>
      </c>
      <c r="P686">
        <v>163</v>
      </c>
      <c r="Q686">
        <v>1.61</v>
      </c>
      <c r="R686">
        <v>9.8000000000000004E-2</v>
      </c>
      <c r="S686">
        <v>77067</v>
      </c>
      <c r="T686">
        <v>80.099999999999994</v>
      </c>
      <c r="U686">
        <v>10.1</v>
      </c>
      <c r="V686">
        <v>0</v>
      </c>
      <c r="W686">
        <v>79.8</v>
      </c>
      <c r="X686">
        <v>65.069999999999993</v>
      </c>
      <c r="Y686">
        <v>0</v>
      </c>
    </row>
    <row r="687" spans="1:25" x14ac:dyDescent="0.25">
      <c r="A687" t="s">
        <v>49</v>
      </c>
      <c r="B687">
        <f>_xlfn.XLOOKUP(Table4[[#This Row],[country]],Table2[country],Table2[country_id],FALSE)</f>
        <v>15</v>
      </c>
      <c r="C687" t="s">
        <v>32</v>
      </c>
      <c r="D687">
        <v>2014</v>
      </c>
      <c r="E687">
        <f>_xlfn.XLOOKUP(Table4[[#This Row],[year]],Table1[year],Table1[year_id])</f>
        <v>5</v>
      </c>
      <c r="F687" t="s">
        <v>29</v>
      </c>
      <c r="G687" t="s">
        <v>28</v>
      </c>
      <c r="H687" cm="1">
        <f t="array" ref="H687">_xlfn.XLOOKUP(Table4[[#This Row],[vehicle_segment]]&amp;Table4[[#This Row],[powertrain_type]],Table3[vehicle_segment]&amp;Table3[powertrain_type],Table3[vehicle_id])</f>
        <v>2</v>
      </c>
      <c r="I687">
        <v>11158</v>
      </c>
      <c r="J687">
        <v>68419</v>
      </c>
      <c r="K687">
        <v>9330</v>
      </c>
      <c r="L687">
        <v>88907</v>
      </c>
      <c r="M687">
        <v>12.55</v>
      </c>
      <c r="N687">
        <v>4086</v>
      </c>
      <c r="O687">
        <v>14.7</v>
      </c>
      <c r="P687">
        <v>163</v>
      </c>
      <c r="Q687">
        <v>1.61</v>
      </c>
      <c r="R687">
        <v>9.8000000000000004E-2</v>
      </c>
      <c r="S687">
        <v>77067</v>
      </c>
      <c r="T687">
        <v>80.099999999999994</v>
      </c>
      <c r="U687">
        <v>10.1</v>
      </c>
      <c r="V687">
        <v>0</v>
      </c>
      <c r="W687">
        <v>79.8</v>
      </c>
      <c r="X687">
        <v>63.87</v>
      </c>
      <c r="Y687">
        <v>0</v>
      </c>
    </row>
    <row r="688" spans="1:25" x14ac:dyDescent="0.25">
      <c r="A688" t="s">
        <v>49</v>
      </c>
      <c r="B688">
        <f>_xlfn.XLOOKUP(Table4[[#This Row],[country]],Table2[country],Table2[country_id],FALSE)</f>
        <v>15</v>
      </c>
      <c r="C688" t="s">
        <v>32</v>
      </c>
      <c r="D688">
        <v>2014</v>
      </c>
      <c r="E688">
        <f>_xlfn.XLOOKUP(Table4[[#This Row],[year]],Table1[year],Table1[year_id])</f>
        <v>5</v>
      </c>
      <c r="F688" t="s">
        <v>30</v>
      </c>
      <c r="G688" t="s">
        <v>28</v>
      </c>
      <c r="H688" cm="1">
        <f t="array" ref="H688">_xlfn.XLOOKUP(Table4[[#This Row],[vehicle_segment]]&amp;Table4[[#This Row],[powertrain_type]],Table3[vehicle_segment]&amp;Table3[powertrain_type],Table3[vehicle_id])</f>
        <v>3</v>
      </c>
      <c r="I688">
        <v>6630</v>
      </c>
      <c r="J688">
        <v>27421</v>
      </c>
      <c r="K688">
        <v>2384</v>
      </c>
      <c r="L688">
        <v>36435</v>
      </c>
      <c r="M688">
        <v>18.2</v>
      </c>
      <c r="N688">
        <v>4086</v>
      </c>
      <c r="O688">
        <v>14.7</v>
      </c>
      <c r="P688">
        <v>163</v>
      </c>
      <c r="Q688">
        <v>1.61</v>
      </c>
      <c r="R688">
        <v>9.8000000000000004E-2</v>
      </c>
      <c r="S688">
        <v>77067</v>
      </c>
      <c r="T688">
        <v>80.099999999999994</v>
      </c>
      <c r="U688">
        <v>10.1</v>
      </c>
      <c r="V688">
        <v>0</v>
      </c>
      <c r="W688">
        <v>79.8</v>
      </c>
      <c r="X688">
        <v>65.13</v>
      </c>
      <c r="Y688">
        <v>0</v>
      </c>
    </row>
    <row r="689" spans="1:25" x14ac:dyDescent="0.25">
      <c r="A689" t="s">
        <v>49</v>
      </c>
      <c r="B689">
        <f>_xlfn.XLOOKUP(Table4[[#This Row],[country]],Table2[country],Table2[country_id],FALSE)</f>
        <v>15</v>
      </c>
      <c r="C689" t="s">
        <v>32</v>
      </c>
      <c r="D689">
        <v>2015</v>
      </c>
      <c r="E689">
        <f>_xlfn.XLOOKUP(Table4[[#This Row],[year]],Table1[year],Table1[year_id])</f>
        <v>6</v>
      </c>
      <c r="F689" t="s">
        <v>27</v>
      </c>
      <c r="G689" t="s">
        <v>28</v>
      </c>
      <c r="H689" cm="1">
        <f t="array" ref="H689">_xlfn.XLOOKUP(Table4[[#This Row],[vehicle_segment]]&amp;Table4[[#This Row],[powertrain_type]],Table3[vehicle_segment]&amp;Table3[powertrain_type],Table3[vehicle_id])</f>
        <v>1</v>
      </c>
      <c r="I689">
        <v>1141</v>
      </c>
      <c r="J689">
        <v>13093</v>
      </c>
      <c r="K689">
        <v>8728</v>
      </c>
      <c r="L689">
        <v>22962</v>
      </c>
      <c r="M689">
        <v>4.97</v>
      </c>
      <c r="N689">
        <v>5738</v>
      </c>
      <c r="O689">
        <v>17.7</v>
      </c>
      <c r="P689">
        <v>182</v>
      </c>
      <c r="Q689">
        <v>1.593</v>
      </c>
      <c r="R689">
        <v>9.1999999999999998E-2</v>
      </c>
      <c r="S689">
        <v>76226</v>
      </c>
      <c r="T689">
        <v>80.599999999999994</v>
      </c>
      <c r="U689">
        <v>9.9</v>
      </c>
      <c r="V689">
        <v>0</v>
      </c>
      <c r="W689">
        <v>82.5</v>
      </c>
      <c r="X689">
        <v>18.36</v>
      </c>
      <c r="Y689">
        <v>0</v>
      </c>
    </row>
    <row r="690" spans="1:25" x14ac:dyDescent="0.25">
      <c r="A690" t="s">
        <v>49</v>
      </c>
      <c r="B690">
        <f>_xlfn.XLOOKUP(Table4[[#This Row],[country]],Table2[country],Table2[country_id],FALSE)</f>
        <v>15</v>
      </c>
      <c r="C690" t="s">
        <v>32</v>
      </c>
      <c r="D690">
        <v>2015</v>
      </c>
      <c r="E690">
        <f>_xlfn.XLOOKUP(Table4[[#This Row],[year]],Table1[year],Table1[year_id])</f>
        <v>6</v>
      </c>
      <c r="F690" t="s">
        <v>29</v>
      </c>
      <c r="G690" t="s">
        <v>28</v>
      </c>
      <c r="H690" cm="1">
        <f t="array" ref="H690">_xlfn.XLOOKUP(Table4[[#This Row],[vehicle_segment]]&amp;Table4[[#This Row],[powertrain_type]],Table3[vehicle_segment]&amp;Table3[powertrain_type],Table3[vehicle_id])</f>
        <v>2</v>
      </c>
      <c r="I690">
        <v>13041</v>
      </c>
      <c r="J690">
        <v>69343</v>
      </c>
      <c r="K690">
        <v>9456</v>
      </c>
      <c r="L690">
        <v>91840</v>
      </c>
      <c r="M690">
        <v>14.2</v>
      </c>
      <c r="N690">
        <v>5738</v>
      </c>
      <c r="O690">
        <v>17.7</v>
      </c>
      <c r="P690">
        <v>182</v>
      </c>
      <c r="Q690">
        <v>1.593</v>
      </c>
      <c r="R690">
        <v>9.1999999999999998E-2</v>
      </c>
      <c r="S690">
        <v>76226</v>
      </c>
      <c r="T690">
        <v>80.599999999999994</v>
      </c>
      <c r="U690">
        <v>9.9</v>
      </c>
      <c r="V690">
        <v>0</v>
      </c>
      <c r="W690">
        <v>82.5</v>
      </c>
      <c r="X690">
        <v>16.88</v>
      </c>
      <c r="Y690">
        <v>0</v>
      </c>
    </row>
    <row r="691" spans="1:25" x14ac:dyDescent="0.25">
      <c r="A691" t="s">
        <v>49</v>
      </c>
      <c r="B691">
        <f>_xlfn.XLOOKUP(Table4[[#This Row],[country]],Table2[country],Table2[country_id],FALSE)</f>
        <v>15</v>
      </c>
      <c r="C691" t="s">
        <v>32</v>
      </c>
      <c r="D691">
        <v>2015</v>
      </c>
      <c r="E691">
        <f>_xlfn.XLOOKUP(Table4[[#This Row],[year]],Table1[year],Table1[year_id])</f>
        <v>6</v>
      </c>
      <c r="F691" t="s">
        <v>30</v>
      </c>
      <c r="G691" t="s">
        <v>28</v>
      </c>
      <c r="H691" cm="1">
        <f t="array" ref="H691">_xlfn.XLOOKUP(Table4[[#This Row],[vehicle_segment]]&amp;Table4[[#This Row],[powertrain_type]],Table3[vehicle_segment]&amp;Table3[powertrain_type],Table3[vehicle_id])</f>
        <v>3</v>
      </c>
      <c r="I691">
        <v>7829</v>
      </c>
      <c r="J691">
        <v>27780</v>
      </c>
      <c r="K691">
        <v>2416</v>
      </c>
      <c r="L691">
        <v>38025</v>
      </c>
      <c r="M691">
        <v>20.59</v>
      </c>
      <c r="N691">
        <v>5738</v>
      </c>
      <c r="O691">
        <v>17.7</v>
      </c>
      <c r="P691">
        <v>182</v>
      </c>
      <c r="Q691">
        <v>1.593</v>
      </c>
      <c r="R691">
        <v>9.1999999999999998E-2</v>
      </c>
      <c r="S691">
        <v>76226</v>
      </c>
      <c r="T691">
        <v>80.599999999999994</v>
      </c>
      <c r="U691">
        <v>9.9</v>
      </c>
      <c r="V691">
        <v>0</v>
      </c>
      <c r="W691">
        <v>82.5</v>
      </c>
      <c r="X691">
        <v>18.079999999999998</v>
      </c>
      <c r="Y691">
        <v>0</v>
      </c>
    </row>
    <row r="692" spans="1:25" x14ac:dyDescent="0.25">
      <c r="A692" t="s">
        <v>49</v>
      </c>
      <c r="B692">
        <f>_xlfn.XLOOKUP(Table4[[#This Row],[country]],Table2[country],Table2[country_id],FALSE)</f>
        <v>15</v>
      </c>
      <c r="C692" t="s">
        <v>32</v>
      </c>
      <c r="D692">
        <v>2016</v>
      </c>
      <c r="E692">
        <f>_xlfn.XLOOKUP(Table4[[#This Row],[year]],Table1[year],Table1[year_id])</f>
        <v>7</v>
      </c>
      <c r="F692" t="s">
        <v>27</v>
      </c>
      <c r="G692" t="s">
        <v>28</v>
      </c>
      <c r="H692" cm="1">
        <f t="array" ref="H692">_xlfn.XLOOKUP(Table4[[#This Row],[vehicle_segment]]&amp;Table4[[#This Row],[powertrain_type]],Table3[vehicle_segment]&amp;Table3[powertrain_type],Table3[vehicle_id])</f>
        <v>1</v>
      </c>
      <c r="I692">
        <v>1256</v>
      </c>
      <c r="J692">
        <v>12946</v>
      </c>
      <c r="K692">
        <v>8630</v>
      </c>
      <c r="L692">
        <v>22832</v>
      </c>
      <c r="M692">
        <v>5.5</v>
      </c>
      <c r="N692">
        <v>8227</v>
      </c>
      <c r="O692">
        <v>20.399999999999999</v>
      </c>
      <c r="P692">
        <v>199</v>
      </c>
      <c r="Q692">
        <v>1.62</v>
      </c>
      <c r="R692">
        <v>8.7999999999999995E-2</v>
      </c>
      <c r="S692">
        <v>73325</v>
      </c>
      <c r="T692">
        <v>81</v>
      </c>
      <c r="U692">
        <v>9.8000000000000007</v>
      </c>
      <c r="V692">
        <v>0</v>
      </c>
      <c r="W692">
        <v>84.9</v>
      </c>
      <c r="X692">
        <v>10.08</v>
      </c>
      <c r="Y692">
        <v>0</v>
      </c>
    </row>
    <row r="693" spans="1:25" x14ac:dyDescent="0.25">
      <c r="A693" t="s">
        <v>49</v>
      </c>
      <c r="B693">
        <f>_xlfn.XLOOKUP(Table4[[#This Row],[country]],Table2[country],Table2[country_id],FALSE)</f>
        <v>15</v>
      </c>
      <c r="C693" t="s">
        <v>32</v>
      </c>
      <c r="D693">
        <v>2016</v>
      </c>
      <c r="E693">
        <f>_xlfn.XLOOKUP(Table4[[#This Row],[year]],Table1[year],Table1[year_id])</f>
        <v>7</v>
      </c>
      <c r="F693" t="s">
        <v>29</v>
      </c>
      <c r="G693" t="s">
        <v>28</v>
      </c>
      <c r="H693" cm="1">
        <f t="array" ref="H693">_xlfn.XLOOKUP(Table4[[#This Row],[vehicle_segment]]&amp;Table4[[#This Row],[powertrain_type]],Table3[vehicle_segment]&amp;Table3[powertrain_type],Table3[vehicle_id])</f>
        <v>2</v>
      </c>
      <c r="I693">
        <v>14309</v>
      </c>
      <c r="J693">
        <v>67512</v>
      </c>
      <c r="K693">
        <v>9206</v>
      </c>
      <c r="L693">
        <v>91027</v>
      </c>
      <c r="M693">
        <v>15.72</v>
      </c>
      <c r="N693">
        <v>8227</v>
      </c>
      <c r="O693">
        <v>20.399999999999999</v>
      </c>
      <c r="P693">
        <v>199</v>
      </c>
      <c r="Q693">
        <v>1.62</v>
      </c>
      <c r="R693">
        <v>8.7999999999999995E-2</v>
      </c>
      <c r="S693">
        <v>73325</v>
      </c>
      <c r="T693">
        <v>81</v>
      </c>
      <c r="U693">
        <v>9.8000000000000007</v>
      </c>
      <c r="V693">
        <v>0</v>
      </c>
      <c r="W693">
        <v>84.9</v>
      </c>
      <c r="X693">
        <v>9.7200000000000006</v>
      </c>
      <c r="Y693">
        <v>0</v>
      </c>
    </row>
    <row r="694" spans="1:25" x14ac:dyDescent="0.25">
      <c r="A694" t="s">
        <v>49</v>
      </c>
      <c r="B694">
        <f>_xlfn.XLOOKUP(Table4[[#This Row],[country]],Table2[country],Table2[country_id],FALSE)</f>
        <v>15</v>
      </c>
      <c r="C694" t="s">
        <v>32</v>
      </c>
      <c r="D694">
        <v>2016</v>
      </c>
      <c r="E694">
        <f>_xlfn.XLOOKUP(Table4[[#This Row],[year]],Table1[year],Table1[year_id])</f>
        <v>7</v>
      </c>
      <c r="F694" t="s">
        <v>30</v>
      </c>
      <c r="G694" t="s">
        <v>28</v>
      </c>
      <c r="H694" cm="1">
        <f t="array" ref="H694">_xlfn.XLOOKUP(Table4[[#This Row],[vehicle_segment]]&amp;Table4[[#This Row],[powertrain_type]],Table3[vehicle_segment]&amp;Table3[powertrain_type],Table3[vehicle_id])</f>
        <v>3</v>
      </c>
      <c r="I694">
        <v>8747</v>
      </c>
      <c r="J694">
        <v>27255</v>
      </c>
      <c r="K694">
        <v>2370</v>
      </c>
      <c r="L694">
        <v>38372</v>
      </c>
      <c r="M694">
        <v>22.8</v>
      </c>
      <c r="N694">
        <v>8227</v>
      </c>
      <c r="O694">
        <v>20.399999999999999</v>
      </c>
      <c r="P694">
        <v>199</v>
      </c>
      <c r="Q694">
        <v>1.62</v>
      </c>
      <c r="R694">
        <v>8.7999999999999995E-2</v>
      </c>
      <c r="S694">
        <v>73325</v>
      </c>
      <c r="T694">
        <v>81</v>
      </c>
      <c r="U694">
        <v>9.8000000000000007</v>
      </c>
      <c r="V694">
        <v>0</v>
      </c>
      <c r="W694">
        <v>84.9</v>
      </c>
      <c r="X694">
        <v>11.73</v>
      </c>
      <c r="Y694">
        <v>0</v>
      </c>
    </row>
    <row r="695" spans="1:25" x14ac:dyDescent="0.25">
      <c r="A695" t="s">
        <v>49</v>
      </c>
      <c r="B695">
        <f>_xlfn.XLOOKUP(Table4[[#This Row],[country]],Table2[country],Table2[country_id],FALSE)</f>
        <v>15</v>
      </c>
      <c r="C695" t="s">
        <v>32</v>
      </c>
      <c r="D695">
        <v>2017</v>
      </c>
      <c r="E695">
        <f>_xlfn.XLOOKUP(Table4[[#This Row],[year]],Table1[year],Table1[year_id])</f>
        <v>8</v>
      </c>
      <c r="F695" t="s">
        <v>27</v>
      </c>
      <c r="G695" t="s">
        <v>28</v>
      </c>
      <c r="H695" cm="1">
        <f t="array" ref="H695">_xlfn.XLOOKUP(Table4[[#This Row],[vehicle_segment]]&amp;Table4[[#This Row],[powertrain_type]],Table3[vehicle_segment]&amp;Table3[powertrain_type],Table3[vehicle_id])</f>
        <v>1</v>
      </c>
      <c r="I695">
        <v>1866</v>
      </c>
      <c r="J695">
        <v>12693</v>
      </c>
      <c r="K695">
        <v>8462</v>
      </c>
      <c r="L695">
        <v>23021</v>
      </c>
      <c r="M695">
        <v>8.11</v>
      </c>
      <c r="N695">
        <v>9998</v>
      </c>
      <c r="O695">
        <v>21.9</v>
      </c>
      <c r="P695">
        <v>243</v>
      </c>
      <c r="Q695">
        <v>1.647</v>
      </c>
      <c r="R695">
        <v>8.5999999999999993E-2</v>
      </c>
      <c r="S695">
        <v>75584</v>
      </c>
      <c r="T695">
        <v>81.3</v>
      </c>
      <c r="U695">
        <v>9.6</v>
      </c>
      <c r="V695">
        <v>0</v>
      </c>
      <c r="W695">
        <v>87</v>
      </c>
      <c r="X695">
        <v>48.57</v>
      </c>
      <c r="Y695">
        <v>0</v>
      </c>
    </row>
    <row r="696" spans="1:25" x14ac:dyDescent="0.25">
      <c r="A696" t="s">
        <v>49</v>
      </c>
      <c r="B696">
        <f>_xlfn.XLOOKUP(Table4[[#This Row],[country]],Table2[country],Table2[country_id],FALSE)</f>
        <v>15</v>
      </c>
      <c r="C696" t="s">
        <v>32</v>
      </c>
      <c r="D696">
        <v>2017</v>
      </c>
      <c r="E696">
        <f>_xlfn.XLOOKUP(Table4[[#This Row],[year]],Table1[year],Table1[year_id])</f>
        <v>8</v>
      </c>
      <c r="F696" t="s">
        <v>29</v>
      </c>
      <c r="G696" t="s">
        <v>28</v>
      </c>
      <c r="H696" cm="1">
        <f t="array" ref="H696">_xlfn.XLOOKUP(Table4[[#This Row],[vehicle_segment]]&amp;Table4[[#This Row],[powertrain_type]],Table3[vehicle_segment]&amp;Table3[powertrain_type],Table3[vehicle_id])</f>
        <v>2</v>
      </c>
      <c r="I696">
        <v>20923</v>
      </c>
      <c r="J696">
        <v>61088</v>
      </c>
      <c r="K696">
        <v>8330</v>
      </c>
      <c r="L696">
        <v>90341</v>
      </c>
      <c r="M696">
        <v>23.16</v>
      </c>
      <c r="N696">
        <v>9998</v>
      </c>
      <c r="O696">
        <v>21.9</v>
      </c>
      <c r="P696">
        <v>243</v>
      </c>
      <c r="Q696">
        <v>1.647</v>
      </c>
      <c r="R696">
        <v>8.5999999999999993E-2</v>
      </c>
      <c r="S696">
        <v>75584</v>
      </c>
      <c r="T696">
        <v>81.3</v>
      </c>
      <c r="U696">
        <v>9.6</v>
      </c>
      <c r="V696">
        <v>0</v>
      </c>
      <c r="W696">
        <v>87</v>
      </c>
      <c r="X696">
        <v>46.22</v>
      </c>
      <c r="Y696">
        <v>0</v>
      </c>
    </row>
    <row r="697" spans="1:25" x14ac:dyDescent="0.25">
      <c r="A697" t="s">
        <v>49</v>
      </c>
      <c r="B697">
        <f>_xlfn.XLOOKUP(Table4[[#This Row],[country]],Table2[country],Table2[country_id],FALSE)</f>
        <v>15</v>
      </c>
      <c r="C697" t="s">
        <v>32</v>
      </c>
      <c r="D697">
        <v>2017</v>
      </c>
      <c r="E697">
        <f>_xlfn.XLOOKUP(Table4[[#This Row],[year]],Table1[year],Table1[year_id])</f>
        <v>8</v>
      </c>
      <c r="F697" t="s">
        <v>30</v>
      </c>
      <c r="G697" t="s">
        <v>28</v>
      </c>
      <c r="H697" cm="1">
        <f t="array" ref="H697">_xlfn.XLOOKUP(Table4[[#This Row],[vehicle_segment]]&amp;Table4[[#This Row],[powertrain_type]],Table3[vehicle_segment]&amp;Table3[powertrain_type],Table3[vehicle_id])</f>
        <v>3</v>
      </c>
      <c r="I697">
        <v>12765</v>
      </c>
      <c r="J697">
        <v>23226</v>
      </c>
      <c r="K697">
        <v>2020</v>
      </c>
      <c r="L697">
        <v>38011</v>
      </c>
      <c r="M697">
        <v>33.58</v>
      </c>
      <c r="N697">
        <v>9998</v>
      </c>
      <c r="O697">
        <v>21.9</v>
      </c>
      <c r="P697">
        <v>243</v>
      </c>
      <c r="Q697">
        <v>1.647</v>
      </c>
      <c r="R697">
        <v>8.5999999999999993E-2</v>
      </c>
      <c r="S697">
        <v>75584</v>
      </c>
      <c r="T697">
        <v>81.3</v>
      </c>
      <c r="U697">
        <v>9.6</v>
      </c>
      <c r="V697">
        <v>0</v>
      </c>
      <c r="W697">
        <v>87</v>
      </c>
      <c r="X697">
        <v>45.94</v>
      </c>
      <c r="Y697">
        <v>0</v>
      </c>
    </row>
    <row r="698" spans="1:25" x14ac:dyDescent="0.25">
      <c r="A698" t="s">
        <v>49</v>
      </c>
      <c r="B698">
        <f>_xlfn.XLOOKUP(Table4[[#This Row],[country]],Table2[country],Table2[country_id],FALSE)</f>
        <v>15</v>
      </c>
      <c r="C698" t="s">
        <v>32</v>
      </c>
      <c r="D698">
        <v>2018</v>
      </c>
      <c r="E698">
        <f>_xlfn.XLOOKUP(Table4[[#This Row],[year]],Table1[year],Table1[year_id])</f>
        <v>9</v>
      </c>
      <c r="F698" t="s">
        <v>27</v>
      </c>
      <c r="G698" t="s">
        <v>28</v>
      </c>
      <c r="H698" cm="1">
        <f t="array" ref="H698">_xlfn.XLOOKUP(Table4[[#This Row],[vehicle_segment]]&amp;Table4[[#This Row],[powertrain_type]],Table3[vehicle_segment]&amp;Table3[powertrain_type],Table3[vehicle_id])</f>
        <v>1</v>
      </c>
      <c r="I698">
        <v>2411</v>
      </c>
      <c r="J698">
        <v>12374</v>
      </c>
      <c r="K698">
        <v>8249</v>
      </c>
      <c r="L698">
        <v>23034</v>
      </c>
      <c r="M698">
        <v>10.47</v>
      </c>
      <c r="N698">
        <v>11916</v>
      </c>
      <c r="O698">
        <v>21.6</v>
      </c>
      <c r="P698">
        <v>278</v>
      </c>
      <c r="Q698">
        <v>1.6830000000000001</v>
      </c>
      <c r="R698">
        <v>8.4000000000000005E-2</v>
      </c>
      <c r="S698">
        <v>75116</v>
      </c>
      <c r="T698">
        <v>81.8</v>
      </c>
      <c r="U698">
        <v>9.3000000000000007</v>
      </c>
      <c r="V698">
        <v>0</v>
      </c>
      <c r="W698">
        <v>89.3</v>
      </c>
      <c r="X698">
        <v>29.21</v>
      </c>
      <c r="Y698">
        <v>0</v>
      </c>
    </row>
    <row r="699" spans="1:25" x14ac:dyDescent="0.25">
      <c r="A699" t="s">
        <v>49</v>
      </c>
      <c r="B699">
        <f>_xlfn.XLOOKUP(Table4[[#This Row],[country]],Table2[country],Table2[country_id],FALSE)</f>
        <v>15</v>
      </c>
      <c r="C699" t="s">
        <v>32</v>
      </c>
      <c r="D699">
        <v>2018</v>
      </c>
      <c r="E699">
        <f>_xlfn.XLOOKUP(Table4[[#This Row],[year]],Table1[year],Table1[year_id])</f>
        <v>9</v>
      </c>
      <c r="F699" t="s">
        <v>29</v>
      </c>
      <c r="G699" t="s">
        <v>28</v>
      </c>
      <c r="H699" cm="1">
        <f t="array" ref="H699">_xlfn.XLOOKUP(Table4[[#This Row],[vehicle_segment]]&amp;Table4[[#This Row],[powertrain_type]],Table3[vehicle_segment]&amp;Table3[powertrain_type],Table3[vehicle_id])</f>
        <v>2</v>
      </c>
      <c r="I699">
        <v>27031</v>
      </c>
      <c r="J699">
        <v>55743</v>
      </c>
      <c r="K699">
        <v>7601</v>
      </c>
      <c r="L699">
        <v>90375</v>
      </c>
      <c r="M699">
        <v>29.91</v>
      </c>
      <c r="N699">
        <v>11916</v>
      </c>
      <c r="O699">
        <v>21.6</v>
      </c>
      <c r="P699">
        <v>278</v>
      </c>
      <c r="Q699">
        <v>1.6830000000000001</v>
      </c>
      <c r="R699">
        <v>8.4000000000000005E-2</v>
      </c>
      <c r="S699">
        <v>75116</v>
      </c>
      <c r="T699">
        <v>81.8</v>
      </c>
      <c r="U699">
        <v>9.3000000000000007</v>
      </c>
      <c r="V699">
        <v>0</v>
      </c>
      <c r="W699">
        <v>89.3</v>
      </c>
      <c r="X699">
        <v>29.19</v>
      </c>
      <c r="Y699">
        <v>0</v>
      </c>
    </row>
    <row r="700" spans="1:25" x14ac:dyDescent="0.25">
      <c r="A700" t="s">
        <v>49</v>
      </c>
      <c r="B700">
        <f>_xlfn.XLOOKUP(Table4[[#This Row],[country]],Table2[country],Table2[country_id],FALSE)</f>
        <v>15</v>
      </c>
      <c r="C700" t="s">
        <v>32</v>
      </c>
      <c r="D700">
        <v>2018</v>
      </c>
      <c r="E700">
        <f>_xlfn.XLOOKUP(Table4[[#This Row],[year]],Table1[year],Table1[year_id])</f>
        <v>9</v>
      </c>
      <c r="F700" t="s">
        <v>30</v>
      </c>
      <c r="G700" t="s">
        <v>34</v>
      </c>
      <c r="H700" cm="1">
        <f t="array" ref="H700">_xlfn.XLOOKUP(Table4[[#This Row],[vehicle_segment]]&amp;Table4[[#This Row],[powertrain_type]],Table3[vehicle_segment]&amp;Table3[powertrain_type],Table3[vehicle_id])</f>
        <v>4</v>
      </c>
      <c r="I700">
        <v>16251</v>
      </c>
      <c r="J700">
        <v>19523</v>
      </c>
      <c r="K700">
        <v>1698</v>
      </c>
      <c r="L700">
        <v>37472</v>
      </c>
      <c r="M700">
        <v>43.37</v>
      </c>
      <c r="N700">
        <v>11916</v>
      </c>
      <c r="O700">
        <v>21.6</v>
      </c>
      <c r="P700">
        <v>278</v>
      </c>
      <c r="Q700">
        <v>1.6830000000000001</v>
      </c>
      <c r="R700">
        <v>8.4000000000000005E-2</v>
      </c>
      <c r="S700">
        <v>75116</v>
      </c>
      <c r="T700">
        <v>81.8</v>
      </c>
      <c r="U700">
        <v>9.3000000000000007</v>
      </c>
      <c r="V700">
        <v>0</v>
      </c>
      <c r="W700">
        <v>89.3</v>
      </c>
      <c r="X700">
        <v>27.31</v>
      </c>
      <c r="Y700">
        <v>0</v>
      </c>
    </row>
    <row r="701" spans="1:25" x14ac:dyDescent="0.25">
      <c r="A701" t="s">
        <v>49</v>
      </c>
      <c r="B701">
        <f>_xlfn.XLOOKUP(Table4[[#This Row],[country]],Table2[country],Table2[country_id],FALSE)</f>
        <v>15</v>
      </c>
      <c r="C701" t="s">
        <v>32</v>
      </c>
      <c r="D701">
        <v>2019</v>
      </c>
      <c r="E701">
        <f>_xlfn.XLOOKUP(Table4[[#This Row],[year]],Table1[year],Table1[year_id])</f>
        <v>10</v>
      </c>
      <c r="F701" t="s">
        <v>27</v>
      </c>
      <c r="G701" t="s">
        <v>28</v>
      </c>
      <c r="H701" cm="1">
        <f t="array" ref="H701">_xlfn.XLOOKUP(Table4[[#This Row],[vehicle_segment]]&amp;Table4[[#This Row],[powertrain_type]],Table3[vehicle_segment]&amp;Table3[powertrain_type],Table3[vehicle_id])</f>
        <v>1</v>
      </c>
      <c r="I701">
        <v>3132</v>
      </c>
      <c r="J701">
        <v>10927</v>
      </c>
      <c r="K701">
        <v>7285</v>
      </c>
      <c r="L701">
        <v>21344</v>
      </c>
      <c r="M701">
        <v>14.67</v>
      </c>
      <c r="N701">
        <v>14779</v>
      </c>
      <c r="O701">
        <v>24.7</v>
      </c>
      <c r="P701">
        <v>319</v>
      </c>
      <c r="Q701">
        <v>1.7470000000000001</v>
      </c>
      <c r="R701">
        <v>8.2000000000000003E-2</v>
      </c>
      <c r="S701">
        <v>74492</v>
      </c>
      <c r="T701">
        <v>82.1</v>
      </c>
      <c r="U701">
        <v>8.8000000000000007</v>
      </c>
      <c r="V701">
        <v>0</v>
      </c>
      <c r="W701">
        <v>88.8</v>
      </c>
      <c r="X701">
        <v>29.9</v>
      </c>
      <c r="Y701">
        <v>0</v>
      </c>
    </row>
    <row r="702" spans="1:25" x14ac:dyDescent="0.25">
      <c r="A702" t="s">
        <v>49</v>
      </c>
      <c r="B702">
        <f>_xlfn.XLOOKUP(Table4[[#This Row],[country]],Table2[country],Table2[country_id],FALSE)</f>
        <v>15</v>
      </c>
      <c r="C702" t="s">
        <v>32</v>
      </c>
      <c r="D702">
        <v>2019</v>
      </c>
      <c r="E702">
        <f>_xlfn.XLOOKUP(Table4[[#This Row],[year]],Table1[year],Table1[year_id])</f>
        <v>10</v>
      </c>
      <c r="F702" t="s">
        <v>29</v>
      </c>
      <c r="G702" t="s">
        <v>34</v>
      </c>
      <c r="H702" cm="1">
        <f t="array" ref="H702">_xlfn.XLOOKUP(Table4[[#This Row],[vehicle_segment]]&amp;Table4[[#This Row],[powertrain_type]],Table3[vehicle_segment]&amp;Table3[powertrain_type],Table3[vehicle_id])</f>
        <v>5</v>
      </c>
      <c r="I702">
        <v>35179</v>
      </c>
      <c r="J702">
        <v>42892</v>
      </c>
      <c r="K702">
        <v>5849</v>
      </c>
      <c r="L702">
        <v>83920</v>
      </c>
      <c r="M702">
        <v>41.92</v>
      </c>
      <c r="N702">
        <v>14779</v>
      </c>
      <c r="O702">
        <v>24.7</v>
      </c>
      <c r="P702">
        <v>319</v>
      </c>
      <c r="Q702">
        <v>1.7470000000000001</v>
      </c>
      <c r="R702">
        <v>8.2000000000000003E-2</v>
      </c>
      <c r="S702">
        <v>74492</v>
      </c>
      <c r="T702">
        <v>82.1</v>
      </c>
      <c r="U702">
        <v>8.8000000000000007</v>
      </c>
      <c r="V702">
        <v>0</v>
      </c>
      <c r="W702">
        <v>88.8</v>
      </c>
      <c r="X702">
        <v>30.14</v>
      </c>
      <c r="Y702">
        <v>0</v>
      </c>
    </row>
    <row r="703" spans="1:25" x14ac:dyDescent="0.25">
      <c r="A703" t="s">
        <v>49</v>
      </c>
      <c r="B703">
        <f>_xlfn.XLOOKUP(Table4[[#This Row],[country]],Table2[country],Table2[country_id],FALSE)</f>
        <v>15</v>
      </c>
      <c r="C703" t="s">
        <v>32</v>
      </c>
      <c r="D703">
        <v>2019</v>
      </c>
      <c r="E703">
        <f>_xlfn.XLOOKUP(Table4[[#This Row],[year]],Table1[year],Table1[year_id])</f>
        <v>10</v>
      </c>
      <c r="F703" t="s">
        <v>30</v>
      </c>
      <c r="G703" t="s">
        <v>34</v>
      </c>
      <c r="H703" cm="1">
        <f t="array" ref="H703">_xlfn.XLOOKUP(Table4[[#This Row],[vehicle_segment]]&amp;Table4[[#This Row],[powertrain_type]],Table3[vehicle_segment]&amp;Table3[powertrain_type],Table3[vehicle_id])</f>
        <v>4</v>
      </c>
      <c r="I703">
        <v>21828</v>
      </c>
      <c r="J703">
        <v>12955</v>
      </c>
      <c r="K703">
        <v>1127</v>
      </c>
      <c r="L703">
        <v>35910</v>
      </c>
      <c r="M703">
        <v>60.79</v>
      </c>
      <c r="N703">
        <v>14779</v>
      </c>
      <c r="O703">
        <v>24.7</v>
      </c>
      <c r="P703">
        <v>319</v>
      </c>
      <c r="Q703">
        <v>1.7470000000000001</v>
      </c>
      <c r="R703">
        <v>8.2000000000000003E-2</v>
      </c>
      <c r="S703">
        <v>74492</v>
      </c>
      <c r="T703">
        <v>82.1</v>
      </c>
      <c r="U703">
        <v>8.8000000000000007</v>
      </c>
      <c r="V703">
        <v>0</v>
      </c>
      <c r="W703">
        <v>88.8</v>
      </c>
      <c r="X703">
        <v>34.32</v>
      </c>
      <c r="Y703">
        <v>1</v>
      </c>
    </row>
    <row r="704" spans="1:25" x14ac:dyDescent="0.25">
      <c r="A704" t="s">
        <v>49</v>
      </c>
      <c r="B704">
        <f>_xlfn.XLOOKUP(Table4[[#This Row],[country]],Table2[country],Table2[country_id],FALSE)</f>
        <v>15</v>
      </c>
      <c r="C704" t="s">
        <v>32</v>
      </c>
      <c r="D704">
        <v>2020</v>
      </c>
      <c r="E704">
        <f>_xlfn.XLOOKUP(Table4[[#This Row],[year]],Table1[year],Table1[year_id])</f>
        <v>11</v>
      </c>
      <c r="F704" t="s">
        <v>27</v>
      </c>
      <c r="G704" t="s">
        <v>28</v>
      </c>
      <c r="H704" cm="1">
        <f t="array" ref="H704">_xlfn.XLOOKUP(Table4[[#This Row],[vehicle_segment]]&amp;Table4[[#This Row],[powertrain_type]],Table3[vehicle_segment]&amp;Table3[powertrain_type],Table3[vehicle_id])</f>
        <v>1</v>
      </c>
      <c r="I704">
        <v>4027</v>
      </c>
      <c r="J704">
        <v>10167</v>
      </c>
      <c r="K704">
        <v>6778</v>
      </c>
      <c r="L704">
        <v>20972</v>
      </c>
      <c r="M704">
        <v>19.2</v>
      </c>
      <c r="N704">
        <v>17949</v>
      </c>
      <c r="O704">
        <v>26.6</v>
      </c>
      <c r="P704">
        <v>360</v>
      </c>
      <c r="Q704">
        <v>1.887</v>
      </c>
      <c r="R704">
        <v>9.7000000000000003E-2</v>
      </c>
      <c r="S704">
        <v>84775</v>
      </c>
      <c r="T704">
        <v>82.6</v>
      </c>
      <c r="U704">
        <v>8.1999999999999993</v>
      </c>
      <c r="V704">
        <v>0</v>
      </c>
      <c r="W704">
        <v>91.2</v>
      </c>
      <c r="X704">
        <v>28.58</v>
      </c>
      <c r="Y704">
        <v>0</v>
      </c>
    </row>
    <row r="705" spans="1:25" x14ac:dyDescent="0.25">
      <c r="A705" t="s">
        <v>49</v>
      </c>
      <c r="B705">
        <f>_xlfn.XLOOKUP(Table4[[#This Row],[country]],Table2[country],Table2[country_id],FALSE)</f>
        <v>15</v>
      </c>
      <c r="C705" t="s">
        <v>32</v>
      </c>
      <c r="D705">
        <v>2020</v>
      </c>
      <c r="E705">
        <f>_xlfn.XLOOKUP(Table4[[#This Row],[year]],Table1[year],Table1[year_id])</f>
        <v>11</v>
      </c>
      <c r="F705" t="s">
        <v>29</v>
      </c>
      <c r="G705" t="s">
        <v>34</v>
      </c>
      <c r="H705" cm="1">
        <f t="array" ref="H705">_xlfn.XLOOKUP(Table4[[#This Row],[vehicle_segment]]&amp;Table4[[#This Row],[powertrain_type]],Table3[vehicle_segment]&amp;Table3[powertrain_type],Table3[vehicle_id])</f>
        <v>5</v>
      </c>
      <c r="I705">
        <v>46610</v>
      </c>
      <c r="J705">
        <v>33749</v>
      </c>
      <c r="K705">
        <v>4602</v>
      </c>
      <c r="L705">
        <v>84961</v>
      </c>
      <c r="M705">
        <v>54.86</v>
      </c>
      <c r="N705">
        <v>17949</v>
      </c>
      <c r="O705">
        <v>26.6</v>
      </c>
      <c r="P705">
        <v>360</v>
      </c>
      <c r="Q705">
        <v>1.887</v>
      </c>
      <c r="R705">
        <v>9.7000000000000003E-2</v>
      </c>
      <c r="S705">
        <v>84775</v>
      </c>
      <c r="T705">
        <v>82.6</v>
      </c>
      <c r="U705">
        <v>8.1999999999999993</v>
      </c>
      <c r="V705">
        <v>0</v>
      </c>
      <c r="W705">
        <v>91.2</v>
      </c>
      <c r="X705">
        <v>32.49</v>
      </c>
      <c r="Y705">
        <v>1</v>
      </c>
    </row>
    <row r="706" spans="1:25" x14ac:dyDescent="0.25">
      <c r="A706" t="s">
        <v>49</v>
      </c>
      <c r="B706">
        <f>_xlfn.XLOOKUP(Table4[[#This Row],[country]],Table2[country],Table2[country_id],FALSE)</f>
        <v>15</v>
      </c>
      <c r="C706" t="s">
        <v>32</v>
      </c>
      <c r="D706">
        <v>2020</v>
      </c>
      <c r="E706">
        <f>_xlfn.XLOOKUP(Table4[[#This Row],[year]],Table1[year],Table1[year_id])</f>
        <v>11</v>
      </c>
      <c r="F706" t="s">
        <v>30</v>
      </c>
      <c r="G706" t="s">
        <v>34</v>
      </c>
      <c r="H706" cm="1">
        <f t="array" ref="H706">_xlfn.XLOOKUP(Table4[[#This Row],[vehicle_segment]]&amp;Table4[[#This Row],[powertrain_type]],Table3[vehicle_segment]&amp;Table3[powertrain_type],Table3[vehicle_id])</f>
        <v>4</v>
      </c>
      <c r="I706">
        <v>28030</v>
      </c>
      <c r="J706">
        <v>6630</v>
      </c>
      <c r="K706">
        <v>577</v>
      </c>
      <c r="L706">
        <v>35237</v>
      </c>
      <c r="M706">
        <v>79.55</v>
      </c>
      <c r="N706">
        <v>17949</v>
      </c>
      <c r="O706">
        <v>26.6</v>
      </c>
      <c r="P706">
        <v>360</v>
      </c>
      <c r="Q706">
        <v>1.887</v>
      </c>
      <c r="R706">
        <v>9.7000000000000003E-2</v>
      </c>
      <c r="S706">
        <v>84775</v>
      </c>
      <c r="T706">
        <v>82.6</v>
      </c>
      <c r="U706">
        <v>8.1999999999999993</v>
      </c>
      <c r="V706">
        <v>0</v>
      </c>
      <c r="W706">
        <v>91.2</v>
      </c>
      <c r="X706">
        <v>28.41</v>
      </c>
      <c r="Y706">
        <v>1</v>
      </c>
    </row>
    <row r="707" spans="1:25" x14ac:dyDescent="0.25">
      <c r="A707" t="s">
        <v>49</v>
      </c>
      <c r="B707">
        <f>_xlfn.XLOOKUP(Table4[[#This Row],[country]],Table2[country],Table2[country_id],FALSE)</f>
        <v>15</v>
      </c>
      <c r="C707" t="s">
        <v>32</v>
      </c>
      <c r="D707">
        <v>2021</v>
      </c>
      <c r="E707">
        <f>_xlfn.XLOOKUP(Table4[[#This Row],[year]],Table1[year],Table1[year_id])</f>
        <v>12</v>
      </c>
      <c r="F707" t="s">
        <v>27</v>
      </c>
      <c r="G707" t="s">
        <v>28</v>
      </c>
      <c r="H707" cm="1">
        <f t="array" ref="H707">_xlfn.XLOOKUP(Table4[[#This Row],[vehicle_segment]]&amp;Table4[[#This Row],[powertrain_type]],Table3[vehicle_segment]&amp;Table3[powertrain_type],Table3[vehicle_id])</f>
        <v>1</v>
      </c>
      <c r="I707">
        <v>6253</v>
      </c>
      <c r="J707">
        <v>12215</v>
      </c>
      <c r="K707">
        <v>8143</v>
      </c>
      <c r="L707">
        <v>26611</v>
      </c>
      <c r="M707">
        <v>23.5</v>
      </c>
      <c r="N707">
        <v>19829</v>
      </c>
      <c r="O707">
        <v>30.1</v>
      </c>
      <c r="P707">
        <v>395</v>
      </c>
      <c r="Q707">
        <v>2.0630000000000002</v>
      </c>
      <c r="R707">
        <v>0.13100000000000001</v>
      </c>
      <c r="S707">
        <v>95275</v>
      </c>
      <c r="T707">
        <v>82.8</v>
      </c>
      <c r="U707">
        <v>7.7</v>
      </c>
      <c r="V707">
        <v>0</v>
      </c>
      <c r="W707">
        <v>92.2</v>
      </c>
      <c r="X707">
        <v>55.28</v>
      </c>
      <c r="Y707">
        <v>0</v>
      </c>
    </row>
    <row r="708" spans="1:25" x14ac:dyDescent="0.25">
      <c r="A708" t="s">
        <v>49</v>
      </c>
      <c r="B708">
        <f>_xlfn.XLOOKUP(Table4[[#This Row],[country]],Table2[country],Table2[country_id],FALSE)</f>
        <v>15</v>
      </c>
      <c r="C708" t="s">
        <v>32</v>
      </c>
      <c r="D708">
        <v>2021</v>
      </c>
      <c r="E708">
        <f>_xlfn.XLOOKUP(Table4[[#This Row],[year]],Table1[year],Table1[year_id])</f>
        <v>12</v>
      </c>
      <c r="F708" t="s">
        <v>29</v>
      </c>
      <c r="G708" t="s">
        <v>34</v>
      </c>
      <c r="H708" cm="1">
        <f t="array" ref="H708">_xlfn.XLOOKUP(Table4[[#This Row],[vehicle_segment]]&amp;Table4[[#This Row],[powertrain_type]],Table3[vehicle_segment]&amp;Table3[powertrain_type],Table3[vehicle_id])</f>
        <v>5</v>
      </c>
      <c r="I708">
        <v>72162</v>
      </c>
      <c r="J708">
        <v>31080</v>
      </c>
      <c r="K708">
        <v>4238</v>
      </c>
      <c r="L708">
        <v>107480</v>
      </c>
      <c r="M708">
        <v>67.14</v>
      </c>
      <c r="N708">
        <v>19829</v>
      </c>
      <c r="O708">
        <v>30.1</v>
      </c>
      <c r="P708">
        <v>395</v>
      </c>
      <c r="Q708">
        <v>2.0630000000000002</v>
      </c>
      <c r="R708">
        <v>0.13100000000000001</v>
      </c>
      <c r="S708">
        <v>95275</v>
      </c>
      <c r="T708">
        <v>82.8</v>
      </c>
      <c r="U708">
        <v>7.7</v>
      </c>
      <c r="V708">
        <v>0</v>
      </c>
      <c r="W708">
        <v>92.2</v>
      </c>
      <c r="X708">
        <v>54.82</v>
      </c>
      <c r="Y708">
        <v>1</v>
      </c>
    </row>
    <row r="709" spans="1:25" x14ac:dyDescent="0.25">
      <c r="A709" t="s">
        <v>49</v>
      </c>
      <c r="B709">
        <f>_xlfn.XLOOKUP(Table4[[#This Row],[country]],Table2[country],Table2[country_id],FALSE)</f>
        <v>15</v>
      </c>
      <c r="C709" t="s">
        <v>32</v>
      </c>
      <c r="D709">
        <v>2021</v>
      </c>
      <c r="E709">
        <f>_xlfn.XLOOKUP(Table4[[#This Row],[year]],Table1[year],Table1[year_id])</f>
        <v>12</v>
      </c>
      <c r="F709" t="s">
        <v>30</v>
      </c>
      <c r="G709" t="s">
        <v>34</v>
      </c>
      <c r="H709" cm="1">
        <f t="array" ref="H709">_xlfn.XLOOKUP(Table4[[#This Row],[vehicle_segment]]&amp;Table4[[#This Row],[powertrain_type]],Table3[vehicle_segment]&amp;Table3[powertrain_type],Table3[vehicle_id])</f>
        <v>4</v>
      </c>
      <c r="I709">
        <v>42451</v>
      </c>
      <c r="J709">
        <v>2055</v>
      </c>
      <c r="K709">
        <v>179</v>
      </c>
      <c r="L709">
        <v>44685</v>
      </c>
      <c r="M709">
        <v>95</v>
      </c>
      <c r="N709">
        <v>19829</v>
      </c>
      <c r="O709">
        <v>30.1</v>
      </c>
      <c r="P709">
        <v>395</v>
      </c>
      <c r="Q709">
        <v>2.0630000000000002</v>
      </c>
      <c r="R709">
        <v>0.13100000000000001</v>
      </c>
      <c r="S709">
        <v>95275</v>
      </c>
      <c r="T709">
        <v>82.8</v>
      </c>
      <c r="U709">
        <v>7.7</v>
      </c>
      <c r="V709">
        <v>0</v>
      </c>
      <c r="W709">
        <v>92.2</v>
      </c>
      <c r="X709">
        <v>51.45</v>
      </c>
      <c r="Y709">
        <v>1</v>
      </c>
    </row>
    <row r="710" spans="1:25" x14ac:dyDescent="0.25">
      <c r="A710" t="s">
        <v>49</v>
      </c>
      <c r="B710">
        <f>_xlfn.XLOOKUP(Table4[[#This Row],[country]],Table2[country],Table2[country_id],FALSE)</f>
        <v>15</v>
      </c>
      <c r="C710" t="s">
        <v>32</v>
      </c>
      <c r="D710">
        <v>2022</v>
      </c>
      <c r="E710">
        <f>_xlfn.XLOOKUP(Table4[[#This Row],[year]],Table1[year],Table1[year_id])</f>
        <v>13</v>
      </c>
      <c r="F710" t="s">
        <v>27</v>
      </c>
      <c r="G710" t="s">
        <v>28</v>
      </c>
      <c r="H710" cm="1">
        <f t="array" ref="H710">_xlfn.XLOOKUP(Table4[[#This Row],[vehicle_segment]]&amp;Table4[[#This Row],[powertrain_type]],Table3[vehicle_segment]&amp;Table3[powertrain_type],Table3[vehicle_id])</f>
        <v>1</v>
      </c>
      <c r="I710">
        <v>7229</v>
      </c>
      <c r="J710">
        <v>9462</v>
      </c>
      <c r="K710">
        <v>6308</v>
      </c>
      <c r="L710">
        <v>22999</v>
      </c>
      <c r="M710">
        <v>31.43</v>
      </c>
      <c r="N710">
        <v>24419</v>
      </c>
      <c r="O710">
        <v>31.8</v>
      </c>
      <c r="P710">
        <v>420</v>
      </c>
      <c r="Q710">
        <v>2.1429999999999998</v>
      </c>
      <c r="R710">
        <v>0.159</v>
      </c>
      <c r="S710">
        <v>103437</v>
      </c>
      <c r="T710">
        <v>83.4</v>
      </c>
      <c r="U710">
        <v>7.2</v>
      </c>
      <c r="V710">
        <v>0</v>
      </c>
      <c r="W710">
        <v>95.602000000000004</v>
      </c>
      <c r="X710">
        <v>15.61</v>
      </c>
      <c r="Y710">
        <v>0</v>
      </c>
    </row>
    <row r="711" spans="1:25" x14ac:dyDescent="0.25">
      <c r="A711" t="s">
        <v>49</v>
      </c>
      <c r="B711">
        <f>_xlfn.XLOOKUP(Table4[[#This Row],[country]],Table2[country],Table2[country_id],FALSE)</f>
        <v>15</v>
      </c>
      <c r="C711" t="s">
        <v>32</v>
      </c>
      <c r="D711">
        <v>2022</v>
      </c>
      <c r="E711">
        <f>_xlfn.XLOOKUP(Table4[[#This Row],[year]],Table1[year],Table1[year_id])</f>
        <v>13</v>
      </c>
      <c r="F711" t="s">
        <v>29</v>
      </c>
      <c r="G711" t="s">
        <v>34</v>
      </c>
      <c r="H711" cm="1">
        <f t="array" ref="H711">_xlfn.XLOOKUP(Table4[[#This Row],[vehicle_segment]]&amp;Table4[[#This Row],[powertrain_type]],Table3[vehicle_segment]&amp;Table3[powertrain_type],Table3[vehicle_id])</f>
        <v>5</v>
      </c>
      <c r="I711">
        <v>82306</v>
      </c>
      <c r="J711">
        <v>8218</v>
      </c>
      <c r="K711">
        <v>1121</v>
      </c>
      <c r="L711">
        <v>91645</v>
      </c>
      <c r="M711">
        <v>89.81</v>
      </c>
      <c r="N711">
        <v>24419</v>
      </c>
      <c r="O711">
        <v>31.8</v>
      </c>
      <c r="P711">
        <v>420</v>
      </c>
      <c r="Q711">
        <v>2.1429999999999998</v>
      </c>
      <c r="R711">
        <v>0.159</v>
      </c>
      <c r="S711">
        <v>103437</v>
      </c>
      <c r="T711">
        <v>83.4</v>
      </c>
      <c r="U711">
        <v>7.2</v>
      </c>
      <c r="V711">
        <v>0</v>
      </c>
      <c r="W711">
        <v>95.602000000000004</v>
      </c>
      <c r="X711">
        <v>14.06</v>
      </c>
      <c r="Y711">
        <v>1</v>
      </c>
    </row>
    <row r="712" spans="1:25" x14ac:dyDescent="0.25">
      <c r="A712" t="s">
        <v>49</v>
      </c>
      <c r="B712">
        <f>_xlfn.XLOOKUP(Table4[[#This Row],[country]],Table2[country],Table2[country_id],FALSE)</f>
        <v>15</v>
      </c>
      <c r="C712" t="s">
        <v>32</v>
      </c>
      <c r="D712">
        <v>2022</v>
      </c>
      <c r="E712">
        <f>_xlfn.XLOOKUP(Table4[[#This Row],[year]],Table1[year],Table1[year_id])</f>
        <v>13</v>
      </c>
      <c r="F712" t="s">
        <v>30</v>
      </c>
      <c r="G712" t="s">
        <v>34</v>
      </c>
      <c r="H712" cm="1">
        <f t="array" ref="H712">_xlfn.XLOOKUP(Table4[[#This Row],[vehicle_segment]]&amp;Table4[[#This Row],[powertrain_type]],Table3[vehicle_segment]&amp;Table3[powertrain_type],Table3[vehicle_id])</f>
        <v>4</v>
      </c>
      <c r="I712">
        <v>36110</v>
      </c>
      <c r="J712">
        <v>1748</v>
      </c>
      <c r="K712">
        <v>152</v>
      </c>
      <c r="L712">
        <v>38010</v>
      </c>
      <c r="M712">
        <v>95</v>
      </c>
      <c r="N712">
        <v>24419</v>
      </c>
      <c r="O712">
        <v>31.8</v>
      </c>
      <c r="P712">
        <v>420</v>
      </c>
      <c r="Q712">
        <v>2.1429999999999998</v>
      </c>
      <c r="R712">
        <v>0.159</v>
      </c>
      <c r="S712">
        <v>103437</v>
      </c>
      <c r="T712">
        <v>83.4</v>
      </c>
      <c r="U712">
        <v>7.2</v>
      </c>
      <c r="V712">
        <v>0</v>
      </c>
      <c r="W712">
        <v>95.602000000000004</v>
      </c>
      <c r="X712">
        <v>-14.94</v>
      </c>
      <c r="Y712">
        <v>1</v>
      </c>
    </row>
    <row r="713" spans="1:25" x14ac:dyDescent="0.25">
      <c r="A713" t="s">
        <v>49</v>
      </c>
      <c r="B713">
        <f>_xlfn.XLOOKUP(Table4[[#This Row],[country]],Table2[country],Table2[country_id],FALSE)</f>
        <v>15</v>
      </c>
      <c r="C713" t="s">
        <v>32</v>
      </c>
      <c r="D713">
        <v>2023</v>
      </c>
      <c r="E713">
        <f>_xlfn.XLOOKUP(Table4[[#This Row],[year]],Table1[year],Table1[year_id])</f>
        <v>14</v>
      </c>
      <c r="F713" t="s">
        <v>27</v>
      </c>
      <c r="G713" t="s">
        <v>28</v>
      </c>
      <c r="H713" cm="1">
        <f t="array" ref="H713">_xlfn.XLOOKUP(Table4[[#This Row],[vehicle_segment]]&amp;Table4[[#This Row],[powertrain_type]],Table3[vehicle_segment]&amp;Table3[powertrain_type],Table3[vehicle_id])</f>
        <v>1</v>
      </c>
      <c r="I713">
        <v>6780</v>
      </c>
      <c r="J713">
        <v>9069</v>
      </c>
      <c r="K713">
        <v>6804</v>
      </c>
      <c r="L713">
        <v>22653</v>
      </c>
      <c r="M713">
        <v>29.93</v>
      </c>
      <c r="N713">
        <v>29628</v>
      </c>
      <c r="O713">
        <v>32.9</v>
      </c>
      <c r="P713">
        <v>442</v>
      </c>
      <c r="Q713">
        <v>2.153</v>
      </c>
      <c r="R713">
        <v>0.16800000000000001</v>
      </c>
      <c r="S713">
        <v>100025</v>
      </c>
      <c r="T713">
        <v>83.5</v>
      </c>
      <c r="U713">
        <v>6.7</v>
      </c>
      <c r="V713">
        <v>0</v>
      </c>
      <c r="W713">
        <v>95.6</v>
      </c>
      <c r="X713">
        <v>-6.21</v>
      </c>
      <c r="Y713">
        <v>0</v>
      </c>
    </row>
    <row r="714" spans="1:25" x14ac:dyDescent="0.25">
      <c r="A714" t="s">
        <v>49</v>
      </c>
      <c r="B714">
        <f>_xlfn.XLOOKUP(Table4[[#This Row],[country]],Table2[country],Table2[country_id],FALSE)</f>
        <v>15</v>
      </c>
      <c r="C714" t="s">
        <v>32</v>
      </c>
      <c r="D714">
        <v>2023</v>
      </c>
      <c r="E714">
        <f>_xlfn.XLOOKUP(Table4[[#This Row],[year]],Table1[year],Table1[year_id])</f>
        <v>14</v>
      </c>
      <c r="F714" t="s">
        <v>29</v>
      </c>
      <c r="G714" t="s">
        <v>34</v>
      </c>
      <c r="H714" cm="1">
        <f t="array" ref="H714">_xlfn.XLOOKUP(Table4[[#This Row],[vehicle_segment]]&amp;Table4[[#This Row],[powertrain_type]],Table3[vehicle_segment]&amp;Table3[powertrain_type],Table3[vehicle_id])</f>
        <v>5</v>
      </c>
      <c r="I714">
        <v>79933</v>
      </c>
      <c r="J714">
        <v>7450</v>
      </c>
      <c r="K714">
        <v>3131</v>
      </c>
      <c r="L714">
        <v>90514</v>
      </c>
      <c r="M714">
        <v>88.31</v>
      </c>
      <c r="N714">
        <v>29628</v>
      </c>
      <c r="O714">
        <v>32.9</v>
      </c>
      <c r="P714">
        <v>442</v>
      </c>
      <c r="Q714">
        <v>2.153</v>
      </c>
      <c r="R714">
        <v>0.16800000000000001</v>
      </c>
      <c r="S714">
        <v>100025</v>
      </c>
      <c r="T714">
        <v>83.5</v>
      </c>
      <c r="U714">
        <v>6.7</v>
      </c>
      <c r="V714">
        <v>0</v>
      </c>
      <c r="W714">
        <v>95.6</v>
      </c>
      <c r="X714">
        <v>-2.88</v>
      </c>
      <c r="Y714">
        <v>1</v>
      </c>
    </row>
    <row r="715" spans="1:25" x14ac:dyDescent="0.25">
      <c r="A715" t="s">
        <v>49</v>
      </c>
      <c r="B715">
        <f>_xlfn.XLOOKUP(Table4[[#This Row],[country]],Table2[country],Table2[country_id],FALSE)</f>
        <v>15</v>
      </c>
      <c r="C715" t="s">
        <v>32</v>
      </c>
      <c r="D715">
        <v>2023</v>
      </c>
      <c r="E715">
        <f>_xlfn.XLOOKUP(Table4[[#This Row],[year]],Table1[year],Table1[year_id])</f>
        <v>14</v>
      </c>
      <c r="F715" t="s">
        <v>30</v>
      </c>
      <c r="G715" t="s">
        <v>34</v>
      </c>
      <c r="H715" cm="1">
        <f t="array" ref="H715">_xlfn.XLOOKUP(Table4[[#This Row],[vehicle_segment]]&amp;Table4[[#This Row],[powertrain_type]],Table3[vehicle_segment]&amp;Table3[powertrain_type],Table3[vehicle_id])</f>
        <v>4</v>
      </c>
      <c r="I715">
        <v>35655</v>
      </c>
      <c r="J715">
        <v>1727</v>
      </c>
      <c r="K715">
        <v>150</v>
      </c>
      <c r="L715">
        <v>37532</v>
      </c>
      <c r="M715">
        <v>95</v>
      </c>
      <c r="N715">
        <v>29628</v>
      </c>
      <c r="O715">
        <v>32.9</v>
      </c>
      <c r="P715">
        <v>442</v>
      </c>
      <c r="Q715">
        <v>2.153</v>
      </c>
      <c r="R715">
        <v>0.16800000000000001</v>
      </c>
      <c r="S715">
        <v>100025</v>
      </c>
      <c r="T715">
        <v>83.5</v>
      </c>
      <c r="U715">
        <v>6.7</v>
      </c>
      <c r="V715">
        <v>0</v>
      </c>
      <c r="W715">
        <v>95.6</v>
      </c>
      <c r="X715">
        <v>-1.26</v>
      </c>
      <c r="Y715">
        <v>1</v>
      </c>
    </row>
    <row r="716" spans="1:25" x14ac:dyDescent="0.25">
      <c r="A716" t="s">
        <v>49</v>
      </c>
      <c r="B716">
        <f>_xlfn.XLOOKUP(Table4[[#This Row],[country]],Table2[country],Table2[country_id],FALSE)</f>
        <v>15</v>
      </c>
      <c r="C716" t="s">
        <v>32</v>
      </c>
      <c r="D716">
        <v>2024</v>
      </c>
      <c r="E716">
        <f>_xlfn.XLOOKUP(Table4[[#This Row],[year]],Table1[year],Table1[year_id])</f>
        <v>15</v>
      </c>
      <c r="F716" t="s">
        <v>27</v>
      </c>
      <c r="G716" t="s">
        <v>28</v>
      </c>
      <c r="H716" cm="1">
        <f t="array" ref="H716">_xlfn.XLOOKUP(Table4[[#This Row],[vehicle_segment]]&amp;Table4[[#This Row],[powertrain_type]],Table3[vehicle_segment]&amp;Table3[powertrain_type],Table3[vehicle_id])</f>
        <v>1</v>
      </c>
      <c r="I716">
        <v>6792</v>
      </c>
      <c r="J716">
        <v>10069</v>
      </c>
      <c r="K716">
        <v>6713</v>
      </c>
      <c r="L716">
        <v>23574</v>
      </c>
      <c r="M716">
        <v>28.81</v>
      </c>
      <c r="N716">
        <v>33158</v>
      </c>
      <c r="O716">
        <v>31.7</v>
      </c>
      <c r="P716">
        <v>481</v>
      </c>
      <c r="Q716">
        <v>2.09</v>
      </c>
      <c r="R716">
        <v>0.155</v>
      </c>
      <c r="S716">
        <v>94974</v>
      </c>
      <c r="T716">
        <v>83.5</v>
      </c>
      <c r="U716">
        <v>6</v>
      </c>
      <c r="V716">
        <v>0</v>
      </c>
      <c r="W716">
        <v>95.602000000000004</v>
      </c>
      <c r="X716">
        <v>0.18</v>
      </c>
      <c r="Y716">
        <v>0</v>
      </c>
    </row>
    <row r="717" spans="1:25" x14ac:dyDescent="0.25">
      <c r="A717" t="s">
        <v>49</v>
      </c>
      <c r="B717">
        <f>_xlfn.XLOOKUP(Table4[[#This Row],[country]],Table2[country],Table2[country_id],FALSE)</f>
        <v>15</v>
      </c>
      <c r="C717" t="s">
        <v>32</v>
      </c>
      <c r="D717">
        <v>2024</v>
      </c>
      <c r="E717">
        <f>_xlfn.XLOOKUP(Table4[[#This Row],[year]],Table1[year],Table1[year_id])</f>
        <v>15</v>
      </c>
      <c r="F717" t="s">
        <v>29</v>
      </c>
      <c r="G717" t="s">
        <v>34</v>
      </c>
      <c r="H717" cm="1">
        <f t="array" ref="H717">_xlfn.XLOOKUP(Table4[[#This Row],[vehicle_segment]]&amp;Table4[[#This Row],[powertrain_type]],Table3[vehicle_segment]&amp;Table3[powertrain_type],Table3[vehicle_id])</f>
        <v>5</v>
      </c>
      <c r="I717">
        <v>82124</v>
      </c>
      <c r="J717">
        <v>10471</v>
      </c>
      <c r="K717">
        <v>2007</v>
      </c>
      <c r="L717">
        <v>94602</v>
      </c>
      <c r="M717">
        <v>86.81</v>
      </c>
      <c r="N717">
        <v>33158</v>
      </c>
      <c r="O717">
        <v>31.7</v>
      </c>
      <c r="P717">
        <v>481</v>
      </c>
      <c r="Q717">
        <v>2.09</v>
      </c>
      <c r="R717">
        <v>0.155</v>
      </c>
      <c r="S717">
        <v>94974</v>
      </c>
      <c r="T717">
        <v>83.5</v>
      </c>
      <c r="U717">
        <v>6</v>
      </c>
      <c r="V717">
        <v>0</v>
      </c>
      <c r="W717">
        <v>95.602000000000004</v>
      </c>
      <c r="X717">
        <v>2.74</v>
      </c>
      <c r="Y717">
        <v>1</v>
      </c>
    </row>
    <row r="718" spans="1:25" x14ac:dyDescent="0.25">
      <c r="A718" t="s">
        <v>49</v>
      </c>
      <c r="B718">
        <f>_xlfn.XLOOKUP(Table4[[#This Row],[country]],Table2[country],Table2[country_id],FALSE)</f>
        <v>15</v>
      </c>
      <c r="C718" t="s">
        <v>32</v>
      </c>
      <c r="D718">
        <v>2024</v>
      </c>
      <c r="E718">
        <f>_xlfn.XLOOKUP(Table4[[#This Row],[year]],Table1[year],Table1[year_id])</f>
        <v>15</v>
      </c>
      <c r="F718" t="s">
        <v>30</v>
      </c>
      <c r="G718" t="s">
        <v>34</v>
      </c>
      <c r="H718" cm="1">
        <f t="array" ref="H718">_xlfn.XLOOKUP(Table4[[#This Row],[vehicle_segment]]&amp;Table4[[#This Row],[powertrain_type]],Table3[vehicle_segment]&amp;Table3[powertrain_type],Table3[vehicle_id])</f>
        <v>4</v>
      </c>
      <c r="I718">
        <v>36884</v>
      </c>
      <c r="J718">
        <v>1786</v>
      </c>
      <c r="K718">
        <v>155</v>
      </c>
      <c r="L718">
        <v>38825</v>
      </c>
      <c r="M718">
        <v>95</v>
      </c>
      <c r="N718">
        <v>33158</v>
      </c>
      <c r="O718">
        <v>31.7</v>
      </c>
      <c r="P718">
        <v>481</v>
      </c>
      <c r="Q718">
        <v>2.09</v>
      </c>
      <c r="R718">
        <v>0.155</v>
      </c>
      <c r="S718">
        <v>94974</v>
      </c>
      <c r="T718">
        <v>83.5</v>
      </c>
      <c r="U718">
        <v>6</v>
      </c>
      <c r="V718">
        <v>0</v>
      </c>
      <c r="W718">
        <v>95.602000000000004</v>
      </c>
      <c r="X718">
        <v>3.45</v>
      </c>
      <c r="Y718">
        <v>1</v>
      </c>
    </row>
    <row r="719" spans="1:25" x14ac:dyDescent="0.25">
      <c r="A719" t="s">
        <v>49</v>
      </c>
      <c r="B719">
        <f>_xlfn.XLOOKUP(Table4[[#This Row],[country]],Table2[country],Table2[country_id],FALSE)</f>
        <v>15</v>
      </c>
      <c r="C719" t="s">
        <v>32</v>
      </c>
      <c r="D719">
        <v>2025</v>
      </c>
      <c r="E719">
        <f>_xlfn.XLOOKUP(Table4[[#This Row],[year]],Table1[year],Table1[year_id])</f>
        <v>16</v>
      </c>
      <c r="F719" t="s">
        <v>27</v>
      </c>
      <c r="G719" t="s">
        <v>28</v>
      </c>
      <c r="H719" cm="1">
        <f t="array" ref="H719">_xlfn.XLOOKUP(Table4[[#This Row],[vehicle_segment]]&amp;Table4[[#This Row],[powertrain_type]],Table3[vehicle_segment]&amp;Table3[powertrain_type],Table3[vehicle_id])</f>
        <v>1</v>
      </c>
      <c r="I719">
        <v>7082</v>
      </c>
      <c r="J719">
        <v>9845</v>
      </c>
      <c r="K719">
        <v>6563</v>
      </c>
      <c r="L719">
        <v>23490</v>
      </c>
      <c r="M719">
        <v>30.15</v>
      </c>
      <c r="N719">
        <v>35915</v>
      </c>
      <c r="O719">
        <v>32.200000000000003</v>
      </c>
      <c r="P719">
        <v>507</v>
      </c>
      <c r="Q719">
        <v>2.04</v>
      </c>
      <c r="R719">
        <v>0.14399999999999999</v>
      </c>
      <c r="S719">
        <v>96351</v>
      </c>
      <c r="T719">
        <v>84.3</v>
      </c>
      <c r="U719">
        <v>5.4</v>
      </c>
      <c r="V719">
        <v>0</v>
      </c>
      <c r="W719">
        <v>95.602000000000004</v>
      </c>
      <c r="X719">
        <v>4.2699999999999996</v>
      </c>
      <c r="Y719">
        <v>0</v>
      </c>
    </row>
    <row r="720" spans="1:25" x14ac:dyDescent="0.25">
      <c r="A720" t="s">
        <v>49</v>
      </c>
      <c r="B720">
        <f>_xlfn.XLOOKUP(Table4[[#This Row],[country]],Table2[country],Table2[country_id],FALSE)</f>
        <v>15</v>
      </c>
      <c r="C720" t="s">
        <v>32</v>
      </c>
      <c r="D720">
        <v>2025</v>
      </c>
      <c r="E720">
        <f>_xlfn.XLOOKUP(Table4[[#This Row],[year]],Table1[year],Table1[year_id])</f>
        <v>16</v>
      </c>
      <c r="F720" t="s">
        <v>29</v>
      </c>
      <c r="G720" t="s">
        <v>34</v>
      </c>
      <c r="H720" cm="1">
        <f t="array" ref="H720">_xlfn.XLOOKUP(Table4[[#This Row],[vehicle_segment]]&amp;Table4[[#This Row],[powertrain_type]],Table3[vehicle_segment]&amp;Table3[powertrain_type],Table3[vehicle_id])</f>
        <v>5</v>
      </c>
      <c r="I720">
        <v>80945</v>
      </c>
      <c r="J720">
        <v>11461</v>
      </c>
      <c r="K720">
        <v>1563</v>
      </c>
      <c r="L720">
        <v>93969</v>
      </c>
      <c r="M720">
        <v>86.14</v>
      </c>
      <c r="N720">
        <v>35915</v>
      </c>
      <c r="O720">
        <v>32.200000000000003</v>
      </c>
      <c r="P720">
        <v>507</v>
      </c>
      <c r="Q720">
        <v>2.04</v>
      </c>
      <c r="R720">
        <v>0.14399999999999999</v>
      </c>
      <c r="S720">
        <v>96351</v>
      </c>
      <c r="T720">
        <v>84.3</v>
      </c>
      <c r="U720">
        <v>5.4</v>
      </c>
      <c r="V720">
        <v>0</v>
      </c>
      <c r="W720">
        <v>95.602000000000004</v>
      </c>
      <c r="X720">
        <v>-1.44</v>
      </c>
      <c r="Y720">
        <v>1</v>
      </c>
    </row>
    <row r="721" spans="1:25" x14ac:dyDescent="0.25">
      <c r="A721" t="s">
        <v>49</v>
      </c>
      <c r="B721">
        <f>_xlfn.XLOOKUP(Table4[[#This Row],[country]],Table2[country],Table2[country_id],FALSE)</f>
        <v>15</v>
      </c>
      <c r="C721" t="s">
        <v>32</v>
      </c>
      <c r="D721">
        <v>2025</v>
      </c>
      <c r="E721">
        <f>_xlfn.XLOOKUP(Table4[[#This Row],[year]],Table1[year],Table1[year_id])</f>
        <v>16</v>
      </c>
      <c r="F721" t="s">
        <v>30</v>
      </c>
      <c r="G721" t="s">
        <v>34</v>
      </c>
      <c r="H721" cm="1">
        <f t="array" ref="H721">_xlfn.XLOOKUP(Table4[[#This Row],[vehicle_segment]]&amp;Table4[[#This Row],[powertrain_type]],Table3[vehicle_segment]&amp;Table3[powertrain_type],Table3[vehicle_id])</f>
        <v>4</v>
      </c>
      <c r="I721">
        <v>37238</v>
      </c>
      <c r="J721">
        <v>1803</v>
      </c>
      <c r="K721">
        <v>157</v>
      </c>
      <c r="L721">
        <v>39198</v>
      </c>
      <c r="M721">
        <v>95</v>
      </c>
      <c r="N721">
        <v>35915</v>
      </c>
      <c r="O721">
        <v>32.200000000000003</v>
      </c>
      <c r="P721">
        <v>507</v>
      </c>
      <c r="Q721">
        <v>2.04</v>
      </c>
      <c r="R721">
        <v>0.14399999999999999</v>
      </c>
      <c r="S721">
        <v>96351</v>
      </c>
      <c r="T721">
        <v>84.3</v>
      </c>
      <c r="U721">
        <v>5.4</v>
      </c>
      <c r="V721">
        <v>0</v>
      </c>
      <c r="W721">
        <v>95.602000000000004</v>
      </c>
      <c r="X721">
        <v>0.96</v>
      </c>
      <c r="Y721">
        <v>1</v>
      </c>
    </row>
    <row r="722" spans="1:25" x14ac:dyDescent="0.25">
      <c r="A722" t="s">
        <v>50</v>
      </c>
      <c r="B722">
        <f>_xlfn.XLOOKUP(Table4[[#This Row],[country]],Table2[country],Table2[country_id],FALSE)</f>
        <v>16</v>
      </c>
      <c r="C722" t="s">
        <v>32</v>
      </c>
      <c r="D722">
        <v>2010</v>
      </c>
      <c r="E722">
        <f>_xlfn.XLOOKUP(Table4[[#This Row],[year]],Table1[year],Table1[year_id])</f>
        <v>1</v>
      </c>
      <c r="F722" t="s">
        <v>27</v>
      </c>
      <c r="G722" t="s">
        <v>28</v>
      </c>
      <c r="H722" cm="1">
        <f t="array" ref="H722">_xlfn.XLOOKUP(Table4[[#This Row],[vehicle_segment]]&amp;Table4[[#This Row],[powertrain_type]],Table3[vehicle_segment]&amp;Table3[powertrain_type],Table3[vehicle_id])</f>
        <v>1</v>
      </c>
      <c r="I722">
        <v>5</v>
      </c>
      <c r="J722">
        <v>30458</v>
      </c>
      <c r="K722">
        <v>20309</v>
      </c>
      <c r="L722">
        <v>50772</v>
      </c>
      <c r="M722">
        <v>0.01</v>
      </c>
      <c r="N722">
        <v>0</v>
      </c>
      <c r="O722">
        <v>0</v>
      </c>
      <c r="P722">
        <v>111</v>
      </c>
      <c r="Q722">
        <v>1.26</v>
      </c>
      <c r="R722">
        <v>0.14299999999999999</v>
      </c>
      <c r="S722">
        <v>12774</v>
      </c>
      <c r="T722">
        <v>60.9</v>
      </c>
      <c r="U722">
        <v>42.9</v>
      </c>
      <c r="V722">
        <v>0</v>
      </c>
      <c r="W722">
        <v>35.5</v>
      </c>
      <c r="X722">
        <v>0</v>
      </c>
      <c r="Y722">
        <v>0</v>
      </c>
    </row>
    <row r="723" spans="1:25" x14ac:dyDescent="0.25">
      <c r="A723" t="s">
        <v>50</v>
      </c>
      <c r="B723">
        <f>_xlfn.XLOOKUP(Table4[[#This Row],[country]],Table2[country],Table2[country_id],FALSE)</f>
        <v>16</v>
      </c>
      <c r="C723" t="s">
        <v>32</v>
      </c>
      <c r="D723">
        <v>2010</v>
      </c>
      <c r="E723">
        <f>_xlfn.XLOOKUP(Table4[[#This Row],[year]],Table1[year],Table1[year_id])</f>
        <v>1</v>
      </c>
      <c r="F723" t="s">
        <v>29</v>
      </c>
      <c r="G723" t="s">
        <v>28</v>
      </c>
      <c r="H723" cm="1">
        <f t="array" ref="H723">_xlfn.XLOOKUP(Table4[[#This Row],[vehicle_segment]]&amp;Table4[[#This Row],[powertrain_type]],Table3[vehicle_segment]&amp;Table3[powertrain_type],Table3[vehicle_id])</f>
        <v>2</v>
      </c>
      <c r="I723">
        <v>15</v>
      </c>
      <c r="J723">
        <v>179802</v>
      </c>
      <c r="K723">
        <v>24520</v>
      </c>
      <c r="L723">
        <v>204337</v>
      </c>
      <c r="M723">
        <v>0.01</v>
      </c>
      <c r="N723">
        <v>0</v>
      </c>
      <c r="O723">
        <v>0</v>
      </c>
      <c r="P723">
        <v>111</v>
      </c>
      <c r="Q723">
        <v>1.26</v>
      </c>
      <c r="R723">
        <v>0.14299999999999999</v>
      </c>
      <c r="S723">
        <v>12774</v>
      </c>
      <c r="T723">
        <v>60.9</v>
      </c>
      <c r="U723">
        <v>42.9</v>
      </c>
      <c r="V723">
        <v>0</v>
      </c>
      <c r="W723">
        <v>35.5</v>
      </c>
      <c r="X723">
        <v>0</v>
      </c>
      <c r="Y723">
        <v>0</v>
      </c>
    </row>
    <row r="724" spans="1:25" x14ac:dyDescent="0.25">
      <c r="A724" t="s">
        <v>50</v>
      </c>
      <c r="B724">
        <f>_xlfn.XLOOKUP(Table4[[#This Row],[country]],Table2[country],Table2[country_id],FALSE)</f>
        <v>16</v>
      </c>
      <c r="C724" t="s">
        <v>32</v>
      </c>
      <c r="D724">
        <v>2010</v>
      </c>
      <c r="E724">
        <f>_xlfn.XLOOKUP(Table4[[#This Row],[year]],Table1[year],Table1[year_id])</f>
        <v>1</v>
      </c>
      <c r="F724" t="s">
        <v>30</v>
      </c>
      <c r="G724" t="s">
        <v>28</v>
      </c>
      <c r="H724" cm="1">
        <f t="array" ref="H724">_xlfn.XLOOKUP(Table4[[#This Row],[vehicle_segment]]&amp;Table4[[#This Row],[powertrain_type]],Table3[vehicle_segment]&amp;Table3[powertrain_type],Table3[vehicle_id])</f>
        <v>3</v>
      </c>
      <c r="I724">
        <v>10</v>
      </c>
      <c r="J724">
        <v>77444</v>
      </c>
      <c r="K724">
        <v>6735</v>
      </c>
      <c r="L724">
        <v>84189</v>
      </c>
      <c r="M724">
        <v>0.01</v>
      </c>
      <c r="N724">
        <v>0</v>
      </c>
      <c r="O724">
        <v>0</v>
      </c>
      <c r="P724">
        <v>111</v>
      </c>
      <c r="Q724">
        <v>1.26</v>
      </c>
      <c r="R724">
        <v>0.14299999999999999</v>
      </c>
      <c r="S724">
        <v>12774</v>
      </c>
      <c r="T724">
        <v>60.9</v>
      </c>
      <c r="U724">
        <v>42.9</v>
      </c>
      <c r="V724">
        <v>0</v>
      </c>
      <c r="W724">
        <v>35.5</v>
      </c>
      <c r="X724">
        <v>0</v>
      </c>
      <c r="Y724">
        <v>0</v>
      </c>
    </row>
    <row r="725" spans="1:25" x14ac:dyDescent="0.25">
      <c r="A725" t="s">
        <v>50</v>
      </c>
      <c r="B725">
        <f>_xlfn.XLOOKUP(Table4[[#This Row],[country]],Table2[country],Table2[country_id],FALSE)</f>
        <v>16</v>
      </c>
      <c r="C725" t="s">
        <v>32</v>
      </c>
      <c r="D725">
        <v>2011</v>
      </c>
      <c r="E725">
        <f>_xlfn.XLOOKUP(Table4[[#This Row],[year]],Table1[year],Table1[year_id])</f>
        <v>2</v>
      </c>
      <c r="F725" t="s">
        <v>27</v>
      </c>
      <c r="G725" t="s">
        <v>28</v>
      </c>
      <c r="H725" cm="1">
        <f t="array" ref="H725">_xlfn.XLOOKUP(Table4[[#This Row],[vehicle_segment]]&amp;Table4[[#This Row],[powertrain_type]],Table3[vehicle_segment]&amp;Table3[powertrain_type],Table3[vehicle_id])</f>
        <v>1</v>
      </c>
      <c r="I725">
        <v>5</v>
      </c>
      <c r="J725">
        <v>30688</v>
      </c>
      <c r="K725">
        <v>20461</v>
      </c>
      <c r="L725">
        <v>51154</v>
      </c>
      <c r="M725">
        <v>0.01</v>
      </c>
      <c r="N725">
        <v>33</v>
      </c>
      <c r="O725">
        <v>1.1000000000000001</v>
      </c>
      <c r="P725">
        <v>133</v>
      </c>
      <c r="Q725">
        <v>1.22</v>
      </c>
      <c r="R725">
        <v>0.14199999999999999</v>
      </c>
      <c r="S725">
        <v>12432</v>
      </c>
      <c r="T725">
        <v>60.4</v>
      </c>
      <c r="U725">
        <v>43.5</v>
      </c>
      <c r="V725">
        <v>461</v>
      </c>
      <c r="W725">
        <v>36.299999999999997</v>
      </c>
      <c r="X725">
        <v>0</v>
      </c>
      <c r="Y725">
        <v>0</v>
      </c>
    </row>
    <row r="726" spans="1:25" x14ac:dyDescent="0.25">
      <c r="A726" t="s">
        <v>50</v>
      </c>
      <c r="B726">
        <f>_xlfn.XLOOKUP(Table4[[#This Row],[country]],Table2[country],Table2[country_id],FALSE)</f>
        <v>16</v>
      </c>
      <c r="C726" t="s">
        <v>32</v>
      </c>
      <c r="D726">
        <v>2011</v>
      </c>
      <c r="E726">
        <f>_xlfn.XLOOKUP(Table4[[#This Row],[year]],Table1[year],Table1[year_id])</f>
        <v>2</v>
      </c>
      <c r="F726" t="s">
        <v>29</v>
      </c>
      <c r="G726" t="s">
        <v>28</v>
      </c>
      <c r="H726" cm="1">
        <f t="array" ref="H726">_xlfn.XLOOKUP(Table4[[#This Row],[vehicle_segment]]&amp;Table4[[#This Row],[powertrain_type]],Table3[vehicle_segment]&amp;Table3[powertrain_type],Table3[vehicle_id])</f>
        <v>2</v>
      </c>
      <c r="I726">
        <v>20</v>
      </c>
      <c r="J726">
        <v>179407</v>
      </c>
      <c r="K726">
        <v>24465</v>
      </c>
      <c r="L726">
        <v>203892</v>
      </c>
      <c r="M726">
        <v>0.01</v>
      </c>
      <c r="N726">
        <v>33</v>
      </c>
      <c r="O726">
        <v>1.1000000000000001</v>
      </c>
      <c r="P726">
        <v>133</v>
      </c>
      <c r="Q726">
        <v>1.22</v>
      </c>
      <c r="R726">
        <v>0.14199999999999999</v>
      </c>
      <c r="S726">
        <v>12432</v>
      </c>
      <c r="T726">
        <v>60.4</v>
      </c>
      <c r="U726">
        <v>43.5</v>
      </c>
      <c r="V726">
        <v>461</v>
      </c>
      <c r="W726">
        <v>36.299999999999997</v>
      </c>
      <c r="X726">
        <v>33.33</v>
      </c>
      <c r="Y726">
        <v>0</v>
      </c>
    </row>
    <row r="727" spans="1:25" x14ac:dyDescent="0.25">
      <c r="A727" t="s">
        <v>50</v>
      </c>
      <c r="B727">
        <f>_xlfn.XLOOKUP(Table4[[#This Row],[country]],Table2[country],Table2[country_id],FALSE)</f>
        <v>16</v>
      </c>
      <c r="C727" t="s">
        <v>32</v>
      </c>
      <c r="D727">
        <v>2011</v>
      </c>
      <c r="E727">
        <f>_xlfn.XLOOKUP(Table4[[#This Row],[year]],Table1[year],Table1[year_id])</f>
        <v>2</v>
      </c>
      <c r="F727" t="s">
        <v>30</v>
      </c>
      <c r="G727" t="s">
        <v>28</v>
      </c>
      <c r="H727" cm="1">
        <f t="array" ref="H727">_xlfn.XLOOKUP(Table4[[#This Row],[vehicle_segment]]&amp;Table4[[#This Row],[powertrain_type]],Table3[vehicle_segment]&amp;Table3[powertrain_type],Table3[vehicle_id])</f>
        <v>3</v>
      </c>
      <c r="I727">
        <v>12</v>
      </c>
      <c r="J727">
        <v>76516</v>
      </c>
      <c r="K727">
        <v>6654</v>
      </c>
      <c r="L727">
        <v>83182</v>
      </c>
      <c r="M727">
        <v>0.01</v>
      </c>
      <c r="N727">
        <v>33</v>
      </c>
      <c r="O727">
        <v>1.1000000000000001</v>
      </c>
      <c r="P727">
        <v>133</v>
      </c>
      <c r="Q727">
        <v>1.22</v>
      </c>
      <c r="R727">
        <v>0.14199999999999999</v>
      </c>
      <c r="S727">
        <v>12432</v>
      </c>
      <c r="T727">
        <v>60.4</v>
      </c>
      <c r="U727">
        <v>43.5</v>
      </c>
      <c r="V727">
        <v>461</v>
      </c>
      <c r="W727">
        <v>36.299999999999997</v>
      </c>
      <c r="X727">
        <v>20</v>
      </c>
      <c r="Y727">
        <v>0</v>
      </c>
    </row>
    <row r="728" spans="1:25" x14ac:dyDescent="0.25">
      <c r="A728" t="s">
        <v>50</v>
      </c>
      <c r="B728">
        <f>_xlfn.XLOOKUP(Table4[[#This Row],[country]],Table2[country],Table2[country_id],FALSE)</f>
        <v>16</v>
      </c>
      <c r="C728" t="s">
        <v>32</v>
      </c>
      <c r="D728">
        <v>2012</v>
      </c>
      <c r="E728">
        <f>_xlfn.XLOOKUP(Table4[[#This Row],[year]],Table1[year],Table1[year_id])</f>
        <v>3</v>
      </c>
      <c r="F728" t="s">
        <v>27</v>
      </c>
      <c r="G728" t="s">
        <v>28</v>
      </c>
      <c r="H728" cm="1">
        <f t="array" ref="H728">_xlfn.XLOOKUP(Table4[[#This Row],[vehicle_segment]]&amp;Table4[[#This Row],[powertrain_type]],Table3[vehicle_segment]&amp;Table3[powertrain_type],Table3[vehicle_id])</f>
        <v>1</v>
      </c>
      <c r="I728">
        <v>10</v>
      </c>
      <c r="J728">
        <v>29335</v>
      </c>
      <c r="K728">
        <v>19562</v>
      </c>
      <c r="L728">
        <v>48907</v>
      </c>
      <c r="M728">
        <v>0.02</v>
      </c>
      <c r="N728">
        <v>69</v>
      </c>
      <c r="O728">
        <v>1.9</v>
      </c>
      <c r="P728">
        <v>148</v>
      </c>
      <c r="Q728">
        <v>1.1870000000000001</v>
      </c>
      <c r="R728">
        <v>0.14000000000000001</v>
      </c>
      <c r="S728">
        <v>12537</v>
      </c>
      <c r="T728">
        <v>60.5</v>
      </c>
      <c r="U728">
        <v>44.9</v>
      </c>
      <c r="V728">
        <v>908</v>
      </c>
      <c r="W728">
        <v>37.799999999999997</v>
      </c>
      <c r="X728">
        <v>41.42</v>
      </c>
      <c r="Y728">
        <v>0</v>
      </c>
    </row>
    <row r="729" spans="1:25" x14ac:dyDescent="0.25">
      <c r="A729" t="s">
        <v>50</v>
      </c>
      <c r="B729">
        <f>_xlfn.XLOOKUP(Table4[[#This Row],[country]],Table2[country],Table2[country_id],FALSE)</f>
        <v>16</v>
      </c>
      <c r="C729" t="s">
        <v>32</v>
      </c>
      <c r="D729">
        <v>2012</v>
      </c>
      <c r="E729">
        <f>_xlfn.XLOOKUP(Table4[[#This Row],[year]],Table1[year],Table1[year_id])</f>
        <v>3</v>
      </c>
      <c r="F729" t="s">
        <v>29</v>
      </c>
      <c r="G729" t="s">
        <v>28</v>
      </c>
      <c r="H729" cm="1">
        <f t="array" ref="H729">_xlfn.XLOOKUP(Table4[[#This Row],[vehicle_segment]]&amp;Table4[[#This Row],[powertrain_type]],Table3[vehicle_segment]&amp;Table3[powertrain_type],Table3[vehicle_id])</f>
        <v>2</v>
      </c>
      <c r="I729">
        <v>39</v>
      </c>
      <c r="J729">
        <v>170818</v>
      </c>
      <c r="K729">
        <v>23293</v>
      </c>
      <c r="L729">
        <v>194150</v>
      </c>
      <c r="M729">
        <v>0.02</v>
      </c>
      <c r="N729">
        <v>69</v>
      </c>
      <c r="O729">
        <v>1.9</v>
      </c>
      <c r="P729">
        <v>148</v>
      </c>
      <c r="Q729">
        <v>1.1870000000000001</v>
      </c>
      <c r="R729">
        <v>0.14000000000000001</v>
      </c>
      <c r="S729">
        <v>12537</v>
      </c>
      <c r="T729">
        <v>60.5</v>
      </c>
      <c r="U729">
        <v>44.9</v>
      </c>
      <c r="V729">
        <v>908</v>
      </c>
      <c r="W729">
        <v>37.799999999999997</v>
      </c>
      <c r="X729">
        <v>61.25</v>
      </c>
      <c r="Y729">
        <v>0</v>
      </c>
    </row>
    <row r="730" spans="1:25" x14ac:dyDescent="0.25">
      <c r="A730" t="s">
        <v>50</v>
      </c>
      <c r="B730">
        <f>_xlfn.XLOOKUP(Table4[[#This Row],[country]],Table2[country],Table2[country_id],FALSE)</f>
        <v>16</v>
      </c>
      <c r="C730" t="s">
        <v>32</v>
      </c>
      <c r="D730">
        <v>2012</v>
      </c>
      <c r="E730">
        <f>_xlfn.XLOOKUP(Table4[[#This Row],[year]],Table1[year],Table1[year_id])</f>
        <v>3</v>
      </c>
      <c r="F730" t="s">
        <v>30</v>
      </c>
      <c r="G730" t="s">
        <v>28</v>
      </c>
      <c r="H730" cm="1">
        <f t="array" ref="H730">_xlfn.XLOOKUP(Table4[[#This Row],[vehicle_segment]]&amp;Table4[[#This Row],[powertrain_type]],Table3[vehicle_segment]&amp;Table3[powertrain_type],Table3[vehicle_id])</f>
        <v>3</v>
      </c>
      <c r="I730">
        <v>24</v>
      </c>
      <c r="J730">
        <v>75579</v>
      </c>
      <c r="K730">
        <v>6572</v>
      </c>
      <c r="L730">
        <v>82175</v>
      </c>
      <c r="M730">
        <v>0.03</v>
      </c>
      <c r="N730">
        <v>69</v>
      </c>
      <c r="O730">
        <v>1.9</v>
      </c>
      <c r="P730">
        <v>148</v>
      </c>
      <c r="Q730">
        <v>1.1870000000000001</v>
      </c>
      <c r="R730">
        <v>0.14000000000000001</v>
      </c>
      <c r="S730">
        <v>12537</v>
      </c>
      <c r="T730">
        <v>60.5</v>
      </c>
      <c r="U730">
        <v>44.9</v>
      </c>
      <c r="V730">
        <v>908</v>
      </c>
      <c r="W730">
        <v>37.799999999999997</v>
      </c>
      <c r="X730">
        <v>54.92</v>
      </c>
      <c r="Y730">
        <v>0</v>
      </c>
    </row>
    <row r="731" spans="1:25" x14ac:dyDescent="0.25">
      <c r="A731" t="s">
        <v>50</v>
      </c>
      <c r="B731">
        <f>_xlfn.XLOOKUP(Table4[[#This Row],[country]],Table2[country],Table2[country_id],FALSE)</f>
        <v>16</v>
      </c>
      <c r="C731" t="s">
        <v>32</v>
      </c>
      <c r="D731">
        <v>2013</v>
      </c>
      <c r="E731">
        <f>_xlfn.XLOOKUP(Table4[[#This Row],[year]],Table1[year],Table1[year_id])</f>
        <v>4</v>
      </c>
      <c r="F731" t="s">
        <v>27</v>
      </c>
      <c r="G731" t="s">
        <v>28</v>
      </c>
      <c r="H731" cm="1">
        <f t="array" ref="H731">_xlfn.XLOOKUP(Table4[[#This Row],[vehicle_segment]]&amp;Table4[[#This Row],[powertrain_type]],Table3[vehicle_segment]&amp;Table3[powertrain_type],Table3[vehicle_id])</f>
        <v>1</v>
      </c>
      <c r="I731">
        <v>8</v>
      </c>
      <c r="J731">
        <v>29076</v>
      </c>
      <c r="K731">
        <v>19388</v>
      </c>
      <c r="L731">
        <v>48472</v>
      </c>
      <c r="M731">
        <v>0.02</v>
      </c>
      <c r="N731">
        <v>108</v>
      </c>
      <c r="O731">
        <v>3.2</v>
      </c>
      <c r="P731">
        <v>130</v>
      </c>
      <c r="Q731">
        <v>1.153</v>
      </c>
      <c r="R731">
        <v>0.13900000000000001</v>
      </c>
      <c r="S731">
        <v>12431</v>
      </c>
      <c r="T731">
        <v>60.7</v>
      </c>
      <c r="U731">
        <v>46</v>
      </c>
      <c r="V731">
        <v>1382</v>
      </c>
      <c r="W731">
        <v>39.9</v>
      </c>
      <c r="X731">
        <v>16.96</v>
      </c>
      <c r="Y731">
        <v>0</v>
      </c>
    </row>
    <row r="732" spans="1:25" x14ac:dyDescent="0.25">
      <c r="A732" t="s">
        <v>50</v>
      </c>
      <c r="B732">
        <f>_xlfn.XLOOKUP(Table4[[#This Row],[country]],Table2[country],Table2[country_id],FALSE)</f>
        <v>16</v>
      </c>
      <c r="C732" t="s">
        <v>32</v>
      </c>
      <c r="D732">
        <v>2013</v>
      </c>
      <c r="E732">
        <f>_xlfn.XLOOKUP(Table4[[#This Row],[year]],Table1[year],Table1[year_id])</f>
        <v>4</v>
      </c>
      <c r="F732" t="s">
        <v>29</v>
      </c>
      <c r="G732" t="s">
        <v>28</v>
      </c>
      <c r="H732" cm="1">
        <f t="array" ref="H732">_xlfn.XLOOKUP(Table4[[#This Row],[vehicle_segment]]&amp;Table4[[#This Row],[powertrain_type]],Table3[vehicle_segment]&amp;Table3[powertrain_type],Table3[vehicle_id])</f>
        <v>2</v>
      </c>
      <c r="I732">
        <v>39</v>
      </c>
      <c r="J732">
        <v>172737</v>
      </c>
      <c r="K732">
        <v>23555</v>
      </c>
      <c r="L732">
        <v>196331</v>
      </c>
      <c r="M732">
        <v>0.02</v>
      </c>
      <c r="N732">
        <v>108</v>
      </c>
      <c r="O732">
        <v>3.2</v>
      </c>
      <c r="P732">
        <v>130</v>
      </c>
      <c r="Q732">
        <v>1.153</v>
      </c>
      <c r="R732">
        <v>0.13900000000000001</v>
      </c>
      <c r="S732">
        <v>12431</v>
      </c>
      <c r="T732">
        <v>60.7</v>
      </c>
      <c r="U732">
        <v>46</v>
      </c>
      <c r="V732">
        <v>1382</v>
      </c>
      <c r="W732">
        <v>39.9</v>
      </c>
      <c r="X732">
        <v>37.51</v>
      </c>
      <c r="Y732">
        <v>0</v>
      </c>
    </row>
    <row r="733" spans="1:25" x14ac:dyDescent="0.25">
      <c r="A733" t="s">
        <v>50</v>
      </c>
      <c r="B733">
        <f>_xlfn.XLOOKUP(Table4[[#This Row],[country]],Table2[country],Table2[country_id],FALSE)</f>
        <v>16</v>
      </c>
      <c r="C733" t="s">
        <v>32</v>
      </c>
      <c r="D733">
        <v>2013</v>
      </c>
      <c r="E733">
        <f>_xlfn.XLOOKUP(Table4[[#This Row],[year]],Table1[year],Table1[year_id])</f>
        <v>4</v>
      </c>
      <c r="F733" t="s">
        <v>30</v>
      </c>
      <c r="G733" t="s">
        <v>28</v>
      </c>
      <c r="H733" cm="1">
        <f t="array" ref="H733">_xlfn.XLOOKUP(Table4[[#This Row],[vehicle_segment]]&amp;Table4[[#This Row],[powertrain_type]],Table3[vehicle_segment]&amp;Table3[powertrain_type],Table3[vehicle_id])</f>
        <v>3</v>
      </c>
      <c r="I733">
        <v>24</v>
      </c>
      <c r="J733">
        <v>75395</v>
      </c>
      <c r="K733">
        <v>6556</v>
      </c>
      <c r="L733">
        <v>81975</v>
      </c>
      <c r="M733">
        <v>0.03</v>
      </c>
      <c r="N733">
        <v>108</v>
      </c>
      <c r="O733">
        <v>3.2</v>
      </c>
      <c r="P733">
        <v>130</v>
      </c>
      <c r="Q733">
        <v>1.153</v>
      </c>
      <c r="R733">
        <v>0.13900000000000001</v>
      </c>
      <c r="S733">
        <v>12431</v>
      </c>
      <c r="T733">
        <v>60.7</v>
      </c>
      <c r="U733">
        <v>46</v>
      </c>
      <c r="V733">
        <v>1382</v>
      </c>
      <c r="W733">
        <v>39.9</v>
      </c>
      <c r="X733">
        <v>33.89</v>
      </c>
      <c r="Y733">
        <v>0</v>
      </c>
    </row>
    <row r="734" spans="1:25" x14ac:dyDescent="0.25">
      <c r="A734" t="s">
        <v>50</v>
      </c>
      <c r="B734">
        <f>_xlfn.XLOOKUP(Table4[[#This Row],[country]],Table2[country],Table2[country_id],FALSE)</f>
        <v>16</v>
      </c>
      <c r="C734" t="s">
        <v>32</v>
      </c>
      <c r="D734">
        <v>2014</v>
      </c>
      <c r="E734">
        <f>_xlfn.XLOOKUP(Table4[[#This Row],[year]],Table1[year],Table1[year_id])</f>
        <v>5</v>
      </c>
      <c r="F734" t="s">
        <v>27</v>
      </c>
      <c r="G734" t="s">
        <v>28</v>
      </c>
      <c r="H734" cm="1">
        <f t="array" ref="H734">_xlfn.XLOOKUP(Table4[[#This Row],[vehicle_segment]]&amp;Table4[[#This Row],[powertrain_type]],Table3[vehicle_segment]&amp;Table3[powertrain_type],Table3[vehicle_id])</f>
        <v>1</v>
      </c>
      <c r="I734">
        <v>6</v>
      </c>
      <c r="J734">
        <v>34065</v>
      </c>
      <c r="K734">
        <v>22710</v>
      </c>
      <c r="L734">
        <v>56781</v>
      </c>
      <c r="M734">
        <v>0.01</v>
      </c>
      <c r="N734">
        <v>131</v>
      </c>
      <c r="O734">
        <v>4</v>
      </c>
      <c r="P734">
        <v>148</v>
      </c>
      <c r="Q734">
        <v>1.127</v>
      </c>
      <c r="R734">
        <v>0.14099999999999999</v>
      </c>
      <c r="S734">
        <v>12560</v>
      </c>
      <c r="T734">
        <v>60.3</v>
      </c>
      <c r="U734">
        <v>47.3</v>
      </c>
      <c r="V734">
        <v>1820</v>
      </c>
      <c r="W734">
        <v>40.200000000000003</v>
      </c>
      <c r="X734">
        <v>6.27</v>
      </c>
      <c r="Y734">
        <v>0</v>
      </c>
    </row>
    <row r="735" spans="1:25" x14ac:dyDescent="0.25">
      <c r="A735" t="s">
        <v>50</v>
      </c>
      <c r="B735">
        <f>_xlfn.XLOOKUP(Table4[[#This Row],[country]],Table2[country],Table2[country_id],FALSE)</f>
        <v>16</v>
      </c>
      <c r="C735" t="s">
        <v>32</v>
      </c>
      <c r="D735">
        <v>2014</v>
      </c>
      <c r="E735">
        <f>_xlfn.XLOOKUP(Table4[[#This Row],[year]],Table1[year],Table1[year_id])</f>
        <v>5</v>
      </c>
      <c r="F735" t="s">
        <v>29</v>
      </c>
      <c r="G735" t="s">
        <v>28</v>
      </c>
      <c r="H735" cm="1">
        <f t="array" ref="H735">_xlfn.XLOOKUP(Table4[[#This Row],[vehicle_segment]]&amp;Table4[[#This Row],[powertrain_type]],Table3[vehicle_segment]&amp;Table3[powertrain_type],Table3[vehicle_id])</f>
        <v>2</v>
      </c>
      <c r="I735">
        <v>66</v>
      </c>
      <c r="J735">
        <v>193494</v>
      </c>
      <c r="K735">
        <v>26385</v>
      </c>
      <c r="L735">
        <v>219945</v>
      </c>
      <c r="M735">
        <v>0.03</v>
      </c>
      <c r="N735">
        <v>131</v>
      </c>
      <c r="O735">
        <v>4</v>
      </c>
      <c r="P735">
        <v>148</v>
      </c>
      <c r="Q735">
        <v>1.127</v>
      </c>
      <c r="R735">
        <v>0.14099999999999999</v>
      </c>
      <c r="S735">
        <v>12560</v>
      </c>
      <c r="T735">
        <v>60.3</v>
      </c>
      <c r="U735">
        <v>47.3</v>
      </c>
      <c r="V735">
        <v>1820</v>
      </c>
      <c r="W735">
        <v>40.200000000000003</v>
      </c>
      <c r="X735">
        <v>48.88</v>
      </c>
      <c r="Y735">
        <v>0</v>
      </c>
    </row>
    <row r="736" spans="1:25" x14ac:dyDescent="0.25">
      <c r="A736" t="s">
        <v>50</v>
      </c>
      <c r="B736">
        <f>_xlfn.XLOOKUP(Table4[[#This Row],[country]],Table2[country],Table2[country_id],FALSE)</f>
        <v>16</v>
      </c>
      <c r="C736" t="s">
        <v>32</v>
      </c>
      <c r="D736">
        <v>2014</v>
      </c>
      <c r="E736">
        <f>_xlfn.XLOOKUP(Table4[[#This Row],[year]],Table1[year],Table1[year_id])</f>
        <v>5</v>
      </c>
      <c r="F736" t="s">
        <v>30</v>
      </c>
      <c r="G736" t="s">
        <v>28</v>
      </c>
      <c r="H736" cm="1">
        <f t="array" ref="H736">_xlfn.XLOOKUP(Table4[[#This Row],[vehicle_segment]]&amp;Table4[[#This Row],[powertrain_type]],Table3[vehicle_segment]&amp;Table3[powertrain_type],Table3[vehicle_id])</f>
        <v>3</v>
      </c>
      <c r="I736">
        <v>40</v>
      </c>
      <c r="J736">
        <v>85002</v>
      </c>
      <c r="K736">
        <v>7391</v>
      </c>
      <c r="L736">
        <v>92433</v>
      </c>
      <c r="M736">
        <v>0.04</v>
      </c>
      <c r="N736">
        <v>131</v>
      </c>
      <c r="O736">
        <v>4</v>
      </c>
      <c r="P736">
        <v>148</v>
      </c>
      <c r="Q736">
        <v>1.127</v>
      </c>
      <c r="R736">
        <v>0.14099999999999999</v>
      </c>
      <c r="S736">
        <v>12560</v>
      </c>
      <c r="T736">
        <v>60.3</v>
      </c>
      <c r="U736">
        <v>47.3</v>
      </c>
      <c r="V736">
        <v>1820</v>
      </c>
      <c r="W736">
        <v>40.200000000000003</v>
      </c>
      <c r="X736">
        <v>49.38</v>
      </c>
      <c r="Y736">
        <v>0</v>
      </c>
    </row>
    <row r="737" spans="1:25" x14ac:dyDescent="0.25">
      <c r="A737" t="s">
        <v>50</v>
      </c>
      <c r="B737">
        <f>_xlfn.XLOOKUP(Table4[[#This Row],[country]],Table2[country],Table2[country_id],FALSE)</f>
        <v>16</v>
      </c>
      <c r="C737" t="s">
        <v>32</v>
      </c>
      <c r="D737">
        <v>2015</v>
      </c>
      <c r="E737">
        <f>_xlfn.XLOOKUP(Table4[[#This Row],[year]],Table1[year],Table1[year_id])</f>
        <v>6</v>
      </c>
      <c r="F737" t="s">
        <v>27</v>
      </c>
      <c r="G737" t="s">
        <v>28</v>
      </c>
      <c r="H737" cm="1">
        <f t="array" ref="H737">_xlfn.XLOOKUP(Table4[[#This Row],[vehicle_segment]]&amp;Table4[[#This Row],[powertrain_type]],Table3[vehicle_segment]&amp;Table3[powertrain_type],Table3[vehicle_id])</f>
        <v>1</v>
      </c>
      <c r="I737">
        <v>15</v>
      </c>
      <c r="J737">
        <v>36476</v>
      </c>
      <c r="K737">
        <v>24318</v>
      </c>
      <c r="L737">
        <v>60809</v>
      </c>
      <c r="M737">
        <v>0.02</v>
      </c>
      <c r="N737">
        <v>153</v>
      </c>
      <c r="O737">
        <v>5.3</v>
      </c>
      <c r="P737">
        <v>175</v>
      </c>
      <c r="Q737">
        <v>1.113</v>
      </c>
      <c r="R737">
        <v>0.14299999999999999</v>
      </c>
      <c r="S737">
        <v>12237</v>
      </c>
      <c r="T737">
        <v>60.1</v>
      </c>
      <c r="U737">
        <v>48.3</v>
      </c>
      <c r="V737">
        <v>2277</v>
      </c>
      <c r="W737">
        <v>42.6</v>
      </c>
      <c r="X737">
        <v>14.47</v>
      </c>
      <c r="Y737">
        <v>0</v>
      </c>
    </row>
    <row r="738" spans="1:25" x14ac:dyDescent="0.25">
      <c r="A738" t="s">
        <v>50</v>
      </c>
      <c r="B738">
        <f>_xlfn.XLOOKUP(Table4[[#This Row],[country]],Table2[country],Table2[country_id],FALSE)</f>
        <v>16</v>
      </c>
      <c r="C738" t="s">
        <v>32</v>
      </c>
      <c r="D738">
        <v>2015</v>
      </c>
      <c r="E738">
        <f>_xlfn.XLOOKUP(Table4[[#This Row],[year]],Table1[year],Table1[year_id])</f>
        <v>6</v>
      </c>
      <c r="F738" t="s">
        <v>29</v>
      </c>
      <c r="G738" t="s">
        <v>28</v>
      </c>
      <c r="H738" cm="1">
        <f t="array" ref="H738">_xlfn.XLOOKUP(Table4[[#This Row],[vehicle_segment]]&amp;Table4[[#This Row],[powertrain_type]],Table3[vehicle_segment]&amp;Table3[powertrain_type],Table3[vehicle_id])</f>
        <v>2</v>
      </c>
      <c r="I738">
        <v>171</v>
      </c>
      <c r="J738">
        <v>214912</v>
      </c>
      <c r="K738">
        <v>29306</v>
      </c>
      <c r="L738">
        <v>244389</v>
      </c>
      <c r="M738">
        <v>7.0000000000000007E-2</v>
      </c>
      <c r="N738">
        <v>153</v>
      </c>
      <c r="O738">
        <v>5.3</v>
      </c>
      <c r="P738">
        <v>175</v>
      </c>
      <c r="Q738">
        <v>1.113</v>
      </c>
      <c r="R738">
        <v>0.14299999999999999</v>
      </c>
      <c r="S738">
        <v>12237</v>
      </c>
      <c r="T738">
        <v>60.1</v>
      </c>
      <c r="U738">
        <v>48.3</v>
      </c>
      <c r="V738">
        <v>2277</v>
      </c>
      <c r="W738">
        <v>42.6</v>
      </c>
      <c r="X738">
        <v>63.67</v>
      </c>
      <c r="Y738">
        <v>0</v>
      </c>
    </row>
    <row r="739" spans="1:25" x14ac:dyDescent="0.25">
      <c r="A739" t="s">
        <v>50</v>
      </c>
      <c r="B739">
        <f>_xlfn.XLOOKUP(Table4[[#This Row],[country]],Table2[country],Table2[country_id],FALSE)</f>
        <v>16</v>
      </c>
      <c r="C739" t="s">
        <v>32</v>
      </c>
      <c r="D739">
        <v>2015</v>
      </c>
      <c r="E739">
        <f>_xlfn.XLOOKUP(Table4[[#This Row],[year]],Table1[year],Table1[year_id])</f>
        <v>6</v>
      </c>
      <c r="F739" t="s">
        <v>30</v>
      </c>
      <c r="G739" t="s">
        <v>28</v>
      </c>
      <c r="H739" cm="1">
        <f t="array" ref="H739">_xlfn.XLOOKUP(Table4[[#This Row],[vehicle_segment]]&amp;Table4[[#This Row],[powertrain_type]],Table3[vehicle_segment]&amp;Table3[powertrain_type],Table3[vehicle_id])</f>
        <v>3</v>
      </c>
      <c r="I739">
        <v>102</v>
      </c>
      <c r="J739">
        <v>92290</v>
      </c>
      <c r="K739">
        <v>8025</v>
      </c>
      <c r="L739">
        <v>100417</v>
      </c>
      <c r="M739">
        <v>0.1</v>
      </c>
      <c r="N739">
        <v>153</v>
      </c>
      <c r="O739">
        <v>5.3</v>
      </c>
      <c r="P739">
        <v>175</v>
      </c>
      <c r="Q739">
        <v>1.113</v>
      </c>
      <c r="R739">
        <v>0.14299999999999999</v>
      </c>
      <c r="S739">
        <v>12237</v>
      </c>
      <c r="T739">
        <v>60.1</v>
      </c>
      <c r="U739">
        <v>48.3</v>
      </c>
      <c r="V739">
        <v>2277</v>
      </c>
      <c r="W739">
        <v>42.6</v>
      </c>
      <c r="X739">
        <v>61.98</v>
      </c>
      <c r="Y739">
        <v>0</v>
      </c>
    </row>
    <row r="740" spans="1:25" x14ac:dyDescent="0.25">
      <c r="A740" t="s">
        <v>50</v>
      </c>
      <c r="B740">
        <f>_xlfn.XLOOKUP(Table4[[#This Row],[country]],Table2[country],Table2[country_id],FALSE)</f>
        <v>16</v>
      </c>
      <c r="C740" t="s">
        <v>32</v>
      </c>
      <c r="D740">
        <v>2016</v>
      </c>
      <c r="E740">
        <f>_xlfn.XLOOKUP(Table4[[#This Row],[year]],Table1[year],Table1[year_id])</f>
        <v>7</v>
      </c>
      <c r="F740" t="s">
        <v>27</v>
      </c>
      <c r="G740" t="s">
        <v>28</v>
      </c>
      <c r="H740" cm="1">
        <f t="array" ref="H740">_xlfn.XLOOKUP(Table4[[#This Row],[vehicle_segment]]&amp;Table4[[#This Row],[powertrain_type]],Table3[vehicle_segment]&amp;Table3[powertrain_type],Table3[vehicle_id])</f>
        <v>1</v>
      </c>
      <c r="I740">
        <v>28</v>
      </c>
      <c r="J740">
        <v>40343</v>
      </c>
      <c r="K740">
        <v>26895</v>
      </c>
      <c r="L740">
        <v>67266</v>
      </c>
      <c r="M740">
        <v>0.04</v>
      </c>
      <c r="N740">
        <v>193</v>
      </c>
      <c r="O740">
        <v>6.2</v>
      </c>
      <c r="P740">
        <v>193</v>
      </c>
      <c r="Q740">
        <v>1.1200000000000001</v>
      </c>
      <c r="R740">
        <v>0.14599999999999999</v>
      </c>
      <c r="S740">
        <v>13412</v>
      </c>
      <c r="T740">
        <v>60.1</v>
      </c>
      <c r="U740">
        <v>49.4</v>
      </c>
      <c r="V740">
        <v>2813</v>
      </c>
      <c r="W740">
        <v>44.6</v>
      </c>
      <c r="X740">
        <v>51.83</v>
      </c>
      <c r="Y740">
        <v>0</v>
      </c>
    </row>
    <row r="741" spans="1:25" x14ac:dyDescent="0.25">
      <c r="A741" t="s">
        <v>50</v>
      </c>
      <c r="B741">
        <f>_xlfn.XLOOKUP(Table4[[#This Row],[country]],Table2[country],Table2[country_id],FALSE)</f>
        <v>16</v>
      </c>
      <c r="C741" t="s">
        <v>32</v>
      </c>
      <c r="D741">
        <v>2016</v>
      </c>
      <c r="E741">
        <f>_xlfn.XLOOKUP(Table4[[#This Row],[year]],Table1[year],Table1[year_id])</f>
        <v>7</v>
      </c>
      <c r="F741" t="s">
        <v>29</v>
      </c>
      <c r="G741" t="s">
        <v>28</v>
      </c>
      <c r="H741" cm="1">
        <f t="array" ref="H741">_xlfn.XLOOKUP(Table4[[#This Row],[vehicle_segment]]&amp;Table4[[#This Row],[powertrain_type]],Table3[vehicle_segment]&amp;Table3[powertrain_type],Table3[vehicle_id])</f>
        <v>2</v>
      </c>
      <c r="I741">
        <v>316</v>
      </c>
      <c r="J741">
        <v>231719</v>
      </c>
      <c r="K741">
        <v>31598</v>
      </c>
      <c r="L741">
        <v>263633</v>
      </c>
      <c r="M741">
        <v>0.12</v>
      </c>
      <c r="N741">
        <v>193</v>
      </c>
      <c r="O741">
        <v>6.2</v>
      </c>
      <c r="P741">
        <v>193</v>
      </c>
      <c r="Q741">
        <v>1.1200000000000001</v>
      </c>
      <c r="R741">
        <v>0.14599999999999999</v>
      </c>
      <c r="S741">
        <v>13412</v>
      </c>
      <c r="T741">
        <v>60.1</v>
      </c>
      <c r="U741">
        <v>49.4</v>
      </c>
      <c r="V741">
        <v>2813</v>
      </c>
      <c r="W741">
        <v>44.6</v>
      </c>
      <c r="X741">
        <v>84.8</v>
      </c>
      <c r="Y741">
        <v>0</v>
      </c>
    </row>
    <row r="742" spans="1:25" x14ac:dyDescent="0.25">
      <c r="A742" t="s">
        <v>50</v>
      </c>
      <c r="B742">
        <f>_xlfn.XLOOKUP(Table4[[#This Row],[country]],Table2[country],Table2[country_id],FALSE)</f>
        <v>16</v>
      </c>
      <c r="C742" t="s">
        <v>32</v>
      </c>
      <c r="D742">
        <v>2016</v>
      </c>
      <c r="E742">
        <f>_xlfn.XLOOKUP(Table4[[#This Row],[year]],Table1[year],Table1[year_id])</f>
        <v>7</v>
      </c>
      <c r="F742" t="s">
        <v>30</v>
      </c>
      <c r="G742" t="s">
        <v>28</v>
      </c>
      <c r="H742" cm="1">
        <f t="array" ref="H742">_xlfn.XLOOKUP(Table4[[#This Row],[vehicle_segment]]&amp;Table4[[#This Row],[powertrain_type]],Table3[vehicle_segment]&amp;Table3[powertrain_type],Table3[vehicle_id])</f>
        <v>3</v>
      </c>
      <c r="I742">
        <v>196</v>
      </c>
      <c r="J742">
        <v>103600</v>
      </c>
      <c r="K742">
        <v>9009</v>
      </c>
      <c r="L742">
        <v>112805</v>
      </c>
      <c r="M742">
        <v>0.17</v>
      </c>
      <c r="N742">
        <v>193</v>
      </c>
      <c r="O742">
        <v>6.2</v>
      </c>
      <c r="P742">
        <v>193</v>
      </c>
      <c r="Q742">
        <v>1.1200000000000001</v>
      </c>
      <c r="R742">
        <v>0.14599999999999999</v>
      </c>
      <c r="S742">
        <v>13412</v>
      </c>
      <c r="T742">
        <v>60.1</v>
      </c>
      <c r="U742">
        <v>49.4</v>
      </c>
      <c r="V742">
        <v>2813</v>
      </c>
      <c r="W742">
        <v>44.6</v>
      </c>
      <c r="X742">
        <v>92.16</v>
      </c>
      <c r="Y742">
        <v>0</v>
      </c>
    </row>
    <row r="743" spans="1:25" x14ac:dyDescent="0.25">
      <c r="A743" t="s">
        <v>50</v>
      </c>
      <c r="B743">
        <f>_xlfn.XLOOKUP(Table4[[#This Row],[country]],Table2[country],Table2[country_id],FALSE)</f>
        <v>16</v>
      </c>
      <c r="C743" t="s">
        <v>32</v>
      </c>
      <c r="D743">
        <v>2017</v>
      </c>
      <c r="E743">
        <f>_xlfn.XLOOKUP(Table4[[#This Row],[year]],Table1[year],Table1[year_id])</f>
        <v>8</v>
      </c>
      <c r="F743" t="s">
        <v>27</v>
      </c>
      <c r="G743" t="s">
        <v>28</v>
      </c>
      <c r="H743" cm="1">
        <f t="array" ref="H743">_xlfn.XLOOKUP(Table4[[#This Row],[vehicle_segment]]&amp;Table4[[#This Row],[powertrain_type]],Table3[vehicle_segment]&amp;Table3[powertrain_type],Table3[vehicle_id])</f>
        <v>1</v>
      </c>
      <c r="I743">
        <v>63</v>
      </c>
      <c r="J743">
        <v>43333</v>
      </c>
      <c r="K743">
        <v>28889</v>
      </c>
      <c r="L743">
        <v>72285</v>
      </c>
      <c r="M743">
        <v>0.09</v>
      </c>
      <c r="N743">
        <v>493</v>
      </c>
      <c r="O743">
        <v>9</v>
      </c>
      <c r="P743">
        <v>219</v>
      </c>
      <c r="Q743">
        <v>1.133</v>
      </c>
      <c r="R743">
        <v>0.153</v>
      </c>
      <c r="S743">
        <v>14136</v>
      </c>
      <c r="T743">
        <v>60</v>
      </c>
      <c r="U743">
        <v>50.9</v>
      </c>
      <c r="V743">
        <v>3230</v>
      </c>
      <c r="W743">
        <v>47</v>
      </c>
      <c r="X743">
        <v>118.98</v>
      </c>
      <c r="Y743">
        <v>0</v>
      </c>
    </row>
    <row r="744" spans="1:25" x14ac:dyDescent="0.25">
      <c r="A744" t="s">
        <v>50</v>
      </c>
      <c r="B744">
        <f>_xlfn.XLOOKUP(Table4[[#This Row],[country]],Table2[country],Table2[country_id],FALSE)</f>
        <v>16</v>
      </c>
      <c r="C744" t="s">
        <v>32</v>
      </c>
      <c r="D744">
        <v>2017</v>
      </c>
      <c r="E744">
        <f>_xlfn.XLOOKUP(Table4[[#This Row],[year]],Table1[year],Table1[year_id])</f>
        <v>8</v>
      </c>
      <c r="F744" t="s">
        <v>29</v>
      </c>
      <c r="G744" t="s">
        <v>28</v>
      </c>
      <c r="H744" cm="1">
        <f t="array" ref="H744">_xlfn.XLOOKUP(Table4[[#This Row],[vehicle_segment]]&amp;Table4[[#This Row],[powertrain_type]],Table3[vehicle_segment]&amp;Table3[powertrain_type],Table3[vehicle_id])</f>
        <v>2</v>
      </c>
      <c r="I744">
        <v>738</v>
      </c>
      <c r="J744">
        <v>259167</v>
      </c>
      <c r="K744">
        <v>35341</v>
      </c>
      <c r="L744">
        <v>295246</v>
      </c>
      <c r="M744">
        <v>0.25</v>
      </c>
      <c r="N744">
        <v>493</v>
      </c>
      <c r="O744">
        <v>9</v>
      </c>
      <c r="P744">
        <v>219</v>
      </c>
      <c r="Q744">
        <v>1.133</v>
      </c>
      <c r="R744">
        <v>0.153</v>
      </c>
      <c r="S744">
        <v>14136</v>
      </c>
      <c r="T744">
        <v>60</v>
      </c>
      <c r="U744">
        <v>50.9</v>
      </c>
      <c r="V744">
        <v>3230</v>
      </c>
      <c r="W744">
        <v>47</v>
      </c>
      <c r="X744">
        <v>133.54</v>
      </c>
      <c r="Y744">
        <v>0</v>
      </c>
    </row>
    <row r="745" spans="1:25" x14ac:dyDescent="0.25">
      <c r="A745" t="s">
        <v>50</v>
      </c>
      <c r="B745">
        <f>_xlfn.XLOOKUP(Table4[[#This Row],[country]],Table2[country],Table2[country_id],FALSE)</f>
        <v>16</v>
      </c>
      <c r="C745" t="s">
        <v>32</v>
      </c>
      <c r="D745">
        <v>2017</v>
      </c>
      <c r="E745">
        <f>_xlfn.XLOOKUP(Table4[[#This Row],[year]],Table1[year],Table1[year_id])</f>
        <v>8</v>
      </c>
      <c r="F745" t="s">
        <v>30</v>
      </c>
      <c r="G745" t="s">
        <v>28</v>
      </c>
      <c r="H745" cm="1">
        <f t="array" ref="H745">_xlfn.XLOOKUP(Table4[[#This Row],[vehicle_segment]]&amp;Table4[[#This Row],[powertrain_type]],Table3[vehicle_segment]&amp;Table3[powertrain_type],Table3[vehicle_id])</f>
        <v>3</v>
      </c>
      <c r="I745">
        <v>447</v>
      </c>
      <c r="J745">
        <v>112972</v>
      </c>
      <c r="K745">
        <v>9824</v>
      </c>
      <c r="L745">
        <v>123243</v>
      </c>
      <c r="M745">
        <v>0.36</v>
      </c>
      <c r="N745">
        <v>493</v>
      </c>
      <c r="O745">
        <v>9</v>
      </c>
      <c r="P745">
        <v>219</v>
      </c>
      <c r="Q745">
        <v>1.133</v>
      </c>
      <c r="R745">
        <v>0.153</v>
      </c>
      <c r="S745">
        <v>14136</v>
      </c>
      <c r="T745">
        <v>60</v>
      </c>
      <c r="U745">
        <v>50.9</v>
      </c>
      <c r="V745">
        <v>3230</v>
      </c>
      <c r="W745">
        <v>47</v>
      </c>
      <c r="X745">
        <v>128.06</v>
      </c>
      <c r="Y745">
        <v>0</v>
      </c>
    </row>
    <row r="746" spans="1:25" x14ac:dyDescent="0.25">
      <c r="A746" t="s">
        <v>50</v>
      </c>
      <c r="B746">
        <f>_xlfn.XLOOKUP(Table4[[#This Row],[country]],Table2[country],Table2[country_id],FALSE)</f>
        <v>16</v>
      </c>
      <c r="C746" t="s">
        <v>32</v>
      </c>
      <c r="D746">
        <v>2018</v>
      </c>
      <c r="E746">
        <f>_xlfn.XLOOKUP(Table4[[#This Row],[year]],Table1[year],Table1[year_id])</f>
        <v>9</v>
      </c>
      <c r="F746" t="s">
        <v>27</v>
      </c>
      <c r="G746" t="s">
        <v>28</v>
      </c>
      <c r="H746" cm="1">
        <f t="array" ref="H746">_xlfn.XLOOKUP(Table4[[#This Row],[vehicle_segment]]&amp;Table4[[#This Row],[powertrain_type]],Table3[vehicle_segment]&amp;Table3[powertrain_type],Table3[vehicle_id])</f>
        <v>1</v>
      </c>
      <c r="I746">
        <v>106</v>
      </c>
      <c r="J746">
        <v>46607</v>
      </c>
      <c r="K746">
        <v>31071</v>
      </c>
      <c r="L746">
        <v>77784</v>
      </c>
      <c r="M746">
        <v>0.14000000000000001</v>
      </c>
      <c r="N746">
        <v>839</v>
      </c>
      <c r="O746">
        <v>9.8000000000000007</v>
      </c>
      <c r="P746">
        <v>257</v>
      </c>
      <c r="Q746">
        <v>1.157</v>
      </c>
      <c r="R746">
        <v>0.161</v>
      </c>
      <c r="S746">
        <v>14976</v>
      </c>
      <c r="T746">
        <v>60.2</v>
      </c>
      <c r="U746">
        <v>53.3</v>
      </c>
      <c r="V746">
        <v>3696</v>
      </c>
      <c r="W746">
        <v>49.6</v>
      </c>
      <c r="X746">
        <v>91.9</v>
      </c>
      <c r="Y746">
        <v>0</v>
      </c>
    </row>
    <row r="747" spans="1:25" x14ac:dyDescent="0.25">
      <c r="A747" t="s">
        <v>50</v>
      </c>
      <c r="B747">
        <f>_xlfn.XLOOKUP(Table4[[#This Row],[country]],Table2[country],Table2[country_id],FALSE)</f>
        <v>16</v>
      </c>
      <c r="C747" t="s">
        <v>32</v>
      </c>
      <c r="D747">
        <v>2018</v>
      </c>
      <c r="E747">
        <f>_xlfn.XLOOKUP(Table4[[#This Row],[year]],Table1[year],Table1[year_id])</f>
        <v>9</v>
      </c>
      <c r="F747" t="s">
        <v>29</v>
      </c>
      <c r="G747" t="s">
        <v>28</v>
      </c>
      <c r="H747" cm="1">
        <f t="array" ref="H747">_xlfn.XLOOKUP(Table4[[#This Row],[vehicle_segment]]&amp;Table4[[#This Row],[powertrain_type]],Table3[vehicle_segment]&amp;Table3[powertrain_type],Table3[vehicle_id])</f>
        <v>2</v>
      </c>
      <c r="I747">
        <v>1209</v>
      </c>
      <c r="J747">
        <v>271637</v>
      </c>
      <c r="K747">
        <v>37041</v>
      </c>
      <c r="L747">
        <v>309887</v>
      </c>
      <c r="M747">
        <v>0.39</v>
      </c>
      <c r="N747">
        <v>839</v>
      </c>
      <c r="O747">
        <v>9.8000000000000007</v>
      </c>
      <c r="P747">
        <v>257</v>
      </c>
      <c r="Q747">
        <v>1.157</v>
      </c>
      <c r="R747">
        <v>0.161</v>
      </c>
      <c r="S747">
        <v>14976</v>
      </c>
      <c r="T747">
        <v>60.2</v>
      </c>
      <c r="U747">
        <v>53.3</v>
      </c>
      <c r="V747">
        <v>3696</v>
      </c>
      <c r="W747">
        <v>49.6</v>
      </c>
      <c r="X747">
        <v>63.82</v>
      </c>
      <c r="Y747">
        <v>0</v>
      </c>
    </row>
    <row r="748" spans="1:25" x14ac:dyDescent="0.25">
      <c r="A748" t="s">
        <v>50</v>
      </c>
      <c r="B748">
        <f>_xlfn.XLOOKUP(Table4[[#This Row],[country]],Table2[country],Table2[country_id],FALSE)</f>
        <v>16</v>
      </c>
      <c r="C748" t="s">
        <v>32</v>
      </c>
      <c r="D748">
        <v>2018</v>
      </c>
      <c r="E748">
        <f>_xlfn.XLOOKUP(Table4[[#This Row],[year]],Table1[year],Table1[year_id])</f>
        <v>9</v>
      </c>
      <c r="F748" t="s">
        <v>30</v>
      </c>
      <c r="G748" t="s">
        <v>28</v>
      </c>
      <c r="H748" cm="1">
        <f t="array" ref="H748">_xlfn.XLOOKUP(Table4[[#This Row],[vehicle_segment]]&amp;Table4[[#This Row],[powertrain_type]],Table3[vehicle_segment]&amp;Table3[powertrain_type],Table3[vehicle_id])</f>
        <v>3</v>
      </c>
      <c r="I748">
        <v>728</v>
      </c>
      <c r="J748">
        <v>117738</v>
      </c>
      <c r="K748">
        <v>10238</v>
      </c>
      <c r="L748">
        <v>128704</v>
      </c>
      <c r="M748">
        <v>0.56999999999999995</v>
      </c>
      <c r="N748">
        <v>839</v>
      </c>
      <c r="O748">
        <v>9.8000000000000007</v>
      </c>
      <c r="P748">
        <v>257</v>
      </c>
      <c r="Q748">
        <v>1.157</v>
      </c>
      <c r="R748">
        <v>0.161</v>
      </c>
      <c r="S748">
        <v>14976</v>
      </c>
      <c r="T748">
        <v>60.2</v>
      </c>
      <c r="U748">
        <v>53.3</v>
      </c>
      <c r="V748">
        <v>3696</v>
      </c>
      <c r="W748">
        <v>49.6</v>
      </c>
      <c r="X748">
        <v>62.86</v>
      </c>
      <c r="Y748">
        <v>0</v>
      </c>
    </row>
    <row r="749" spans="1:25" x14ac:dyDescent="0.25">
      <c r="A749" t="s">
        <v>50</v>
      </c>
      <c r="B749">
        <f>_xlfn.XLOOKUP(Table4[[#This Row],[country]],Table2[country],Table2[country_id],FALSE)</f>
        <v>16</v>
      </c>
      <c r="C749" t="s">
        <v>32</v>
      </c>
      <c r="D749">
        <v>2019</v>
      </c>
      <c r="E749">
        <f>_xlfn.XLOOKUP(Table4[[#This Row],[year]],Table1[year],Table1[year_id])</f>
        <v>10</v>
      </c>
      <c r="F749" t="s">
        <v>27</v>
      </c>
      <c r="G749" t="s">
        <v>28</v>
      </c>
      <c r="H749" cm="1">
        <f t="array" ref="H749">_xlfn.XLOOKUP(Table4[[#This Row],[vehicle_segment]]&amp;Table4[[#This Row],[powertrain_type]],Table3[vehicle_segment]&amp;Table3[powertrain_type],Table3[vehicle_id])</f>
        <v>1</v>
      </c>
      <c r="I749">
        <v>149</v>
      </c>
      <c r="J749">
        <v>51111</v>
      </c>
      <c r="K749">
        <v>34074</v>
      </c>
      <c r="L749">
        <v>85334</v>
      </c>
      <c r="M749">
        <v>0.17</v>
      </c>
      <c r="N749">
        <v>1260</v>
      </c>
      <c r="O749">
        <v>11.4</v>
      </c>
      <c r="P749">
        <v>303</v>
      </c>
      <c r="Q749">
        <v>1.2370000000000001</v>
      </c>
      <c r="R749">
        <v>0.17</v>
      </c>
      <c r="S749">
        <v>15509</v>
      </c>
      <c r="T749">
        <v>60</v>
      </c>
      <c r="U749">
        <v>52.6</v>
      </c>
      <c r="V749">
        <v>4064</v>
      </c>
      <c r="W749">
        <v>53.8</v>
      </c>
      <c r="X749">
        <v>40.57</v>
      </c>
      <c r="Y749">
        <v>0</v>
      </c>
    </row>
    <row r="750" spans="1:25" x14ac:dyDescent="0.25">
      <c r="A750" t="s">
        <v>50</v>
      </c>
      <c r="B750">
        <f>_xlfn.XLOOKUP(Table4[[#This Row],[country]],Table2[country],Table2[country_id],FALSE)</f>
        <v>16</v>
      </c>
      <c r="C750" t="s">
        <v>32</v>
      </c>
      <c r="D750">
        <v>2019</v>
      </c>
      <c r="E750">
        <f>_xlfn.XLOOKUP(Table4[[#This Row],[year]],Table1[year],Table1[year_id])</f>
        <v>10</v>
      </c>
      <c r="F750" t="s">
        <v>29</v>
      </c>
      <c r="G750" t="s">
        <v>28</v>
      </c>
      <c r="H750" cm="1">
        <f t="array" ref="H750">_xlfn.XLOOKUP(Table4[[#This Row],[vehicle_segment]]&amp;Table4[[#This Row],[powertrain_type]],Table3[vehicle_segment]&amp;Table3[powertrain_type],Table3[vehicle_id])</f>
        <v>2</v>
      </c>
      <c r="I750">
        <v>1708</v>
      </c>
      <c r="J750">
        <v>299075</v>
      </c>
      <c r="K750">
        <v>40783</v>
      </c>
      <c r="L750">
        <v>341566</v>
      </c>
      <c r="M750">
        <v>0.5</v>
      </c>
      <c r="N750">
        <v>1260</v>
      </c>
      <c r="O750">
        <v>11.4</v>
      </c>
      <c r="P750">
        <v>303</v>
      </c>
      <c r="Q750">
        <v>1.2370000000000001</v>
      </c>
      <c r="R750">
        <v>0.17</v>
      </c>
      <c r="S750">
        <v>15509</v>
      </c>
      <c r="T750">
        <v>60</v>
      </c>
      <c r="U750">
        <v>52.6</v>
      </c>
      <c r="V750">
        <v>4064</v>
      </c>
      <c r="W750">
        <v>53.8</v>
      </c>
      <c r="X750">
        <v>41.27</v>
      </c>
      <c r="Y750">
        <v>0</v>
      </c>
    </row>
    <row r="751" spans="1:25" x14ac:dyDescent="0.25">
      <c r="A751" t="s">
        <v>50</v>
      </c>
      <c r="B751">
        <f>_xlfn.XLOOKUP(Table4[[#This Row],[country]],Table2[country],Table2[country_id],FALSE)</f>
        <v>16</v>
      </c>
      <c r="C751" t="s">
        <v>32</v>
      </c>
      <c r="D751">
        <v>2019</v>
      </c>
      <c r="E751">
        <f>_xlfn.XLOOKUP(Table4[[#This Row],[year]],Table1[year],Table1[year_id])</f>
        <v>10</v>
      </c>
      <c r="F751" t="s">
        <v>30</v>
      </c>
      <c r="G751" t="s">
        <v>28</v>
      </c>
      <c r="H751" cm="1">
        <f t="array" ref="H751">_xlfn.XLOOKUP(Table4[[#This Row],[vehicle_segment]]&amp;Table4[[#This Row],[powertrain_type]],Table3[vehicle_segment]&amp;Table3[powertrain_type],Table3[vehicle_id])</f>
        <v>3</v>
      </c>
      <c r="I751">
        <v>1019</v>
      </c>
      <c r="J751">
        <v>128419</v>
      </c>
      <c r="K751">
        <v>11167</v>
      </c>
      <c r="L751">
        <v>140605</v>
      </c>
      <c r="M751">
        <v>0.72</v>
      </c>
      <c r="N751">
        <v>1260</v>
      </c>
      <c r="O751">
        <v>11.4</v>
      </c>
      <c r="P751">
        <v>303</v>
      </c>
      <c r="Q751">
        <v>1.2370000000000001</v>
      </c>
      <c r="R751">
        <v>0.17</v>
      </c>
      <c r="S751">
        <v>15509</v>
      </c>
      <c r="T751">
        <v>60</v>
      </c>
      <c r="U751">
        <v>52.6</v>
      </c>
      <c r="V751">
        <v>4064</v>
      </c>
      <c r="W751">
        <v>53.8</v>
      </c>
      <c r="X751">
        <v>39.97</v>
      </c>
      <c r="Y751">
        <v>0</v>
      </c>
    </row>
    <row r="752" spans="1:25" x14ac:dyDescent="0.25">
      <c r="A752" t="s">
        <v>50</v>
      </c>
      <c r="B752">
        <f>_xlfn.XLOOKUP(Table4[[#This Row],[country]],Table2[country],Table2[country_id],FALSE)</f>
        <v>16</v>
      </c>
      <c r="C752" t="s">
        <v>32</v>
      </c>
      <c r="D752">
        <v>2020</v>
      </c>
      <c r="E752">
        <f>_xlfn.XLOOKUP(Table4[[#This Row],[year]],Table1[year],Table1[year_id])</f>
        <v>11</v>
      </c>
      <c r="F752" t="s">
        <v>27</v>
      </c>
      <c r="G752" t="s">
        <v>28</v>
      </c>
      <c r="H752" cm="1">
        <f t="array" ref="H752">_xlfn.XLOOKUP(Table4[[#This Row],[vehicle_segment]]&amp;Table4[[#This Row],[powertrain_type]],Table3[vehicle_segment]&amp;Table3[powertrain_type],Table3[vehicle_id])</f>
        <v>1</v>
      </c>
      <c r="I752">
        <v>490</v>
      </c>
      <c r="J752">
        <v>37373</v>
      </c>
      <c r="K752">
        <v>24916</v>
      </c>
      <c r="L752">
        <v>62779</v>
      </c>
      <c r="M752">
        <v>0.78</v>
      </c>
      <c r="N752">
        <v>1992</v>
      </c>
      <c r="O752">
        <v>13.1</v>
      </c>
      <c r="P752">
        <v>349</v>
      </c>
      <c r="Q752">
        <v>1.367</v>
      </c>
      <c r="R752">
        <v>0.17599999999999999</v>
      </c>
      <c r="S752">
        <v>16573</v>
      </c>
      <c r="T752">
        <v>59.9</v>
      </c>
      <c r="U752">
        <v>51.8</v>
      </c>
      <c r="V752">
        <v>4593</v>
      </c>
      <c r="W752">
        <v>56.1</v>
      </c>
      <c r="X752">
        <v>228.86</v>
      </c>
      <c r="Y752">
        <v>0</v>
      </c>
    </row>
    <row r="753" spans="1:25" x14ac:dyDescent="0.25">
      <c r="A753" t="s">
        <v>50</v>
      </c>
      <c r="B753">
        <f>_xlfn.XLOOKUP(Table4[[#This Row],[country]],Table2[country],Table2[country_id],FALSE)</f>
        <v>16</v>
      </c>
      <c r="C753" t="s">
        <v>32</v>
      </c>
      <c r="D753">
        <v>2020</v>
      </c>
      <c r="E753">
        <f>_xlfn.XLOOKUP(Table4[[#This Row],[year]],Table1[year],Table1[year_id])</f>
        <v>11</v>
      </c>
      <c r="F753" t="s">
        <v>29</v>
      </c>
      <c r="G753" t="s">
        <v>28</v>
      </c>
      <c r="H753" cm="1">
        <f t="array" ref="H753">_xlfn.XLOOKUP(Table4[[#This Row],[vehicle_segment]]&amp;Table4[[#This Row],[powertrain_type]],Table3[vehicle_segment]&amp;Table3[powertrain_type],Table3[vehicle_id])</f>
        <v>2</v>
      </c>
      <c r="I753">
        <v>5688</v>
      </c>
      <c r="J753">
        <v>219472</v>
      </c>
      <c r="K753">
        <v>29928</v>
      </c>
      <c r="L753">
        <v>255088</v>
      </c>
      <c r="M753">
        <v>2.23</v>
      </c>
      <c r="N753">
        <v>1992</v>
      </c>
      <c r="O753">
        <v>13.1</v>
      </c>
      <c r="P753">
        <v>349</v>
      </c>
      <c r="Q753">
        <v>1.367</v>
      </c>
      <c r="R753">
        <v>0.17599999999999999</v>
      </c>
      <c r="S753">
        <v>16573</v>
      </c>
      <c r="T753">
        <v>59.9</v>
      </c>
      <c r="U753">
        <v>51.8</v>
      </c>
      <c r="V753">
        <v>4593</v>
      </c>
      <c r="W753">
        <v>56.1</v>
      </c>
      <c r="X753">
        <v>233.02</v>
      </c>
      <c r="Y753">
        <v>0</v>
      </c>
    </row>
    <row r="754" spans="1:25" x14ac:dyDescent="0.25">
      <c r="A754" t="s">
        <v>50</v>
      </c>
      <c r="B754">
        <f>_xlfn.XLOOKUP(Table4[[#This Row],[country]],Table2[country],Table2[country_id],FALSE)</f>
        <v>16</v>
      </c>
      <c r="C754" t="s">
        <v>32</v>
      </c>
      <c r="D754">
        <v>2020</v>
      </c>
      <c r="E754">
        <f>_xlfn.XLOOKUP(Table4[[#This Row],[year]],Table1[year],Table1[year_id])</f>
        <v>11</v>
      </c>
      <c r="F754" t="s">
        <v>30</v>
      </c>
      <c r="G754" t="s">
        <v>28</v>
      </c>
      <c r="H754" cm="1">
        <f t="array" ref="H754">_xlfn.XLOOKUP(Table4[[#This Row],[vehicle_segment]]&amp;Table4[[#This Row],[powertrain_type]],Table3[vehicle_segment]&amp;Table3[powertrain_type],Table3[vehicle_id])</f>
        <v>3</v>
      </c>
      <c r="I754">
        <v>3407</v>
      </c>
      <c r="J754">
        <v>93811</v>
      </c>
      <c r="K754">
        <v>8158</v>
      </c>
      <c r="L754">
        <v>105376</v>
      </c>
      <c r="M754">
        <v>3.23</v>
      </c>
      <c r="N754">
        <v>1992</v>
      </c>
      <c r="O754">
        <v>13.1</v>
      </c>
      <c r="P754">
        <v>349</v>
      </c>
      <c r="Q754">
        <v>1.367</v>
      </c>
      <c r="R754">
        <v>0.17599999999999999</v>
      </c>
      <c r="S754">
        <v>16573</v>
      </c>
      <c r="T754">
        <v>59.9</v>
      </c>
      <c r="U754">
        <v>51.8</v>
      </c>
      <c r="V754">
        <v>4593</v>
      </c>
      <c r="W754">
        <v>56.1</v>
      </c>
      <c r="X754">
        <v>234.35</v>
      </c>
      <c r="Y754">
        <v>0</v>
      </c>
    </row>
    <row r="755" spans="1:25" x14ac:dyDescent="0.25">
      <c r="A755" t="s">
        <v>50</v>
      </c>
      <c r="B755">
        <f>_xlfn.XLOOKUP(Table4[[#This Row],[country]],Table2[country],Table2[country_id],FALSE)</f>
        <v>16</v>
      </c>
      <c r="C755" t="s">
        <v>32</v>
      </c>
      <c r="D755">
        <v>2021</v>
      </c>
      <c r="E755">
        <f>_xlfn.XLOOKUP(Table4[[#This Row],[year]],Table1[year],Table1[year_id])</f>
        <v>12</v>
      </c>
      <c r="F755" t="s">
        <v>27</v>
      </c>
      <c r="G755" t="s">
        <v>28</v>
      </c>
      <c r="H755" cm="1">
        <f t="array" ref="H755">_xlfn.XLOOKUP(Table4[[#This Row],[vehicle_segment]]&amp;Table4[[#This Row],[powertrain_type]],Table3[vehicle_segment]&amp;Table3[powertrain_type],Table3[vehicle_id])</f>
        <v>1</v>
      </c>
      <c r="I755">
        <v>1102</v>
      </c>
      <c r="J755">
        <v>41026</v>
      </c>
      <c r="K755">
        <v>27351</v>
      </c>
      <c r="L755">
        <v>69479</v>
      </c>
      <c r="M755">
        <v>1.59</v>
      </c>
      <c r="N755">
        <v>2871</v>
      </c>
      <c r="O755">
        <v>17.100000000000001</v>
      </c>
      <c r="P755">
        <v>374</v>
      </c>
      <c r="Q755">
        <v>1.52</v>
      </c>
      <c r="R755">
        <v>0.183</v>
      </c>
      <c r="S755">
        <v>17483</v>
      </c>
      <c r="T755">
        <v>59.8</v>
      </c>
      <c r="U755">
        <v>50.1</v>
      </c>
      <c r="V755">
        <v>4576</v>
      </c>
      <c r="W755">
        <v>58.6</v>
      </c>
      <c r="X755">
        <v>124.9</v>
      </c>
      <c r="Y755">
        <v>0</v>
      </c>
    </row>
    <row r="756" spans="1:25" x14ac:dyDescent="0.25">
      <c r="A756" t="s">
        <v>50</v>
      </c>
      <c r="B756">
        <f>_xlfn.XLOOKUP(Table4[[#This Row],[country]],Table2[country],Table2[country_id],FALSE)</f>
        <v>16</v>
      </c>
      <c r="C756" t="s">
        <v>32</v>
      </c>
      <c r="D756">
        <v>2021</v>
      </c>
      <c r="E756">
        <f>_xlfn.XLOOKUP(Table4[[#This Row],[year]],Table1[year],Table1[year_id])</f>
        <v>12</v>
      </c>
      <c r="F756" t="s">
        <v>29</v>
      </c>
      <c r="G756" t="s">
        <v>28</v>
      </c>
      <c r="H756" cm="1">
        <f t="array" ref="H756">_xlfn.XLOOKUP(Table4[[#This Row],[vehicle_segment]]&amp;Table4[[#This Row],[powertrain_type]],Table3[vehicle_segment]&amp;Table3[powertrain_type],Table3[vehicle_id])</f>
        <v>2</v>
      </c>
      <c r="I756">
        <v>12559</v>
      </c>
      <c r="J756">
        <v>232928</v>
      </c>
      <c r="K756">
        <v>31763</v>
      </c>
      <c r="L756">
        <v>277250</v>
      </c>
      <c r="M756">
        <v>4.53</v>
      </c>
      <c r="N756">
        <v>2871</v>
      </c>
      <c r="O756">
        <v>17.100000000000001</v>
      </c>
      <c r="P756">
        <v>374</v>
      </c>
      <c r="Q756">
        <v>1.52</v>
      </c>
      <c r="R756">
        <v>0.183</v>
      </c>
      <c r="S756">
        <v>17483</v>
      </c>
      <c r="T756">
        <v>59.8</v>
      </c>
      <c r="U756">
        <v>50.1</v>
      </c>
      <c r="V756">
        <v>4576</v>
      </c>
      <c r="W756">
        <v>58.6</v>
      </c>
      <c r="X756">
        <v>120.8</v>
      </c>
      <c r="Y756">
        <v>0</v>
      </c>
    </row>
    <row r="757" spans="1:25" x14ac:dyDescent="0.25">
      <c r="A757" t="s">
        <v>50</v>
      </c>
      <c r="B757">
        <f>_xlfn.XLOOKUP(Table4[[#This Row],[country]],Table2[country],Table2[country_id],FALSE)</f>
        <v>16</v>
      </c>
      <c r="C757" t="s">
        <v>32</v>
      </c>
      <c r="D757">
        <v>2021</v>
      </c>
      <c r="E757">
        <f>_xlfn.XLOOKUP(Table4[[#This Row],[year]],Table1[year],Table1[year_id])</f>
        <v>12</v>
      </c>
      <c r="F757" t="s">
        <v>30</v>
      </c>
      <c r="G757" t="s">
        <v>28</v>
      </c>
      <c r="H757" cm="1">
        <f t="array" ref="H757">_xlfn.XLOOKUP(Table4[[#This Row],[vehicle_segment]]&amp;Table4[[#This Row],[powertrain_type]],Table3[vehicle_segment]&amp;Table3[powertrain_type],Table3[vehicle_id])</f>
        <v>3</v>
      </c>
      <c r="I757">
        <v>7626</v>
      </c>
      <c r="J757">
        <v>99794</v>
      </c>
      <c r="K757">
        <v>8678</v>
      </c>
      <c r="L757">
        <v>116098</v>
      </c>
      <c r="M757">
        <v>6.57</v>
      </c>
      <c r="N757">
        <v>2871</v>
      </c>
      <c r="O757">
        <v>17.100000000000001</v>
      </c>
      <c r="P757">
        <v>374</v>
      </c>
      <c r="Q757">
        <v>1.52</v>
      </c>
      <c r="R757">
        <v>0.183</v>
      </c>
      <c r="S757">
        <v>17483</v>
      </c>
      <c r="T757">
        <v>59.8</v>
      </c>
      <c r="U757">
        <v>50.1</v>
      </c>
      <c r="V757">
        <v>4576</v>
      </c>
      <c r="W757">
        <v>58.6</v>
      </c>
      <c r="X757">
        <v>123.83</v>
      </c>
      <c r="Y757">
        <v>0</v>
      </c>
    </row>
    <row r="758" spans="1:25" x14ac:dyDescent="0.25">
      <c r="A758" t="s">
        <v>50</v>
      </c>
      <c r="B758">
        <f>_xlfn.XLOOKUP(Table4[[#This Row],[country]],Table2[country],Table2[country_id],FALSE)</f>
        <v>16</v>
      </c>
      <c r="C758" t="s">
        <v>32</v>
      </c>
      <c r="D758">
        <v>2022</v>
      </c>
      <c r="E758">
        <f>_xlfn.XLOOKUP(Table4[[#This Row],[year]],Table1[year],Table1[year_id])</f>
        <v>13</v>
      </c>
      <c r="F758" t="s">
        <v>27</v>
      </c>
      <c r="G758" t="s">
        <v>28</v>
      </c>
      <c r="H758" cm="1">
        <f t="array" ref="H758">_xlfn.XLOOKUP(Table4[[#This Row],[vehicle_segment]]&amp;Table4[[#This Row],[powertrain_type]],Table3[vehicle_segment]&amp;Table3[powertrain_type],Table3[vehicle_id])</f>
        <v>1</v>
      </c>
      <c r="I758">
        <v>1275</v>
      </c>
      <c r="J758">
        <v>36659</v>
      </c>
      <c r="K758">
        <v>24440</v>
      </c>
      <c r="L758">
        <v>62374</v>
      </c>
      <c r="M758">
        <v>2.04</v>
      </c>
      <c r="N758">
        <v>3706</v>
      </c>
      <c r="O758">
        <v>18</v>
      </c>
      <c r="P758">
        <v>413</v>
      </c>
      <c r="Q758">
        <v>1.587</v>
      </c>
      <c r="R758">
        <v>0.192</v>
      </c>
      <c r="S758">
        <v>17979</v>
      </c>
      <c r="T758">
        <v>59.8</v>
      </c>
      <c r="U758">
        <v>51.5</v>
      </c>
      <c r="V758">
        <v>4565</v>
      </c>
      <c r="W758">
        <v>61.8</v>
      </c>
      <c r="X758">
        <v>15.7</v>
      </c>
      <c r="Y758">
        <v>0</v>
      </c>
    </row>
    <row r="759" spans="1:25" x14ac:dyDescent="0.25">
      <c r="A759" t="s">
        <v>50</v>
      </c>
      <c r="B759">
        <f>_xlfn.XLOOKUP(Table4[[#This Row],[country]],Table2[country],Table2[country_id],FALSE)</f>
        <v>16</v>
      </c>
      <c r="C759" t="s">
        <v>32</v>
      </c>
      <c r="D759">
        <v>2022</v>
      </c>
      <c r="E759">
        <f>_xlfn.XLOOKUP(Table4[[#This Row],[year]],Table1[year],Table1[year_id])</f>
        <v>13</v>
      </c>
      <c r="F759" t="s">
        <v>29</v>
      </c>
      <c r="G759" t="s">
        <v>28</v>
      </c>
      <c r="H759" cm="1">
        <f t="array" ref="H759">_xlfn.XLOOKUP(Table4[[#This Row],[vehicle_segment]]&amp;Table4[[#This Row],[powertrain_type]],Table3[vehicle_segment]&amp;Table3[powertrain_type],Table3[vehicle_id])</f>
        <v>2</v>
      </c>
      <c r="I759">
        <v>14464</v>
      </c>
      <c r="J759">
        <v>205221</v>
      </c>
      <c r="K759">
        <v>27985</v>
      </c>
      <c r="L759">
        <v>247670</v>
      </c>
      <c r="M759">
        <v>5.84</v>
      </c>
      <c r="N759">
        <v>3706</v>
      </c>
      <c r="O759">
        <v>18</v>
      </c>
      <c r="P759">
        <v>413</v>
      </c>
      <c r="Q759">
        <v>1.587</v>
      </c>
      <c r="R759">
        <v>0.192</v>
      </c>
      <c r="S759">
        <v>17979</v>
      </c>
      <c r="T759">
        <v>59.8</v>
      </c>
      <c r="U759">
        <v>51.5</v>
      </c>
      <c r="V759">
        <v>4565</v>
      </c>
      <c r="W759">
        <v>61.8</v>
      </c>
      <c r="X759">
        <v>15.17</v>
      </c>
      <c r="Y759">
        <v>0</v>
      </c>
    </row>
    <row r="760" spans="1:25" x14ac:dyDescent="0.25">
      <c r="A760" t="s">
        <v>50</v>
      </c>
      <c r="B760">
        <f>_xlfn.XLOOKUP(Table4[[#This Row],[country]],Table2[country],Table2[country_id],FALSE)</f>
        <v>16</v>
      </c>
      <c r="C760" t="s">
        <v>32</v>
      </c>
      <c r="D760">
        <v>2022</v>
      </c>
      <c r="E760">
        <f>_xlfn.XLOOKUP(Table4[[#This Row],[year]],Table1[year],Table1[year_id])</f>
        <v>13</v>
      </c>
      <c r="F760" t="s">
        <v>30</v>
      </c>
      <c r="G760" t="s">
        <v>28</v>
      </c>
      <c r="H760" cm="1">
        <f t="array" ref="H760">_xlfn.XLOOKUP(Table4[[#This Row],[vehicle_segment]]&amp;Table4[[#This Row],[powertrain_type]],Table3[vehicle_segment]&amp;Table3[powertrain_type],Table3[vehicle_id])</f>
        <v>3</v>
      </c>
      <c r="I760">
        <v>8901</v>
      </c>
      <c r="J760">
        <v>88520</v>
      </c>
      <c r="K760">
        <v>7697</v>
      </c>
      <c r="L760">
        <v>105118</v>
      </c>
      <c r="M760">
        <v>8.4700000000000006</v>
      </c>
      <c r="N760">
        <v>3706</v>
      </c>
      <c r="O760">
        <v>18</v>
      </c>
      <c r="P760">
        <v>413</v>
      </c>
      <c r="Q760">
        <v>1.587</v>
      </c>
      <c r="R760">
        <v>0.192</v>
      </c>
      <c r="S760">
        <v>17979</v>
      </c>
      <c r="T760">
        <v>59.8</v>
      </c>
      <c r="U760">
        <v>51.5</v>
      </c>
      <c r="V760">
        <v>4565</v>
      </c>
      <c r="W760">
        <v>61.8</v>
      </c>
      <c r="X760">
        <v>16.72</v>
      </c>
      <c r="Y760">
        <v>0</v>
      </c>
    </row>
    <row r="761" spans="1:25" x14ac:dyDescent="0.25">
      <c r="A761" t="s">
        <v>50</v>
      </c>
      <c r="B761">
        <f>_xlfn.XLOOKUP(Table4[[#This Row],[country]],Table2[country],Table2[country_id],FALSE)</f>
        <v>16</v>
      </c>
      <c r="C761" t="s">
        <v>32</v>
      </c>
      <c r="D761">
        <v>2023</v>
      </c>
      <c r="E761">
        <f>_xlfn.XLOOKUP(Table4[[#This Row],[year]],Table1[year],Table1[year_id])</f>
        <v>14</v>
      </c>
      <c r="F761" t="s">
        <v>27</v>
      </c>
      <c r="G761" t="s">
        <v>28</v>
      </c>
      <c r="H761" cm="1">
        <f t="array" ref="H761">_xlfn.XLOOKUP(Table4[[#This Row],[vehicle_segment]]&amp;Table4[[#This Row],[powertrain_type]],Table3[vehicle_segment]&amp;Table3[powertrain_type],Table3[vehicle_id])</f>
        <v>1</v>
      </c>
      <c r="I761">
        <v>1743</v>
      </c>
      <c r="J761">
        <v>41951</v>
      </c>
      <c r="K761">
        <v>27968</v>
      </c>
      <c r="L761">
        <v>71662</v>
      </c>
      <c r="M761">
        <v>2.4300000000000002</v>
      </c>
      <c r="N761">
        <v>6012</v>
      </c>
      <c r="O761">
        <v>20.6</v>
      </c>
      <c r="P761">
        <v>435</v>
      </c>
      <c r="Q761">
        <v>1.573</v>
      </c>
      <c r="R761">
        <v>0.20100000000000001</v>
      </c>
      <c r="S761">
        <v>18919</v>
      </c>
      <c r="T761">
        <v>60.1</v>
      </c>
      <c r="U761">
        <v>52.1</v>
      </c>
      <c r="V761">
        <v>4615</v>
      </c>
      <c r="W761">
        <v>65.7</v>
      </c>
      <c r="X761">
        <v>36.71</v>
      </c>
      <c r="Y761">
        <v>0</v>
      </c>
    </row>
    <row r="762" spans="1:25" x14ac:dyDescent="0.25">
      <c r="A762" t="s">
        <v>50</v>
      </c>
      <c r="B762">
        <f>_xlfn.XLOOKUP(Table4[[#This Row],[country]],Table2[country],Table2[country_id],FALSE)</f>
        <v>16</v>
      </c>
      <c r="C762" t="s">
        <v>32</v>
      </c>
      <c r="D762">
        <v>2023</v>
      </c>
      <c r="E762">
        <f>_xlfn.XLOOKUP(Table4[[#This Row],[year]],Table1[year],Table1[year_id])</f>
        <v>14</v>
      </c>
      <c r="F762" t="s">
        <v>29</v>
      </c>
      <c r="G762" t="s">
        <v>28</v>
      </c>
      <c r="H762" cm="1">
        <f t="array" ref="H762">_xlfn.XLOOKUP(Table4[[#This Row],[vehicle_segment]]&amp;Table4[[#This Row],[powertrain_type]],Table3[vehicle_segment]&amp;Table3[powertrain_type],Table3[vehicle_id])</f>
        <v>2</v>
      </c>
      <c r="I762">
        <v>19746</v>
      </c>
      <c r="J762">
        <v>232642</v>
      </c>
      <c r="K762">
        <v>31724</v>
      </c>
      <c r="L762">
        <v>284112</v>
      </c>
      <c r="M762">
        <v>6.95</v>
      </c>
      <c r="N762">
        <v>6012</v>
      </c>
      <c r="O762">
        <v>20.6</v>
      </c>
      <c r="P762">
        <v>435</v>
      </c>
      <c r="Q762">
        <v>1.573</v>
      </c>
      <c r="R762">
        <v>0.20100000000000001</v>
      </c>
      <c r="S762">
        <v>18919</v>
      </c>
      <c r="T762">
        <v>60.1</v>
      </c>
      <c r="U762">
        <v>52.1</v>
      </c>
      <c r="V762">
        <v>4615</v>
      </c>
      <c r="W762">
        <v>65.7</v>
      </c>
      <c r="X762">
        <v>36.520000000000003</v>
      </c>
      <c r="Y762">
        <v>0</v>
      </c>
    </row>
    <row r="763" spans="1:25" x14ac:dyDescent="0.25">
      <c r="A763" t="s">
        <v>50</v>
      </c>
      <c r="B763">
        <f>_xlfn.XLOOKUP(Table4[[#This Row],[country]],Table2[country],Table2[country_id],FALSE)</f>
        <v>16</v>
      </c>
      <c r="C763" t="s">
        <v>32</v>
      </c>
      <c r="D763">
        <v>2023</v>
      </c>
      <c r="E763">
        <f>_xlfn.XLOOKUP(Table4[[#This Row],[year]],Table1[year],Table1[year_id])</f>
        <v>14</v>
      </c>
      <c r="F763" t="s">
        <v>30</v>
      </c>
      <c r="G763" t="s">
        <v>28</v>
      </c>
      <c r="H763" cm="1">
        <f t="array" ref="H763">_xlfn.XLOOKUP(Table4[[#This Row],[vehicle_segment]]&amp;Table4[[#This Row],[powertrain_type]],Table3[vehicle_segment]&amp;Table3[powertrain_type],Table3[vehicle_id])</f>
        <v>3</v>
      </c>
      <c r="I763">
        <v>12221</v>
      </c>
      <c r="J763">
        <v>100326</v>
      </c>
      <c r="K763">
        <v>8724</v>
      </c>
      <c r="L763">
        <v>121271</v>
      </c>
      <c r="M763">
        <v>10.08</v>
      </c>
      <c r="N763">
        <v>6012</v>
      </c>
      <c r="O763">
        <v>20.6</v>
      </c>
      <c r="P763">
        <v>435</v>
      </c>
      <c r="Q763">
        <v>1.573</v>
      </c>
      <c r="R763">
        <v>0.20100000000000001</v>
      </c>
      <c r="S763">
        <v>18919</v>
      </c>
      <c r="T763">
        <v>60.1</v>
      </c>
      <c r="U763">
        <v>52.1</v>
      </c>
      <c r="V763">
        <v>4615</v>
      </c>
      <c r="W763">
        <v>65.7</v>
      </c>
      <c r="X763">
        <v>37.299999999999997</v>
      </c>
      <c r="Y763">
        <v>0</v>
      </c>
    </row>
    <row r="764" spans="1:25" x14ac:dyDescent="0.25">
      <c r="A764" t="s">
        <v>50</v>
      </c>
      <c r="B764">
        <f>_xlfn.XLOOKUP(Table4[[#This Row],[country]],Table2[country],Table2[country_id],FALSE)</f>
        <v>16</v>
      </c>
      <c r="C764" t="s">
        <v>32</v>
      </c>
      <c r="D764">
        <v>2024</v>
      </c>
      <c r="E764">
        <f>_xlfn.XLOOKUP(Table4[[#This Row],[year]],Table1[year],Table1[year_id])</f>
        <v>15</v>
      </c>
      <c r="F764" t="s">
        <v>27</v>
      </c>
      <c r="G764" t="s">
        <v>28</v>
      </c>
      <c r="H764" cm="1">
        <f t="array" ref="H764">_xlfn.XLOOKUP(Table4[[#This Row],[vehicle_segment]]&amp;Table4[[#This Row],[powertrain_type]],Table3[vehicle_segment]&amp;Table3[powertrain_type],Table3[vehicle_id])</f>
        <v>1</v>
      </c>
      <c r="I764">
        <v>2028</v>
      </c>
      <c r="J764">
        <v>45012</v>
      </c>
      <c r="K764">
        <v>30008</v>
      </c>
      <c r="L764">
        <v>77048</v>
      </c>
      <c r="M764">
        <v>2.63</v>
      </c>
      <c r="N764">
        <v>7734</v>
      </c>
      <c r="O764">
        <v>21.9</v>
      </c>
      <c r="P764">
        <v>456</v>
      </c>
      <c r="Q764">
        <v>1.5169999999999999</v>
      </c>
      <c r="R764">
        <v>0.21</v>
      </c>
      <c r="S764">
        <v>19914</v>
      </c>
      <c r="T764">
        <v>60.4</v>
      </c>
      <c r="U764">
        <v>50.3</v>
      </c>
      <c r="V764">
        <v>4544</v>
      </c>
      <c r="W764">
        <v>66.5</v>
      </c>
      <c r="X764">
        <v>16.350000000000001</v>
      </c>
      <c r="Y764">
        <v>0</v>
      </c>
    </row>
    <row r="765" spans="1:25" x14ac:dyDescent="0.25">
      <c r="A765" t="s">
        <v>50</v>
      </c>
      <c r="B765">
        <f>_xlfn.XLOOKUP(Table4[[#This Row],[country]],Table2[country],Table2[country_id],FALSE)</f>
        <v>16</v>
      </c>
      <c r="C765" t="s">
        <v>32</v>
      </c>
      <c r="D765">
        <v>2024</v>
      </c>
      <c r="E765">
        <f>_xlfn.XLOOKUP(Table4[[#This Row],[year]],Table1[year],Table1[year_id])</f>
        <v>15</v>
      </c>
      <c r="F765" t="s">
        <v>29</v>
      </c>
      <c r="G765" t="s">
        <v>28</v>
      </c>
      <c r="H765" cm="1">
        <f t="array" ref="H765">_xlfn.XLOOKUP(Table4[[#This Row],[vehicle_segment]]&amp;Table4[[#This Row],[powertrain_type]],Table3[vehicle_segment]&amp;Table3[powertrain_type],Table3[vehicle_id])</f>
        <v>2</v>
      </c>
      <c r="I765">
        <v>22966</v>
      </c>
      <c r="J765">
        <v>248546</v>
      </c>
      <c r="K765">
        <v>33893</v>
      </c>
      <c r="L765">
        <v>305405</v>
      </c>
      <c r="M765">
        <v>7.52</v>
      </c>
      <c r="N765">
        <v>7734</v>
      </c>
      <c r="O765">
        <v>21.9</v>
      </c>
      <c r="P765">
        <v>456</v>
      </c>
      <c r="Q765">
        <v>1.5169999999999999</v>
      </c>
      <c r="R765">
        <v>0.21</v>
      </c>
      <c r="S765">
        <v>19914</v>
      </c>
      <c r="T765">
        <v>60.4</v>
      </c>
      <c r="U765">
        <v>50.3</v>
      </c>
      <c r="V765">
        <v>4544</v>
      </c>
      <c r="W765">
        <v>66.5</v>
      </c>
      <c r="X765">
        <v>16.309999999999999</v>
      </c>
      <c r="Y765">
        <v>0</v>
      </c>
    </row>
    <row r="766" spans="1:25" x14ac:dyDescent="0.25">
      <c r="A766" t="s">
        <v>50</v>
      </c>
      <c r="B766">
        <f>_xlfn.XLOOKUP(Table4[[#This Row],[country]],Table2[country],Table2[country_id],FALSE)</f>
        <v>16</v>
      </c>
      <c r="C766" t="s">
        <v>32</v>
      </c>
      <c r="D766">
        <v>2024</v>
      </c>
      <c r="E766">
        <f>_xlfn.XLOOKUP(Table4[[#This Row],[year]],Table1[year],Table1[year_id])</f>
        <v>15</v>
      </c>
      <c r="F766" t="s">
        <v>30</v>
      </c>
      <c r="G766" t="s">
        <v>28</v>
      </c>
      <c r="H766" cm="1">
        <f t="array" ref="H766">_xlfn.XLOOKUP(Table4[[#This Row],[vehicle_segment]]&amp;Table4[[#This Row],[powertrain_type]],Table3[vehicle_segment]&amp;Table3[powertrain_type],Table3[vehicle_id])</f>
        <v>3</v>
      </c>
      <c r="I766">
        <v>13898</v>
      </c>
      <c r="J766">
        <v>104478</v>
      </c>
      <c r="K766">
        <v>9085</v>
      </c>
      <c r="L766">
        <v>127461</v>
      </c>
      <c r="M766">
        <v>10.9</v>
      </c>
      <c r="N766">
        <v>7734</v>
      </c>
      <c r="O766">
        <v>21.9</v>
      </c>
      <c r="P766">
        <v>456</v>
      </c>
      <c r="Q766">
        <v>1.5169999999999999</v>
      </c>
      <c r="R766">
        <v>0.21</v>
      </c>
      <c r="S766">
        <v>19914</v>
      </c>
      <c r="T766">
        <v>60.4</v>
      </c>
      <c r="U766">
        <v>50.3</v>
      </c>
      <c r="V766">
        <v>4544</v>
      </c>
      <c r="W766">
        <v>66.5</v>
      </c>
      <c r="X766">
        <v>13.72</v>
      </c>
      <c r="Y766">
        <v>0</v>
      </c>
    </row>
    <row r="767" spans="1:25" x14ac:dyDescent="0.25">
      <c r="A767" t="s">
        <v>50</v>
      </c>
      <c r="B767">
        <f>_xlfn.XLOOKUP(Table4[[#This Row],[country]],Table2[country],Table2[country_id],FALSE)</f>
        <v>16</v>
      </c>
      <c r="C767" t="s">
        <v>32</v>
      </c>
      <c r="D767">
        <v>2025</v>
      </c>
      <c r="E767">
        <f>_xlfn.XLOOKUP(Table4[[#This Row],[year]],Table1[year],Table1[year_id])</f>
        <v>16</v>
      </c>
      <c r="F767" t="s">
        <v>27</v>
      </c>
      <c r="G767" t="s">
        <v>28</v>
      </c>
      <c r="H767" cm="1">
        <f t="array" ref="H767">_xlfn.XLOOKUP(Table4[[#This Row],[vehicle_segment]]&amp;Table4[[#This Row],[powertrain_type]],Table3[vehicle_segment]&amp;Table3[powertrain_type],Table3[vehicle_id])</f>
        <v>1</v>
      </c>
      <c r="I767">
        <v>2578</v>
      </c>
      <c r="J767">
        <v>47227</v>
      </c>
      <c r="K767">
        <v>31485</v>
      </c>
      <c r="L767">
        <v>81290</v>
      </c>
      <c r="M767">
        <v>3.17</v>
      </c>
      <c r="N767">
        <v>10596</v>
      </c>
      <c r="O767">
        <v>26.5</v>
      </c>
      <c r="P767">
        <v>472</v>
      </c>
      <c r="Q767">
        <v>1.48</v>
      </c>
      <c r="R767">
        <v>0.218</v>
      </c>
      <c r="S767">
        <v>20523</v>
      </c>
      <c r="T767">
        <v>60.6</v>
      </c>
      <c r="U767">
        <v>46.6</v>
      </c>
      <c r="V767">
        <v>4658</v>
      </c>
      <c r="W767">
        <v>70.400000000000006</v>
      </c>
      <c r="X767">
        <v>27.12</v>
      </c>
      <c r="Y767">
        <v>0</v>
      </c>
    </row>
    <row r="768" spans="1:25" x14ac:dyDescent="0.25">
      <c r="A768" t="s">
        <v>50</v>
      </c>
      <c r="B768">
        <f>_xlfn.XLOOKUP(Table4[[#This Row],[country]],Table2[country],Table2[country_id],FALSE)</f>
        <v>16</v>
      </c>
      <c r="C768" t="s">
        <v>32</v>
      </c>
      <c r="D768">
        <v>2025</v>
      </c>
      <c r="E768">
        <f>_xlfn.XLOOKUP(Table4[[#This Row],[year]],Table1[year],Table1[year_id])</f>
        <v>16</v>
      </c>
      <c r="F768" t="s">
        <v>29</v>
      </c>
      <c r="G768" t="s">
        <v>28</v>
      </c>
      <c r="H768" cm="1">
        <f t="array" ref="H768">_xlfn.XLOOKUP(Table4[[#This Row],[vehicle_segment]]&amp;Table4[[#This Row],[powertrain_type]],Table3[vehicle_segment]&amp;Table3[powertrain_type],Table3[vehicle_id])</f>
        <v>2</v>
      </c>
      <c r="I768">
        <v>28676</v>
      </c>
      <c r="J768">
        <v>253297</v>
      </c>
      <c r="K768">
        <v>34540</v>
      </c>
      <c r="L768">
        <v>316513</v>
      </c>
      <c r="M768">
        <v>9.06</v>
      </c>
      <c r="N768">
        <v>10596</v>
      </c>
      <c r="O768">
        <v>26.5</v>
      </c>
      <c r="P768">
        <v>472</v>
      </c>
      <c r="Q768">
        <v>1.48</v>
      </c>
      <c r="R768">
        <v>0.218</v>
      </c>
      <c r="S768">
        <v>20523</v>
      </c>
      <c r="T768">
        <v>60.6</v>
      </c>
      <c r="U768">
        <v>46.6</v>
      </c>
      <c r="V768">
        <v>4658</v>
      </c>
      <c r="W768">
        <v>70.400000000000006</v>
      </c>
      <c r="X768">
        <v>24.86</v>
      </c>
      <c r="Y768">
        <v>0</v>
      </c>
    </row>
    <row r="769" spans="1:25" x14ac:dyDescent="0.25">
      <c r="A769" t="s">
        <v>50</v>
      </c>
      <c r="B769">
        <f>_xlfn.XLOOKUP(Table4[[#This Row],[country]],Table2[country],Table2[country_id],FALSE)</f>
        <v>16</v>
      </c>
      <c r="C769" t="s">
        <v>32</v>
      </c>
      <c r="D769">
        <v>2025</v>
      </c>
      <c r="E769">
        <f>_xlfn.XLOOKUP(Table4[[#This Row],[year]],Table1[year],Table1[year_id])</f>
        <v>16</v>
      </c>
      <c r="F769" t="s">
        <v>30</v>
      </c>
      <c r="G769" t="s">
        <v>28</v>
      </c>
      <c r="H769" cm="1">
        <f t="array" ref="H769">_xlfn.XLOOKUP(Table4[[#This Row],[vehicle_segment]]&amp;Table4[[#This Row],[powertrain_type]],Table3[vehicle_segment]&amp;Table3[powertrain_type],Table3[vehicle_id])</f>
        <v>3</v>
      </c>
      <c r="I769">
        <v>17421</v>
      </c>
      <c r="J769">
        <v>105973</v>
      </c>
      <c r="K769">
        <v>9215</v>
      </c>
      <c r="L769">
        <v>132609</v>
      </c>
      <c r="M769">
        <v>13.14</v>
      </c>
      <c r="N769">
        <v>10596</v>
      </c>
      <c r="O769">
        <v>26.5</v>
      </c>
      <c r="P769">
        <v>472</v>
      </c>
      <c r="Q769">
        <v>1.48</v>
      </c>
      <c r="R769">
        <v>0.218</v>
      </c>
      <c r="S769">
        <v>20523</v>
      </c>
      <c r="T769">
        <v>60.6</v>
      </c>
      <c r="U769">
        <v>46.6</v>
      </c>
      <c r="V769">
        <v>4658</v>
      </c>
      <c r="W769">
        <v>70.400000000000006</v>
      </c>
      <c r="X769">
        <v>25.35</v>
      </c>
      <c r="Y769">
        <v>0</v>
      </c>
    </row>
    <row r="770" spans="1:25" x14ac:dyDescent="0.25">
      <c r="A770" t="s">
        <v>51</v>
      </c>
      <c r="B770">
        <f>_xlfn.XLOOKUP(Table4[[#This Row],[country]],Table2[country],Table2[country_id],FALSE)</f>
        <v>17</v>
      </c>
      <c r="C770" t="s">
        <v>32</v>
      </c>
      <c r="D770">
        <v>2010</v>
      </c>
      <c r="E770">
        <f>_xlfn.XLOOKUP(Table4[[#This Row],[year]],Table1[year],Table1[year_id])</f>
        <v>1</v>
      </c>
      <c r="F770" t="s">
        <v>27</v>
      </c>
      <c r="G770" t="s">
        <v>28</v>
      </c>
      <c r="H770" cm="1">
        <f t="array" ref="H770">_xlfn.XLOOKUP(Table4[[#This Row],[vehicle_segment]]&amp;Table4[[#This Row],[powertrain_type]],Table3[vehicle_segment]&amp;Table3[powertrain_type],Table3[vehicle_id])</f>
        <v>1</v>
      </c>
      <c r="I770">
        <v>8</v>
      </c>
      <c r="J770">
        <v>20810</v>
      </c>
      <c r="K770">
        <v>13878</v>
      </c>
      <c r="L770">
        <v>34696</v>
      </c>
      <c r="M770">
        <v>0.02</v>
      </c>
      <c r="N770">
        <v>49</v>
      </c>
      <c r="O770">
        <v>2.1</v>
      </c>
      <c r="P770">
        <v>121</v>
      </c>
      <c r="Q770">
        <v>1.41</v>
      </c>
      <c r="R770">
        <v>0.16900000000000001</v>
      </c>
      <c r="S770">
        <v>22798</v>
      </c>
      <c r="T770">
        <v>60.6</v>
      </c>
      <c r="U770">
        <v>18</v>
      </c>
      <c r="V770">
        <v>0</v>
      </c>
      <c r="W770">
        <v>49.4</v>
      </c>
      <c r="X770">
        <v>0</v>
      </c>
      <c r="Y770">
        <v>0</v>
      </c>
    </row>
    <row r="771" spans="1:25" x14ac:dyDescent="0.25">
      <c r="A771" t="s">
        <v>51</v>
      </c>
      <c r="B771">
        <f>_xlfn.XLOOKUP(Table4[[#This Row],[country]],Table2[country],Table2[country_id],FALSE)</f>
        <v>17</v>
      </c>
      <c r="C771" t="s">
        <v>32</v>
      </c>
      <c r="D771">
        <v>2010</v>
      </c>
      <c r="E771">
        <f>_xlfn.XLOOKUP(Table4[[#This Row],[year]],Table1[year],Table1[year_id])</f>
        <v>1</v>
      </c>
      <c r="F771" t="s">
        <v>29</v>
      </c>
      <c r="G771" t="s">
        <v>28</v>
      </c>
      <c r="H771" cm="1">
        <f t="array" ref="H771">_xlfn.XLOOKUP(Table4[[#This Row],[vehicle_segment]]&amp;Table4[[#This Row],[powertrain_type]],Table3[vehicle_segment]&amp;Table3[powertrain_type],Table3[vehicle_id])</f>
        <v>2</v>
      </c>
      <c r="I771">
        <v>28</v>
      </c>
      <c r="J771">
        <v>122492</v>
      </c>
      <c r="K771">
        <v>16703</v>
      </c>
      <c r="L771">
        <v>139223</v>
      </c>
      <c r="M771">
        <v>0.02</v>
      </c>
      <c r="N771">
        <v>49</v>
      </c>
      <c r="O771">
        <v>2.1</v>
      </c>
      <c r="P771">
        <v>121</v>
      </c>
      <c r="Q771">
        <v>1.41</v>
      </c>
      <c r="R771">
        <v>0.16900000000000001</v>
      </c>
      <c r="S771">
        <v>22798</v>
      </c>
      <c r="T771">
        <v>60.6</v>
      </c>
      <c r="U771">
        <v>18</v>
      </c>
      <c r="V771">
        <v>0</v>
      </c>
      <c r="W771">
        <v>49.4</v>
      </c>
      <c r="X771">
        <v>0</v>
      </c>
      <c r="Y771">
        <v>0</v>
      </c>
    </row>
    <row r="772" spans="1:25" x14ac:dyDescent="0.25">
      <c r="A772" t="s">
        <v>51</v>
      </c>
      <c r="B772">
        <f>_xlfn.XLOOKUP(Table4[[#This Row],[country]],Table2[country],Table2[country_id],FALSE)</f>
        <v>17</v>
      </c>
      <c r="C772" t="s">
        <v>32</v>
      </c>
      <c r="D772">
        <v>2010</v>
      </c>
      <c r="E772">
        <f>_xlfn.XLOOKUP(Table4[[#This Row],[year]],Table1[year],Table1[year_id])</f>
        <v>1</v>
      </c>
      <c r="F772" t="s">
        <v>30</v>
      </c>
      <c r="G772" t="s">
        <v>28</v>
      </c>
      <c r="H772" cm="1">
        <f t="array" ref="H772">_xlfn.XLOOKUP(Table4[[#This Row],[vehicle_segment]]&amp;Table4[[#This Row],[powertrain_type]],Table3[vehicle_segment]&amp;Table3[powertrain_type],Table3[vehicle_id])</f>
        <v>3</v>
      </c>
      <c r="I772">
        <v>17</v>
      </c>
      <c r="J772">
        <v>53142</v>
      </c>
      <c r="K772">
        <v>4621</v>
      </c>
      <c r="L772">
        <v>57780</v>
      </c>
      <c r="M772">
        <v>0.03</v>
      </c>
      <c r="N772">
        <v>49</v>
      </c>
      <c r="O772">
        <v>2.1</v>
      </c>
      <c r="P772">
        <v>121</v>
      </c>
      <c r="Q772">
        <v>1.41</v>
      </c>
      <c r="R772">
        <v>0.16900000000000001</v>
      </c>
      <c r="S772">
        <v>22798</v>
      </c>
      <c r="T772">
        <v>60.6</v>
      </c>
      <c r="U772">
        <v>18</v>
      </c>
      <c r="V772">
        <v>0</v>
      </c>
      <c r="W772">
        <v>49.4</v>
      </c>
      <c r="X772">
        <v>0</v>
      </c>
      <c r="Y772">
        <v>0</v>
      </c>
    </row>
    <row r="773" spans="1:25" x14ac:dyDescent="0.25">
      <c r="A773" t="s">
        <v>51</v>
      </c>
      <c r="B773">
        <f>_xlfn.XLOOKUP(Table4[[#This Row],[country]],Table2[country],Table2[country_id],FALSE)</f>
        <v>17</v>
      </c>
      <c r="C773" t="s">
        <v>32</v>
      </c>
      <c r="D773">
        <v>2011</v>
      </c>
      <c r="E773">
        <f>_xlfn.XLOOKUP(Table4[[#This Row],[year]],Table1[year],Table1[year_id])</f>
        <v>2</v>
      </c>
      <c r="F773" t="s">
        <v>27</v>
      </c>
      <c r="G773" t="s">
        <v>28</v>
      </c>
      <c r="H773" cm="1">
        <f t="array" ref="H773">_xlfn.XLOOKUP(Table4[[#This Row],[vehicle_segment]]&amp;Table4[[#This Row],[powertrain_type]],Table3[vehicle_segment]&amp;Table3[powertrain_type],Table3[vehicle_id])</f>
        <v>1</v>
      </c>
      <c r="I773">
        <v>6</v>
      </c>
      <c r="J773">
        <v>16483</v>
      </c>
      <c r="K773">
        <v>10988</v>
      </c>
      <c r="L773">
        <v>27477</v>
      </c>
      <c r="M773">
        <v>0.02</v>
      </c>
      <c r="N773">
        <v>429</v>
      </c>
      <c r="O773">
        <v>2.9</v>
      </c>
      <c r="P773">
        <v>128</v>
      </c>
      <c r="Q773">
        <v>1.38</v>
      </c>
      <c r="R773">
        <v>0.18099999999999999</v>
      </c>
      <c r="S773">
        <v>21749</v>
      </c>
      <c r="T773">
        <v>61.2</v>
      </c>
      <c r="U773">
        <v>17.7</v>
      </c>
      <c r="V773">
        <v>376</v>
      </c>
      <c r="W773">
        <v>50.1</v>
      </c>
      <c r="X773">
        <v>-25</v>
      </c>
      <c r="Y773">
        <v>0</v>
      </c>
    </row>
    <row r="774" spans="1:25" x14ac:dyDescent="0.25">
      <c r="A774" t="s">
        <v>51</v>
      </c>
      <c r="B774">
        <f>_xlfn.XLOOKUP(Table4[[#This Row],[country]],Table2[country],Table2[country_id],FALSE)</f>
        <v>17</v>
      </c>
      <c r="C774" t="s">
        <v>32</v>
      </c>
      <c r="D774">
        <v>2011</v>
      </c>
      <c r="E774">
        <f>_xlfn.XLOOKUP(Table4[[#This Row],[year]],Table1[year],Table1[year_id])</f>
        <v>2</v>
      </c>
      <c r="F774" t="s">
        <v>29</v>
      </c>
      <c r="G774" t="s">
        <v>28</v>
      </c>
      <c r="H774" cm="1">
        <f t="array" ref="H774">_xlfn.XLOOKUP(Table4[[#This Row],[vehicle_segment]]&amp;Table4[[#This Row],[powertrain_type]],Table3[vehicle_segment]&amp;Table3[powertrain_type],Table3[vehicle_id])</f>
        <v>2</v>
      </c>
      <c r="I774">
        <v>66</v>
      </c>
      <c r="J774">
        <v>97297</v>
      </c>
      <c r="K774">
        <v>13268</v>
      </c>
      <c r="L774">
        <v>110631</v>
      </c>
      <c r="M774">
        <v>0.06</v>
      </c>
      <c r="N774">
        <v>429</v>
      </c>
      <c r="O774">
        <v>2.9</v>
      </c>
      <c r="P774">
        <v>128</v>
      </c>
      <c r="Q774">
        <v>1.38</v>
      </c>
      <c r="R774">
        <v>0.18099999999999999</v>
      </c>
      <c r="S774">
        <v>21749</v>
      </c>
      <c r="T774">
        <v>61.2</v>
      </c>
      <c r="U774">
        <v>17.7</v>
      </c>
      <c r="V774">
        <v>376</v>
      </c>
      <c r="W774">
        <v>50.1</v>
      </c>
      <c r="X774">
        <v>135.71</v>
      </c>
      <c r="Y774">
        <v>0</v>
      </c>
    </row>
    <row r="775" spans="1:25" x14ac:dyDescent="0.25">
      <c r="A775" t="s">
        <v>51</v>
      </c>
      <c r="B775">
        <f>_xlfn.XLOOKUP(Table4[[#This Row],[country]],Table2[country],Table2[country_id],FALSE)</f>
        <v>17</v>
      </c>
      <c r="C775" t="s">
        <v>32</v>
      </c>
      <c r="D775">
        <v>2011</v>
      </c>
      <c r="E775">
        <f>_xlfn.XLOOKUP(Table4[[#This Row],[year]],Table1[year],Table1[year_id])</f>
        <v>2</v>
      </c>
      <c r="F775" t="s">
        <v>30</v>
      </c>
      <c r="G775" t="s">
        <v>28</v>
      </c>
      <c r="H775" cm="1">
        <f t="array" ref="H775">_xlfn.XLOOKUP(Table4[[#This Row],[vehicle_segment]]&amp;Table4[[#This Row],[powertrain_type]],Table3[vehicle_segment]&amp;Table3[powertrain_type],Table3[vehicle_id])</f>
        <v>3</v>
      </c>
      <c r="I775">
        <v>40</v>
      </c>
      <c r="J775">
        <v>42700</v>
      </c>
      <c r="K775">
        <v>3713</v>
      </c>
      <c r="L775">
        <v>46453</v>
      </c>
      <c r="M775">
        <v>0.09</v>
      </c>
      <c r="N775">
        <v>429</v>
      </c>
      <c r="O775">
        <v>2.9</v>
      </c>
      <c r="P775">
        <v>128</v>
      </c>
      <c r="Q775">
        <v>1.38</v>
      </c>
      <c r="R775">
        <v>0.18099999999999999</v>
      </c>
      <c r="S775">
        <v>21749</v>
      </c>
      <c r="T775">
        <v>61.2</v>
      </c>
      <c r="U775">
        <v>17.7</v>
      </c>
      <c r="V775">
        <v>376</v>
      </c>
      <c r="W775">
        <v>50.1</v>
      </c>
      <c r="X775">
        <v>135.29</v>
      </c>
      <c r="Y775">
        <v>0</v>
      </c>
    </row>
    <row r="776" spans="1:25" x14ac:dyDescent="0.25">
      <c r="A776" t="s">
        <v>51</v>
      </c>
      <c r="B776">
        <f>_xlfn.XLOOKUP(Table4[[#This Row],[country]],Table2[country],Table2[country_id],FALSE)</f>
        <v>17</v>
      </c>
      <c r="C776" t="s">
        <v>32</v>
      </c>
      <c r="D776">
        <v>2012</v>
      </c>
      <c r="E776">
        <f>_xlfn.XLOOKUP(Table4[[#This Row],[year]],Table1[year],Table1[year_id])</f>
        <v>3</v>
      </c>
      <c r="F776" t="s">
        <v>27</v>
      </c>
      <c r="G776" t="s">
        <v>28</v>
      </c>
      <c r="H776" cm="1">
        <f t="array" ref="H776">_xlfn.XLOOKUP(Table4[[#This Row],[vehicle_segment]]&amp;Table4[[#This Row],[powertrain_type]],Table3[vehicle_segment]&amp;Table3[powertrain_type],Table3[vehicle_id])</f>
        <v>1</v>
      </c>
      <c r="I776">
        <v>7</v>
      </c>
      <c r="J776">
        <v>14078</v>
      </c>
      <c r="K776">
        <v>9385</v>
      </c>
      <c r="L776">
        <v>23470</v>
      </c>
      <c r="M776">
        <v>0.03</v>
      </c>
      <c r="N776">
        <v>875</v>
      </c>
      <c r="O776">
        <v>4.2</v>
      </c>
      <c r="P776">
        <v>136</v>
      </c>
      <c r="Q776">
        <v>1.38</v>
      </c>
      <c r="R776">
        <v>0.192</v>
      </c>
      <c r="S776">
        <v>21225</v>
      </c>
      <c r="T776">
        <v>62</v>
      </c>
      <c r="U776">
        <v>17.100000000000001</v>
      </c>
      <c r="V776">
        <v>749</v>
      </c>
      <c r="W776">
        <v>51.5</v>
      </c>
      <c r="X776">
        <v>-6.46</v>
      </c>
      <c r="Y776">
        <v>0</v>
      </c>
    </row>
    <row r="777" spans="1:25" x14ac:dyDescent="0.25">
      <c r="A777" t="s">
        <v>51</v>
      </c>
      <c r="B777">
        <f>_xlfn.XLOOKUP(Table4[[#This Row],[country]],Table2[country],Table2[country_id],FALSE)</f>
        <v>17</v>
      </c>
      <c r="C777" t="s">
        <v>32</v>
      </c>
      <c r="D777">
        <v>2012</v>
      </c>
      <c r="E777">
        <f>_xlfn.XLOOKUP(Table4[[#This Row],[year]],Table1[year],Table1[year_id])</f>
        <v>3</v>
      </c>
      <c r="F777" t="s">
        <v>29</v>
      </c>
      <c r="G777" t="s">
        <v>28</v>
      </c>
      <c r="H777" cm="1">
        <f t="array" ref="H777">_xlfn.XLOOKUP(Table4[[#This Row],[vehicle_segment]]&amp;Table4[[#This Row],[powertrain_type]],Table3[vehicle_segment]&amp;Table3[powertrain_type],Table3[vehicle_id])</f>
        <v>2</v>
      </c>
      <c r="I777">
        <v>84</v>
      </c>
      <c r="J777">
        <v>81786</v>
      </c>
      <c r="K777">
        <v>11153</v>
      </c>
      <c r="L777">
        <v>93023</v>
      </c>
      <c r="M777">
        <v>0.09</v>
      </c>
      <c r="N777">
        <v>875</v>
      </c>
      <c r="O777">
        <v>4.2</v>
      </c>
      <c r="P777">
        <v>136</v>
      </c>
      <c r="Q777">
        <v>1.38</v>
      </c>
      <c r="R777">
        <v>0.192</v>
      </c>
      <c r="S777">
        <v>21225</v>
      </c>
      <c r="T777">
        <v>62</v>
      </c>
      <c r="U777">
        <v>17.100000000000001</v>
      </c>
      <c r="V777">
        <v>749</v>
      </c>
      <c r="W777">
        <v>51.5</v>
      </c>
      <c r="X777">
        <v>73.209999999999994</v>
      </c>
      <c r="Y777">
        <v>0</v>
      </c>
    </row>
    <row r="778" spans="1:25" x14ac:dyDescent="0.25">
      <c r="A778" t="s">
        <v>51</v>
      </c>
      <c r="B778">
        <f>_xlfn.XLOOKUP(Table4[[#This Row],[country]],Table2[country],Table2[country_id],FALSE)</f>
        <v>17</v>
      </c>
      <c r="C778" t="s">
        <v>32</v>
      </c>
      <c r="D778">
        <v>2012</v>
      </c>
      <c r="E778">
        <f>_xlfn.XLOOKUP(Table4[[#This Row],[year]],Table1[year],Table1[year_id])</f>
        <v>3</v>
      </c>
      <c r="F778" t="s">
        <v>30</v>
      </c>
      <c r="G778" t="s">
        <v>28</v>
      </c>
      <c r="H778" cm="1">
        <f t="array" ref="H778">_xlfn.XLOOKUP(Table4[[#This Row],[vehicle_segment]]&amp;Table4[[#This Row],[powertrain_type]],Table3[vehicle_segment]&amp;Table3[powertrain_type],Table3[vehicle_id])</f>
        <v>3</v>
      </c>
      <c r="I778">
        <v>50</v>
      </c>
      <c r="J778">
        <v>35212</v>
      </c>
      <c r="K778">
        <v>3062</v>
      </c>
      <c r="L778">
        <v>38324</v>
      </c>
      <c r="M778">
        <v>0.13</v>
      </c>
      <c r="N778">
        <v>875</v>
      </c>
      <c r="O778">
        <v>4.2</v>
      </c>
      <c r="P778">
        <v>136</v>
      </c>
      <c r="Q778">
        <v>1.38</v>
      </c>
      <c r="R778">
        <v>0.192</v>
      </c>
      <c r="S778">
        <v>21225</v>
      </c>
      <c r="T778">
        <v>62</v>
      </c>
      <c r="U778">
        <v>17.100000000000001</v>
      </c>
      <c r="V778">
        <v>749</v>
      </c>
      <c r="W778">
        <v>51.5</v>
      </c>
      <c r="X778">
        <v>71.5</v>
      </c>
      <c r="Y778">
        <v>0</v>
      </c>
    </row>
    <row r="779" spans="1:25" x14ac:dyDescent="0.25">
      <c r="A779" t="s">
        <v>51</v>
      </c>
      <c r="B779">
        <f>_xlfn.XLOOKUP(Table4[[#This Row],[country]],Table2[country],Table2[country_id],FALSE)</f>
        <v>17</v>
      </c>
      <c r="C779" t="s">
        <v>32</v>
      </c>
      <c r="D779">
        <v>2013</v>
      </c>
      <c r="E779">
        <f>_xlfn.XLOOKUP(Table4[[#This Row],[year]],Table1[year],Table1[year_id])</f>
        <v>4</v>
      </c>
      <c r="F779" t="s">
        <v>27</v>
      </c>
      <c r="G779" t="s">
        <v>28</v>
      </c>
      <c r="H779" cm="1">
        <f t="array" ref="H779">_xlfn.XLOOKUP(Table4[[#This Row],[vehicle_segment]]&amp;Table4[[#This Row],[powertrain_type]],Table3[vehicle_segment]&amp;Table3[powertrain_type],Table3[vehicle_id])</f>
        <v>1</v>
      </c>
      <c r="I779">
        <v>10</v>
      </c>
      <c r="J779">
        <v>10482</v>
      </c>
      <c r="K779">
        <v>6988</v>
      </c>
      <c r="L779">
        <v>17480</v>
      </c>
      <c r="M779">
        <v>0.06</v>
      </c>
      <c r="N779">
        <v>1243</v>
      </c>
      <c r="O779">
        <v>5.6</v>
      </c>
      <c r="P779">
        <v>147</v>
      </c>
      <c r="Q779">
        <v>1.38</v>
      </c>
      <c r="R779">
        <v>0.20399999999999999</v>
      </c>
      <c r="S779">
        <v>20646</v>
      </c>
      <c r="T779">
        <v>62.4</v>
      </c>
      <c r="U779">
        <v>16.7</v>
      </c>
      <c r="V779">
        <v>1095</v>
      </c>
      <c r="W779">
        <v>51.8</v>
      </c>
      <c r="X779">
        <v>7.72</v>
      </c>
      <c r="Y779">
        <v>0</v>
      </c>
    </row>
    <row r="780" spans="1:25" x14ac:dyDescent="0.25">
      <c r="A780" t="s">
        <v>51</v>
      </c>
      <c r="B780">
        <f>_xlfn.XLOOKUP(Table4[[#This Row],[country]],Table2[country],Table2[country_id],FALSE)</f>
        <v>17</v>
      </c>
      <c r="C780" t="s">
        <v>32</v>
      </c>
      <c r="D780">
        <v>2013</v>
      </c>
      <c r="E780">
        <f>_xlfn.XLOOKUP(Table4[[#This Row],[year]],Table1[year],Table1[year_id])</f>
        <v>4</v>
      </c>
      <c r="F780" t="s">
        <v>29</v>
      </c>
      <c r="G780" t="s">
        <v>28</v>
      </c>
      <c r="H780" cm="1">
        <f t="array" ref="H780">_xlfn.XLOOKUP(Table4[[#This Row],[vehicle_segment]]&amp;Table4[[#This Row],[powertrain_type]],Table3[vehicle_segment]&amp;Table3[powertrain_type],Table3[vehicle_id])</f>
        <v>2</v>
      </c>
      <c r="I780">
        <v>116</v>
      </c>
      <c r="J780">
        <v>59897</v>
      </c>
      <c r="K780">
        <v>8168</v>
      </c>
      <c r="L780">
        <v>68181</v>
      </c>
      <c r="M780">
        <v>0.17</v>
      </c>
      <c r="N780">
        <v>1243</v>
      </c>
      <c r="O780">
        <v>5.6</v>
      </c>
      <c r="P780">
        <v>147</v>
      </c>
      <c r="Q780">
        <v>1.38</v>
      </c>
      <c r="R780">
        <v>0.20399999999999999</v>
      </c>
      <c r="S780">
        <v>20646</v>
      </c>
      <c r="T780">
        <v>62.4</v>
      </c>
      <c r="U780">
        <v>16.7</v>
      </c>
      <c r="V780">
        <v>1095</v>
      </c>
      <c r="W780">
        <v>51.8</v>
      </c>
      <c r="X780">
        <v>60.61</v>
      </c>
      <c r="Y780">
        <v>0</v>
      </c>
    </row>
    <row r="781" spans="1:25" x14ac:dyDescent="0.25">
      <c r="A781" t="s">
        <v>51</v>
      </c>
      <c r="B781">
        <f>_xlfn.XLOOKUP(Table4[[#This Row],[country]],Table2[country],Table2[country_id],FALSE)</f>
        <v>17</v>
      </c>
      <c r="C781" t="s">
        <v>32</v>
      </c>
      <c r="D781">
        <v>2013</v>
      </c>
      <c r="E781">
        <f>_xlfn.XLOOKUP(Table4[[#This Row],[year]],Table1[year],Table1[year_id])</f>
        <v>4</v>
      </c>
      <c r="F781" t="s">
        <v>30</v>
      </c>
      <c r="G781" t="s">
        <v>28</v>
      </c>
      <c r="H781" cm="1">
        <f t="array" ref="H781">_xlfn.XLOOKUP(Table4[[#This Row],[vehicle_segment]]&amp;Table4[[#This Row],[powertrain_type]],Table3[vehicle_segment]&amp;Table3[powertrain_type],Table3[vehicle_id])</f>
        <v>3</v>
      </c>
      <c r="I781">
        <v>71</v>
      </c>
      <c r="J781">
        <v>26519</v>
      </c>
      <c r="K781">
        <v>2306</v>
      </c>
      <c r="L781">
        <v>28896</v>
      </c>
      <c r="M781">
        <v>0.25</v>
      </c>
      <c r="N781">
        <v>1243</v>
      </c>
      <c r="O781">
        <v>5.6</v>
      </c>
      <c r="P781">
        <v>147</v>
      </c>
      <c r="Q781">
        <v>1.38</v>
      </c>
      <c r="R781">
        <v>0.20399999999999999</v>
      </c>
      <c r="S781">
        <v>20646</v>
      </c>
      <c r="T781">
        <v>62.4</v>
      </c>
      <c r="U781">
        <v>16.7</v>
      </c>
      <c r="V781">
        <v>1095</v>
      </c>
      <c r="W781">
        <v>51.8</v>
      </c>
      <c r="X781">
        <v>61.04</v>
      </c>
      <c r="Y781">
        <v>0</v>
      </c>
    </row>
    <row r="782" spans="1:25" x14ac:dyDescent="0.25">
      <c r="A782" t="s">
        <v>51</v>
      </c>
      <c r="B782">
        <f>_xlfn.XLOOKUP(Table4[[#This Row],[country]],Table2[country],Table2[country_id],FALSE)</f>
        <v>17</v>
      </c>
      <c r="C782" t="s">
        <v>32</v>
      </c>
      <c r="D782">
        <v>2014</v>
      </c>
      <c r="E782">
        <f>_xlfn.XLOOKUP(Table4[[#This Row],[year]],Table1[year],Table1[year_id])</f>
        <v>5</v>
      </c>
      <c r="F782" t="s">
        <v>27</v>
      </c>
      <c r="G782" t="s">
        <v>28</v>
      </c>
      <c r="H782" cm="1">
        <f t="array" ref="H782">_xlfn.XLOOKUP(Table4[[#This Row],[vehicle_segment]]&amp;Table4[[#This Row],[powertrain_type]],Table3[vehicle_segment]&amp;Table3[powertrain_type],Table3[vehicle_id])</f>
        <v>1</v>
      </c>
      <c r="I782">
        <v>44</v>
      </c>
      <c r="J782">
        <v>13321</v>
      </c>
      <c r="K782">
        <v>8880</v>
      </c>
      <c r="L782">
        <v>22245</v>
      </c>
      <c r="M782">
        <v>0.2</v>
      </c>
      <c r="N782">
        <v>1363</v>
      </c>
      <c r="O782">
        <v>6.8</v>
      </c>
      <c r="P782">
        <v>152</v>
      </c>
      <c r="Q782">
        <v>1.357</v>
      </c>
      <c r="R782">
        <v>0.21199999999999999</v>
      </c>
      <c r="S782">
        <v>19761</v>
      </c>
      <c r="T782">
        <v>63.1</v>
      </c>
      <c r="U782">
        <v>16.2</v>
      </c>
      <c r="V782">
        <v>1508</v>
      </c>
      <c r="W782">
        <v>55.7</v>
      </c>
      <c r="X782">
        <v>94.28</v>
      </c>
      <c r="Y782">
        <v>0</v>
      </c>
    </row>
    <row r="783" spans="1:25" x14ac:dyDescent="0.25">
      <c r="A783" t="s">
        <v>51</v>
      </c>
      <c r="B783">
        <f>_xlfn.XLOOKUP(Table4[[#This Row],[country]],Table2[country],Table2[country_id],FALSE)</f>
        <v>17</v>
      </c>
      <c r="C783" t="s">
        <v>32</v>
      </c>
      <c r="D783">
        <v>2014</v>
      </c>
      <c r="E783">
        <f>_xlfn.XLOOKUP(Table4[[#This Row],[year]],Table1[year],Table1[year_id])</f>
        <v>5</v>
      </c>
      <c r="F783" t="s">
        <v>29</v>
      </c>
      <c r="G783" t="s">
        <v>28</v>
      </c>
      <c r="H783" cm="1">
        <f t="array" ref="H783">_xlfn.XLOOKUP(Table4[[#This Row],[vehicle_segment]]&amp;Table4[[#This Row],[powertrain_type]],Table3[vehicle_segment]&amp;Table3[powertrain_type],Table3[vehicle_id])</f>
        <v>2</v>
      </c>
      <c r="I783">
        <v>505</v>
      </c>
      <c r="J783">
        <v>77530</v>
      </c>
      <c r="K783">
        <v>10572</v>
      </c>
      <c r="L783">
        <v>88607</v>
      </c>
      <c r="M783">
        <v>0.56999999999999995</v>
      </c>
      <c r="N783">
        <v>1363</v>
      </c>
      <c r="O783">
        <v>6.8</v>
      </c>
      <c r="P783">
        <v>152</v>
      </c>
      <c r="Q783">
        <v>1.357</v>
      </c>
      <c r="R783">
        <v>0.21199999999999999</v>
      </c>
      <c r="S783">
        <v>19761</v>
      </c>
      <c r="T783">
        <v>63.1</v>
      </c>
      <c r="U783">
        <v>16.2</v>
      </c>
      <c r="V783">
        <v>1508</v>
      </c>
      <c r="W783">
        <v>55.7</v>
      </c>
      <c r="X783">
        <v>300</v>
      </c>
      <c r="Y783">
        <v>0</v>
      </c>
    </row>
    <row r="784" spans="1:25" x14ac:dyDescent="0.25">
      <c r="A784" t="s">
        <v>51</v>
      </c>
      <c r="B784">
        <f>_xlfn.XLOOKUP(Table4[[#This Row],[country]],Table2[country],Table2[country_id],FALSE)</f>
        <v>17</v>
      </c>
      <c r="C784" t="s">
        <v>32</v>
      </c>
      <c r="D784">
        <v>2014</v>
      </c>
      <c r="E784">
        <f>_xlfn.XLOOKUP(Table4[[#This Row],[year]],Table1[year],Table1[year_id])</f>
        <v>5</v>
      </c>
      <c r="F784" t="s">
        <v>30</v>
      </c>
      <c r="G784" t="s">
        <v>28</v>
      </c>
      <c r="H784" cm="1">
        <f t="array" ref="H784">_xlfn.XLOOKUP(Table4[[#This Row],[vehicle_segment]]&amp;Table4[[#This Row],[powertrain_type]],Table3[vehicle_segment]&amp;Table3[powertrain_type],Table3[vehicle_id])</f>
        <v>3</v>
      </c>
      <c r="I784">
        <v>310</v>
      </c>
      <c r="J784">
        <v>34206</v>
      </c>
      <c r="K784">
        <v>2974</v>
      </c>
      <c r="L784">
        <v>37490</v>
      </c>
      <c r="M784">
        <v>0.83</v>
      </c>
      <c r="N784">
        <v>1363</v>
      </c>
      <c r="O784">
        <v>6.8</v>
      </c>
      <c r="P784">
        <v>152</v>
      </c>
      <c r="Q784">
        <v>1.357</v>
      </c>
      <c r="R784">
        <v>0.21199999999999999</v>
      </c>
      <c r="S784">
        <v>19761</v>
      </c>
      <c r="T784">
        <v>63.1</v>
      </c>
      <c r="U784">
        <v>16.2</v>
      </c>
      <c r="V784">
        <v>1508</v>
      </c>
      <c r="W784">
        <v>55.7</v>
      </c>
      <c r="X784">
        <v>97.89</v>
      </c>
      <c r="Y784">
        <v>0</v>
      </c>
    </row>
    <row r="785" spans="1:25" x14ac:dyDescent="0.25">
      <c r="A785" t="s">
        <v>51</v>
      </c>
      <c r="B785">
        <f>_xlfn.XLOOKUP(Table4[[#This Row],[country]],Table2[country],Table2[country_id],FALSE)</f>
        <v>17</v>
      </c>
      <c r="C785" t="s">
        <v>32</v>
      </c>
      <c r="D785">
        <v>2015</v>
      </c>
      <c r="E785">
        <f>_xlfn.XLOOKUP(Table4[[#This Row],[year]],Table1[year],Table1[year_id])</f>
        <v>6</v>
      </c>
      <c r="F785" t="s">
        <v>27</v>
      </c>
      <c r="G785" t="s">
        <v>28</v>
      </c>
      <c r="H785" cm="1">
        <f t="array" ref="H785">_xlfn.XLOOKUP(Table4[[#This Row],[vehicle_segment]]&amp;Table4[[#This Row],[powertrain_type]],Table3[vehicle_segment]&amp;Table3[powertrain_type],Table3[vehicle_id])</f>
        <v>1</v>
      </c>
      <c r="I785">
        <v>76</v>
      </c>
      <c r="J785">
        <v>15697</v>
      </c>
      <c r="K785">
        <v>10464</v>
      </c>
      <c r="L785">
        <v>26237</v>
      </c>
      <c r="M785">
        <v>0.28999999999999998</v>
      </c>
      <c r="N785">
        <v>1501</v>
      </c>
      <c r="O785">
        <v>8.1999999999999993</v>
      </c>
      <c r="P785">
        <v>170</v>
      </c>
      <c r="Q785">
        <v>1.347</v>
      </c>
      <c r="R785">
        <v>0.217</v>
      </c>
      <c r="S785">
        <v>19169</v>
      </c>
      <c r="T785">
        <v>63.7</v>
      </c>
      <c r="U785">
        <v>16.399999999999999</v>
      </c>
      <c r="V785">
        <v>1870</v>
      </c>
      <c r="W785">
        <v>55.9</v>
      </c>
      <c r="X785">
        <v>121.43</v>
      </c>
      <c r="Y785">
        <v>0</v>
      </c>
    </row>
    <row r="786" spans="1:25" x14ac:dyDescent="0.25">
      <c r="A786" t="s">
        <v>51</v>
      </c>
      <c r="B786">
        <f>_xlfn.XLOOKUP(Table4[[#This Row],[country]],Table2[country],Table2[country_id],FALSE)</f>
        <v>17</v>
      </c>
      <c r="C786" t="s">
        <v>32</v>
      </c>
      <c r="D786">
        <v>2015</v>
      </c>
      <c r="E786">
        <f>_xlfn.XLOOKUP(Table4[[#This Row],[year]],Table1[year],Table1[year_id])</f>
        <v>6</v>
      </c>
      <c r="F786" t="s">
        <v>29</v>
      </c>
      <c r="G786" t="s">
        <v>28</v>
      </c>
      <c r="H786" cm="1">
        <f t="array" ref="H786">_xlfn.XLOOKUP(Table4[[#This Row],[vehicle_segment]]&amp;Table4[[#This Row],[powertrain_type]],Table3[vehicle_segment]&amp;Table3[powertrain_type],Table3[vehicle_id])</f>
        <v>2</v>
      </c>
      <c r="I786">
        <v>893</v>
      </c>
      <c r="J786">
        <v>93878</v>
      </c>
      <c r="K786">
        <v>12802</v>
      </c>
      <c r="L786">
        <v>107573</v>
      </c>
      <c r="M786">
        <v>0.83</v>
      </c>
      <c r="N786">
        <v>1501</v>
      </c>
      <c r="O786">
        <v>8.1999999999999993</v>
      </c>
      <c r="P786">
        <v>170</v>
      </c>
      <c r="Q786">
        <v>1.347</v>
      </c>
      <c r="R786">
        <v>0.217</v>
      </c>
      <c r="S786">
        <v>19169</v>
      </c>
      <c r="T786">
        <v>63.7</v>
      </c>
      <c r="U786">
        <v>16.399999999999999</v>
      </c>
      <c r="V786">
        <v>1870</v>
      </c>
      <c r="W786">
        <v>55.9</v>
      </c>
      <c r="X786">
        <v>76.83</v>
      </c>
      <c r="Y786">
        <v>0</v>
      </c>
    </row>
    <row r="787" spans="1:25" x14ac:dyDescent="0.25">
      <c r="A787" t="s">
        <v>51</v>
      </c>
      <c r="B787">
        <f>_xlfn.XLOOKUP(Table4[[#This Row],[country]],Table2[country],Table2[country_id],FALSE)</f>
        <v>17</v>
      </c>
      <c r="C787" t="s">
        <v>32</v>
      </c>
      <c r="D787">
        <v>2015</v>
      </c>
      <c r="E787">
        <f>_xlfn.XLOOKUP(Table4[[#This Row],[year]],Table1[year],Table1[year_id])</f>
        <v>6</v>
      </c>
      <c r="F787" t="s">
        <v>30</v>
      </c>
      <c r="G787" t="s">
        <v>28</v>
      </c>
      <c r="H787" cm="1">
        <f t="array" ref="H787">_xlfn.XLOOKUP(Table4[[#This Row],[vehicle_segment]]&amp;Table4[[#This Row],[powertrain_type]],Table3[vehicle_segment]&amp;Table3[powertrain_type],Table3[vehicle_id])</f>
        <v>3</v>
      </c>
      <c r="I787">
        <v>538</v>
      </c>
      <c r="J787">
        <v>40647</v>
      </c>
      <c r="K787">
        <v>3534</v>
      </c>
      <c r="L787">
        <v>44719</v>
      </c>
      <c r="M787">
        <v>1.2</v>
      </c>
      <c r="N787">
        <v>1501</v>
      </c>
      <c r="O787">
        <v>8.1999999999999993</v>
      </c>
      <c r="P787">
        <v>170</v>
      </c>
      <c r="Q787">
        <v>1.347</v>
      </c>
      <c r="R787">
        <v>0.217</v>
      </c>
      <c r="S787">
        <v>19169</v>
      </c>
      <c r="T787">
        <v>63.7</v>
      </c>
      <c r="U787">
        <v>16.399999999999999</v>
      </c>
      <c r="V787">
        <v>1870</v>
      </c>
      <c r="W787">
        <v>55.9</v>
      </c>
      <c r="X787">
        <v>73.55</v>
      </c>
      <c r="Y787">
        <v>0</v>
      </c>
    </row>
    <row r="788" spans="1:25" x14ac:dyDescent="0.25">
      <c r="A788" t="s">
        <v>51</v>
      </c>
      <c r="B788">
        <f>_xlfn.XLOOKUP(Table4[[#This Row],[country]],Table2[country],Table2[country_id],FALSE)</f>
        <v>17</v>
      </c>
      <c r="C788" t="s">
        <v>32</v>
      </c>
      <c r="D788">
        <v>2016</v>
      </c>
      <c r="E788">
        <f>_xlfn.XLOOKUP(Table4[[#This Row],[year]],Table1[year],Table1[year_id])</f>
        <v>7</v>
      </c>
      <c r="F788" t="s">
        <v>27</v>
      </c>
      <c r="G788" t="s">
        <v>28</v>
      </c>
      <c r="H788" cm="1">
        <f t="array" ref="H788">_xlfn.XLOOKUP(Table4[[#This Row],[vehicle_segment]]&amp;Table4[[#This Row],[powertrain_type]],Table3[vehicle_segment]&amp;Table3[powertrain_type],Table3[vehicle_id])</f>
        <v>1</v>
      </c>
      <c r="I788">
        <v>116</v>
      </c>
      <c r="J788">
        <v>18361</v>
      </c>
      <c r="K788">
        <v>12240</v>
      </c>
      <c r="L788">
        <v>30717</v>
      </c>
      <c r="M788">
        <v>0.38</v>
      </c>
      <c r="N788">
        <v>1739</v>
      </c>
      <c r="O788">
        <v>9.3000000000000007</v>
      </c>
      <c r="P788">
        <v>182</v>
      </c>
      <c r="Q788">
        <v>1.373</v>
      </c>
      <c r="R788">
        <v>0.218</v>
      </c>
      <c r="S788">
        <v>20325</v>
      </c>
      <c r="T788">
        <v>64.099999999999994</v>
      </c>
      <c r="U788">
        <v>16.5</v>
      </c>
      <c r="V788">
        <v>2291</v>
      </c>
      <c r="W788">
        <v>60</v>
      </c>
      <c r="X788">
        <v>126.37</v>
      </c>
      <c r="Y788">
        <v>0</v>
      </c>
    </row>
    <row r="789" spans="1:25" x14ac:dyDescent="0.25">
      <c r="A789" t="s">
        <v>51</v>
      </c>
      <c r="B789">
        <f>_xlfn.XLOOKUP(Table4[[#This Row],[country]],Table2[country],Table2[country_id],FALSE)</f>
        <v>17</v>
      </c>
      <c r="C789" t="s">
        <v>32</v>
      </c>
      <c r="D789">
        <v>2016</v>
      </c>
      <c r="E789">
        <f>_xlfn.XLOOKUP(Table4[[#This Row],[year]],Table1[year],Table1[year_id])</f>
        <v>7</v>
      </c>
      <c r="F789" t="s">
        <v>29</v>
      </c>
      <c r="G789" t="s">
        <v>28</v>
      </c>
      <c r="H789" cm="1">
        <f t="array" ref="H789">_xlfn.XLOOKUP(Table4[[#This Row],[vehicle_segment]]&amp;Table4[[#This Row],[powertrain_type]],Table3[vehicle_segment]&amp;Table3[powertrain_type],Table3[vehicle_id])</f>
        <v>2</v>
      </c>
      <c r="I789">
        <v>1340</v>
      </c>
      <c r="J789">
        <v>108005</v>
      </c>
      <c r="K789">
        <v>14728</v>
      </c>
      <c r="L789">
        <v>124073</v>
      </c>
      <c r="M789">
        <v>1.08</v>
      </c>
      <c r="N789">
        <v>1739</v>
      </c>
      <c r="O789">
        <v>9.3000000000000007</v>
      </c>
      <c r="P789">
        <v>182</v>
      </c>
      <c r="Q789">
        <v>1.373</v>
      </c>
      <c r="R789">
        <v>0.218</v>
      </c>
      <c r="S789">
        <v>20325</v>
      </c>
      <c r="T789">
        <v>64.099999999999994</v>
      </c>
      <c r="U789">
        <v>16.5</v>
      </c>
      <c r="V789">
        <v>2291</v>
      </c>
      <c r="W789">
        <v>60</v>
      </c>
      <c r="X789">
        <v>50.06</v>
      </c>
      <c r="Y789">
        <v>0</v>
      </c>
    </row>
    <row r="790" spans="1:25" x14ac:dyDescent="0.25">
      <c r="A790" t="s">
        <v>51</v>
      </c>
      <c r="B790">
        <f>_xlfn.XLOOKUP(Table4[[#This Row],[country]],Table2[country],Table2[country_id],FALSE)</f>
        <v>17</v>
      </c>
      <c r="C790" t="s">
        <v>32</v>
      </c>
      <c r="D790">
        <v>2016</v>
      </c>
      <c r="E790">
        <f>_xlfn.XLOOKUP(Table4[[#This Row],[year]],Table1[year],Table1[year_id])</f>
        <v>7</v>
      </c>
      <c r="F790" t="s">
        <v>30</v>
      </c>
      <c r="G790" t="s">
        <v>28</v>
      </c>
      <c r="H790" cm="1">
        <f t="array" ref="H790">_xlfn.XLOOKUP(Table4[[#This Row],[vehicle_segment]]&amp;Table4[[#This Row],[powertrain_type]],Table3[vehicle_segment]&amp;Table3[powertrain_type],Table3[vehicle_id])</f>
        <v>3</v>
      </c>
      <c r="I790">
        <v>794</v>
      </c>
      <c r="J790">
        <v>45891</v>
      </c>
      <c r="K790">
        <v>3990</v>
      </c>
      <c r="L790">
        <v>50675</v>
      </c>
      <c r="M790">
        <v>1.57</v>
      </c>
      <c r="N790">
        <v>1739</v>
      </c>
      <c r="O790">
        <v>9.3000000000000007</v>
      </c>
      <c r="P790">
        <v>182</v>
      </c>
      <c r="Q790">
        <v>1.373</v>
      </c>
      <c r="R790">
        <v>0.218</v>
      </c>
      <c r="S790">
        <v>20325</v>
      </c>
      <c r="T790">
        <v>64.099999999999994</v>
      </c>
      <c r="U790">
        <v>16.5</v>
      </c>
      <c r="V790">
        <v>2291</v>
      </c>
      <c r="W790">
        <v>60</v>
      </c>
      <c r="X790">
        <v>47.58</v>
      </c>
      <c r="Y790">
        <v>0</v>
      </c>
    </row>
    <row r="791" spans="1:25" x14ac:dyDescent="0.25">
      <c r="A791" t="s">
        <v>51</v>
      </c>
      <c r="B791">
        <f>_xlfn.XLOOKUP(Table4[[#This Row],[country]],Table2[country],Table2[country_id],FALSE)</f>
        <v>17</v>
      </c>
      <c r="C791" t="s">
        <v>32</v>
      </c>
      <c r="D791">
        <v>2017</v>
      </c>
      <c r="E791">
        <f>_xlfn.XLOOKUP(Table4[[#This Row],[year]],Table1[year],Table1[year_id])</f>
        <v>8</v>
      </c>
      <c r="F791" t="s">
        <v>27</v>
      </c>
      <c r="G791" t="s">
        <v>28</v>
      </c>
      <c r="H791" cm="1">
        <f t="array" ref="H791">_xlfn.XLOOKUP(Table4[[#This Row],[vehicle_segment]]&amp;Table4[[#This Row],[powertrain_type]],Table3[vehicle_segment]&amp;Table3[powertrain_type],Table3[vehicle_id])</f>
        <v>1</v>
      </c>
      <c r="I791">
        <v>157</v>
      </c>
      <c r="J791">
        <v>19738</v>
      </c>
      <c r="K791">
        <v>13159</v>
      </c>
      <c r="L791">
        <v>33054</v>
      </c>
      <c r="M791">
        <v>0.47</v>
      </c>
      <c r="N791">
        <v>1932</v>
      </c>
      <c r="O791">
        <v>10.7</v>
      </c>
      <c r="P791">
        <v>217</v>
      </c>
      <c r="Q791">
        <v>1.4370000000000001</v>
      </c>
      <c r="R791">
        <v>0.217</v>
      </c>
      <c r="S791">
        <v>21696</v>
      </c>
      <c r="T791">
        <v>64.5</v>
      </c>
      <c r="U791">
        <v>16.899999999999999</v>
      </c>
      <c r="V791">
        <v>2498</v>
      </c>
      <c r="W791">
        <v>62</v>
      </c>
      <c r="X791">
        <v>35.340000000000003</v>
      </c>
      <c r="Y791">
        <v>0</v>
      </c>
    </row>
    <row r="792" spans="1:25" x14ac:dyDescent="0.25">
      <c r="A792" t="s">
        <v>51</v>
      </c>
      <c r="B792">
        <f>_xlfn.XLOOKUP(Table4[[#This Row],[country]],Table2[country],Table2[country_id],FALSE)</f>
        <v>17</v>
      </c>
      <c r="C792" t="s">
        <v>32</v>
      </c>
      <c r="D792">
        <v>2017</v>
      </c>
      <c r="E792">
        <f>_xlfn.XLOOKUP(Table4[[#This Row],[year]],Table1[year],Table1[year_id])</f>
        <v>8</v>
      </c>
      <c r="F792" t="s">
        <v>29</v>
      </c>
      <c r="G792" t="s">
        <v>28</v>
      </c>
      <c r="H792" cm="1">
        <f t="array" ref="H792">_xlfn.XLOOKUP(Table4[[#This Row],[vehicle_segment]]&amp;Table4[[#This Row],[powertrain_type]],Table3[vehicle_segment]&amp;Table3[powertrain_type],Table3[vehicle_id])</f>
        <v>2</v>
      </c>
      <c r="I792">
        <v>1815</v>
      </c>
      <c r="J792">
        <v>115847</v>
      </c>
      <c r="K792">
        <v>15797</v>
      </c>
      <c r="L792">
        <v>133459</v>
      </c>
      <c r="M792">
        <v>1.36</v>
      </c>
      <c r="N792">
        <v>1932</v>
      </c>
      <c r="O792">
        <v>10.7</v>
      </c>
      <c r="P792">
        <v>217</v>
      </c>
      <c r="Q792">
        <v>1.4370000000000001</v>
      </c>
      <c r="R792">
        <v>0.217</v>
      </c>
      <c r="S792">
        <v>21696</v>
      </c>
      <c r="T792">
        <v>64.5</v>
      </c>
      <c r="U792">
        <v>16.899999999999999</v>
      </c>
      <c r="V792">
        <v>2498</v>
      </c>
      <c r="W792">
        <v>62</v>
      </c>
      <c r="X792">
        <v>35.450000000000003</v>
      </c>
      <c r="Y792">
        <v>0</v>
      </c>
    </row>
    <row r="793" spans="1:25" x14ac:dyDescent="0.25">
      <c r="A793" t="s">
        <v>51</v>
      </c>
      <c r="B793">
        <f>_xlfn.XLOOKUP(Table4[[#This Row],[country]],Table2[country],Table2[country_id],FALSE)</f>
        <v>17</v>
      </c>
      <c r="C793" t="s">
        <v>32</v>
      </c>
      <c r="D793">
        <v>2017</v>
      </c>
      <c r="E793">
        <f>_xlfn.XLOOKUP(Table4[[#This Row],[year]],Table1[year],Table1[year_id])</f>
        <v>8</v>
      </c>
      <c r="F793" t="s">
        <v>30</v>
      </c>
      <c r="G793" t="s">
        <v>28</v>
      </c>
      <c r="H793" cm="1">
        <f t="array" ref="H793">_xlfn.XLOOKUP(Table4[[#This Row],[vehicle_segment]]&amp;Table4[[#This Row],[powertrain_type]],Table3[vehicle_segment]&amp;Table3[powertrain_type],Table3[vehicle_id])</f>
        <v>3</v>
      </c>
      <c r="I793">
        <v>1088</v>
      </c>
      <c r="J793">
        <v>49744</v>
      </c>
      <c r="K793">
        <v>4326</v>
      </c>
      <c r="L793">
        <v>55158</v>
      </c>
      <c r="M793">
        <v>1.97</v>
      </c>
      <c r="N793">
        <v>1932</v>
      </c>
      <c r="O793">
        <v>10.7</v>
      </c>
      <c r="P793">
        <v>217</v>
      </c>
      <c r="Q793">
        <v>1.4370000000000001</v>
      </c>
      <c r="R793">
        <v>0.217</v>
      </c>
      <c r="S793">
        <v>21696</v>
      </c>
      <c r="T793">
        <v>64.5</v>
      </c>
      <c r="U793">
        <v>16.899999999999999</v>
      </c>
      <c r="V793">
        <v>2498</v>
      </c>
      <c r="W793">
        <v>62</v>
      </c>
      <c r="X793">
        <v>37.03</v>
      </c>
      <c r="Y793">
        <v>0</v>
      </c>
    </row>
    <row r="794" spans="1:25" x14ac:dyDescent="0.25">
      <c r="A794" t="s">
        <v>51</v>
      </c>
      <c r="B794">
        <f>_xlfn.XLOOKUP(Table4[[#This Row],[country]],Table2[country],Table2[country_id],FALSE)</f>
        <v>17</v>
      </c>
      <c r="C794" t="s">
        <v>32</v>
      </c>
      <c r="D794">
        <v>2018</v>
      </c>
      <c r="E794">
        <f>_xlfn.XLOOKUP(Table4[[#This Row],[year]],Table1[year],Table1[year_id])</f>
        <v>9</v>
      </c>
      <c r="F794" t="s">
        <v>27</v>
      </c>
      <c r="G794" t="s">
        <v>28</v>
      </c>
      <c r="H794" cm="1">
        <f t="array" ref="H794">_xlfn.XLOOKUP(Table4[[#This Row],[vehicle_segment]]&amp;Table4[[#This Row],[powertrain_type]],Table3[vehicle_segment]&amp;Table3[powertrain_type],Table3[vehicle_id])</f>
        <v>1</v>
      </c>
      <c r="I794">
        <v>395</v>
      </c>
      <c r="J794">
        <v>21907</v>
      </c>
      <c r="K794">
        <v>14604</v>
      </c>
      <c r="L794">
        <v>36906</v>
      </c>
      <c r="M794">
        <v>1.07</v>
      </c>
      <c r="N794">
        <v>2257</v>
      </c>
      <c r="O794">
        <v>11</v>
      </c>
      <c r="P794">
        <v>266</v>
      </c>
      <c r="Q794">
        <v>1.4470000000000001</v>
      </c>
      <c r="R794">
        <v>0.219</v>
      </c>
      <c r="S794">
        <v>21825</v>
      </c>
      <c r="T794">
        <v>64.599999999999994</v>
      </c>
      <c r="U794">
        <v>17.2</v>
      </c>
      <c r="V794">
        <v>2757</v>
      </c>
      <c r="W794">
        <v>64.400000000000006</v>
      </c>
      <c r="X794">
        <v>151.59</v>
      </c>
      <c r="Y794">
        <v>0</v>
      </c>
    </row>
    <row r="795" spans="1:25" x14ac:dyDescent="0.25">
      <c r="A795" t="s">
        <v>51</v>
      </c>
      <c r="B795">
        <f>_xlfn.XLOOKUP(Table4[[#This Row],[country]],Table2[country],Table2[country_id],FALSE)</f>
        <v>17</v>
      </c>
      <c r="C795" t="s">
        <v>32</v>
      </c>
      <c r="D795">
        <v>2018</v>
      </c>
      <c r="E795">
        <f>_xlfn.XLOOKUP(Table4[[#This Row],[year]],Table1[year],Table1[year_id])</f>
        <v>9</v>
      </c>
      <c r="F795" t="s">
        <v>29</v>
      </c>
      <c r="G795" t="s">
        <v>28</v>
      </c>
      <c r="H795" cm="1">
        <f t="array" ref="H795">_xlfn.XLOOKUP(Table4[[#This Row],[vehicle_segment]]&amp;Table4[[#This Row],[powertrain_type]],Table3[vehicle_segment]&amp;Table3[powertrain_type],Table3[vehicle_id])</f>
        <v>2</v>
      </c>
      <c r="I795">
        <v>4587</v>
      </c>
      <c r="J795">
        <v>127886</v>
      </c>
      <c r="K795">
        <v>17439</v>
      </c>
      <c r="L795">
        <v>149912</v>
      </c>
      <c r="M795">
        <v>3.06</v>
      </c>
      <c r="N795">
        <v>2257</v>
      </c>
      <c r="O795">
        <v>11</v>
      </c>
      <c r="P795">
        <v>266</v>
      </c>
      <c r="Q795">
        <v>1.4470000000000001</v>
      </c>
      <c r="R795">
        <v>0.219</v>
      </c>
      <c r="S795">
        <v>21825</v>
      </c>
      <c r="T795">
        <v>64.599999999999994</v>
      </c>
      <c r="U795">
        <v>17.2</v>
      </c>
      <c r="V795">
        <v>2757</v>
      </c>
      <c r="W795">
        <v>64.400000000000006</v>
      </c>
      <c r="X795">
        <v>152.72999999999999</v>
      </c>
      <c r="Y795">
        <v>0</v>
      </c>
    </row>
    <row r="796" spans="1:25" x14ac:dyDescent="0.25">
      <c r="A796" t="s">
        <v>51</v>
      </c>
      <c r="B796">
        <f>_xlfn.XLOOKUP(Table4[[#This Row],[country]],Table2[country],Table2[country_id],FALSE)</f>
        <v>17</v>
      </c>
      <c r="C796" t="s">
        <v>32</v>
      </c>
      <c r="D796">
        <v>2018</v>
      </c>
      <c r="E796">
        <f>_xlfn.XLOOKUP(Table4[[#This Row],[year]],Table1[year],Table1[year_id])</f>
        <v>9</v>
      </c>
      <c r="F796" t="s">
        <v>30</v>
      </c>
      <c r="G796" t="s">
        <v>28</v>
      </c>
      <c r="H796" cm="1">
        <f t="array" ref="H796">_xlfn.XLOOKUP(Table4[[#This Row],[vehicle_segment]]&amp;Table4[[#This Row],[powertrain_type]],Table3[vehicle_segment]&amp;Table3[powertrain_type],Table3[vehicle_id])</f>
        <v>3</v>
      </c>
      <c r="I796">
        <v>2754</v>
      </c>
      <c r="J796">
        <v>54575</v>
      </c>
      <c r="K796">
        <v>4746</v>
      </c>
      <c r="L796">
        <v>62075</v>
      </c>
      <c r="M796">
        <v>4.4400000000000004</v>
      </c>
      <c r="N796">
        <v>2257</v>
      </c>
      <c r="O796">
        <v>11</v>
      </c>
      <c r="P796">
        <v>266</v>
      </c>
      <c r="Q796">
        <v>1.4470000000000001</v>
      </c>
      <c r="R796">
        <v>0.219</v>
      </c>
      <c r="S796">
        <v>21825</v>
      </c>
      <c r="T796">
        <v>64.599999999999994</v>
      </c>
      <c r="U796">
        <v>17.2</v>
      </c>
      <c r="V796">
        <v>2757</v>
      </c>
      <c r="W796">
        <v>64.400000000000006</v>
      </c>
      <c r="X796">
        <v>153.12</v>
      </c>
      <c r="Y796">
        <v>0</v>
      </c>
    </row>
    <row r="797" spans="1:25" x14ac:dyDescent="0.25">
      <c r="A797" t="s">
        <v>51</v>
      </c>
      <c r="B797">
        <f>_xlfn.XLOOKUP(Table4[[#This Row],[country]],Table2[country],Table2[country_id],FALSE)</f>
        <v>17</v>
      </c>
      <c r="C797" t="s">
        <v>32</v>
      </c>
      <c r="D797">
        <v>2019</v>
      </c>
      <c r="E797">
        <f>_xlfn.XLOOKUP(Table4[[#This Row],[year]],Table1[year],Table1[year_id])</f>
        <v>10</v>
      </c>
      <c r="F797" t="s">
        <v>27</v>
      </c>
      <c r="G797" t="s">
        <v>28</v>
      </c>
      <c r="H797" cm="1">
        <f t="array" ref="H797">_xlfn.XLOOKUP(Table4[[#This Row],[vehicle_segment]]&amp;Table4[[#This Row],[powertrain_type]],Table3[vehicle_segment]&amp;Table3[powertrain_type],Table3[vehicle_id])</f>
        <v>1</v>
      </c>
      <c r="I797">
        <v>601</v>
      </c>
      <c r="J797">
        <v>22952</v>
      </c>
      <c r="K797">
        <v>15302</v>
      </c>
      <c r="L797">
        <v>38855</v>
      </c>
      <c r="M797">
        <v>1.55</v>
      </c>
      <c r="N797">
        <v>3013</v>
      </c>
      <c r="O797">
        <v>13.6</v>
      </c>
      <c r="P797">
        <v>295</v>
      </c>
      <c r="Q797">
        <v>1.5269999999999999</v>
      </c>
      <c r="R797">
        <v>0.219</v>
      </c>
      <c r="S797">
        <v>22947</v>
      </c>
      <c r="T797">
        <v>65.5</v>
      </c>
      <c r="U797">
        <v>16.5</v>
      </c>
      <c r="V797">
        <v>2984</v>
      </c>
      <c r="W797">
        <v>67.8</v>
      </c>
      <c r="X797">
        <v>52.15</v>
      </c>
      <c r="Y797">
        <v>0</v>
      </c>
    </row>
    <row r="798" spans="1:25" x14ac:dyDescent="0.25">
      <c r="A798" t="s">
        <v>51</v>
      </c>
      <c r="B798">
        <f>_xlfn.XLOOKUP(Table4[[#This Row],[country]],Table2[country],Table2[country_id],FALSE)</f>
        <v>17</v>
      </c>
      <c r="C798" t="s">
        <v>32</v>
      </c>
      <c r="D798">
        <v>2019</v>
      </c>
      <c r="E798">
        <f>_xlfn.XLOOKUP(Table4[[#This Row],[year]],Table1[year],Table1[year_id])</f>
        <v>10</v>
      </c>
      <c r="F798" t="s">
        <v>29</v>
      </c>
      <c r="G798" t="s">
        <v>28</v>
      </c>
      <c r="H798" cm="1">
        <f t="array" ref="H798">_xlfn.XLOOKUP(Table4[[#This Row],[vehicle_segment]]&amp;Table4[[#This Row],[powertrain_type]],Table3[vehicle_segment]&amp;Table3[powertrain_type],Table3[vehicle_id])</f>
        <v>2</v>
      </c>
      <c r="I798">
        <v>6792</v>
      </c>
      <c r="J798">
        <v>129248</v>
      </c>
      <c r="K798">
        <v>17625</v>
      </c>
      <c r="L798">
        <v>153665</v>
      </c>
      <c r="M798">
        <v>4.42</v>
      </c>
      <c r="N798">
        <v>3013</v>
      </c>
      <c r="O798">
        <v>13.6</v>
      </c>
      <c r="P798">
        <v>295</v>
      </c>
      <c r="Q798">
        <v>1.5269999999999999</v>
      </c>
      <c r="R798">
        <v>0.219</v>
      </c>
      <c r="S798">
        <v>22947</v>
      </c>
      <c r="T798">
        <v>65.5</v>
      </c>
      <c r="U798">
        <v>16.5</v>
      </c>
      <c r="V798">
        <v>2984</v>
      </c>
      <c r="W798">
        <v>67.8</v>
      </c>
      <c r="X798">
        <v>48.07</v>
      </c>
      <c r="Y798">
        <v>0</v>
      </c>
    </row>
    <row r="799" spans="1:25" x14ac:dyDescent="0.25">
      <c r="A799" t="s">
        <v>51</v>
      </c>
      <c r="B799">
        <f>_xlfn.XLOOKUP(Table4[[#This Row],[country]],Table2[country],Table2[country_id],FALSE)</f>
        <v>17</v>
      </c>
      <c r="C799" t="s">
        <v>32</v>
      </c>
      <c r="D799">
        <v>2019</v>
      </c>
      <c r="E799">
        <f>_xlfn.XLOOKUP(Table4[[#This Row],[year]],Table1[year],Table1[year_id])</f>
        <v>10</v>
      </c>
      <c r="F799" t="s">
        <v>30</v>
      </c>
      <c r="G799" t="s">
        <v>28</v>
      </c>
      <c r="H799" cm="1">
        <f t="array" ref="H799">_xlfn.XLOOKUP(Table4[[#This Row],[vehicle_segment]]&amp;Table4[[#This Row],[powertrain_type]],Table3[vehicle_segment]&amp;Table3[powertrain_type],Table3[vehicle_id])</f>
        <v>3</v>
      </c>
      <c r="I799">
        <v>4272</v>
      </c>
      <c r="J799">
        <v>57398</v>
      </c>
      <c r="K799">
        <v>4991</v>
      </c>
      <c r="L799">
        <v>66661</v>
      </c>
      <c r="M799">
        <v>6.41</v>
      </c>
      <c r="N799">
        <v>3013</v>
      </c>
      <c r="O799">
        <v>13.6</v>
      </c>
      <c r="P799">
        <v>295</v>
      </c>
      <c r="Q799">
        <v>1.5269999999999999</v>
      </c>
      <c r="R799">
        <v>0.219</v>
      </c>
      <c r="S799">
        <v>22947</v>
      </c>
      <c r="T799">
        <v>65.5</v>
      </c>
      <c r="U799">
        <v>16.5</v>
      </c>
      <c r="V799">
        <v>2984</v>
      </c>
      <c r="W799">
        <v>67.8</v>
      </c>
      <c r="X799">
        <v>55.12</v>
      </c>
      <c r="Y799">
        <v>0</v>
      </c>
    </row>
    <row r="800" spans="1:25" x14ac:dyDescent="0.25">
      <c r="A800" t="s">
        <v>51</v>
      </c>
      <c r="B800">
        <f>_xlfn.XLOOKUP(Table4[[#This Row],[country]],Table2[country],Table2[country_id],FALSE)</f>
        <v>17</v>
      </c>
      <c r="C800" t="s">
        <v>32</v>
      </c>
      <c r="D800">
        <v>2020</v>
      </c>
      <c r="E800">
        <f>_xlfn.XLOOKUP(Table4[[#This Row],[year]],Table1[year],Table1[year_id])</f>
        <v>11</v>
      </c>
      <c r="F800" t="s">
        <v>27</v>
      </c>
      <c r="G800" t="s">
        <v>28</v>
      </c>
      <c r="H800" cm="1">
        <f t="array" ref="H800">_xlfn.XLOOKUP(Table4[[#This Row],[vehicle_segment]]&amp;Table4[[#This Row],[powertrain_type]],Table3[vehicle_segment]&amp;Table3[powertrain_type],Table3[vehicle_id])</f>
        <v>1</v>
      </c>
      <c r="I800">
        <v>953</v>
      </c>
      <c r="J800">
        <v>15551</v>
      </c>
      <c r="K800">
        <v>10368</v>
      </c>
      <c r="L800">
        <v>26872</v>
      </c>
      <c r="M800">
        <v>3.55</v>
      </c>
      <c r="N800">
        <v>3578</v>
      </c>
      <c r="O800">
        <v>17.5</v>
      </c>
      <c r="P800">
        <v>340</v>
      </c>
      <c r="Q800">
        <v>1.64</v>
      </c>
      <c r="R800">
        <v>0.222</v>
      </c>
      <c r="S800">
        <v>23176</v>
      </c>
      <c r="T800">
        <v>65.8</v>
      </c>
      <c r="U800">
        <v>15.8</v>
      </c>
      <c r="V800">
        <v>3333</v>
      </c>
      <c r="W800">
        <v>69.7</v>
      </c>
      <c r="X800">
        <v>58.57</v>
      </c>
      <c r="Y800">
        <v>0</v>
      </c>
    </row>
    <row r="801" spans="1:25" x14ac:dyDescent="0.25">
      <c r="A801" t="s">
        <v>51</v>
      </c>
      <c r="B801">
        <f>_xlfn.XLOOKUP(Table4[[#This Row],[country]],Table2[country],Table2[country_id],FALSE)</f>
        <v>17</v>
      </c>
      <c r="C801" t="s">
        <v>32</v>
      </c>
      <c r="D801">
        <v>2020</v>
      </c>
      <c r="E801">
        <f>_xlfn.XLOOKUP(Table4[[#This Row],[year]],Table1[year],Table1[year_id])</f>
        <v>11</v>
      </c>
      <c r="F801" t="s">
        <v>29</v>
      </c>
      <c r="G801" t="s">
        <v>28</v>
      </c>
      <c r="H801" cm="1">
        <f t="array" ref="H801">_xlfn.XLOOKUP(Table4[[#This Row],[vehicle_segment]]&amp;Table4[[#This Row],[powertrain_type]],Table3[vehicle_segment]&amp;Table3[powertrain_type],Table3[vehicle_id])</f>
        <v>2</v>
      </c>
      <c r="I801">
        <v>10643</v>
      </c>
      <c r="J801">
        <v>83093</v>
      </c>
      <c r="K801">
        <v>11331</v>
      </c>
      <c r="L801">
        <v>105067</v>
      </c>
      <c r="M801">
        <v>10.130000000000001</v>
      </c>
      <c r="N801">
        <v>3578</v>
      </c>
      <c r="O801">
        <v>17.5</v>
      </c>
      <c r="P801">
        <v>340</v>
      </c>
      <c r="Q801">
        <v>1.64</v>
      </c>
      <c r="R801">
        <v>0.222</v>
      </c>
      <c r="S801">
        <v>23176</v>
      </c>
      <c r="T801">
        <v>65.8</v>
      </c>
      <c r="U801">
        <v>15.8</v>
      </c>
      <c r="V801">
        <v>3333</v>
      </c>
      <c r="W801">
        <v>69.7</v>
      </c>
      <c r="X801">
        <v>56.7</v>
      </c>
      <c r="Y801">
        <v>0</v>
      </c>
    </row>
    <row r="802" spans="1:25" x14ac:dyDescent="0.25">
      <c r="A802" t="s">
        <v>51</v>
      </c>
      <c r="B802">
        <f>_xlfn.XLOOKUP(Table4[[#This Row],[country]],Table2[country],Table2[country_id],FALSE)</f>
        <v>17</v>
      </c>
      <c r="C802" t="s">
        <v>32</v>
      </c>
      <c r="D802">
        <v>2020</v>
      </c>
      <c r="E802">
        <f>_xlfn.XLOOKUP(Table4[[#This Row],[year]],Table1[year],Table1[year_id])</f>
        <v>11</v>
      </c>
      <c r="F802" t="s">
        <v>30</v>
      </c>
      <c r="G802" t="s">
        <v>28</v>
      </c>
      <c r="H802" cm="1">
        <f t="array" ref="H802">_xlfn.XLOOKUP(Table4[[#This Row],[vehicle_segment]]&amp;Table4[[#This Row],[powertrain_type]],Table3[vehicle_segment]&amp;Table3[powertrain_type],Table3[vehicle_id])</f>
        <v>3</v>
      </c>
      <c r="I802">
        <v>6419</v>
      </c>
      <c r="J802">
        <v>34299</v>
      </c>
      <c r="K802">
        <v>2982</v>
      </c>
      <c r="L802">
        <v>43700</v>
      </c>
      <c r="M802">
        <v>14.69</v>
      </c>
      <c r="N802">
        <v>3578</v>
      </c>
      <c r="O802">
        <v>17.5</v>
      </c>
      <c r="P802">
        <v>340</v>
      </c>
      <c r="Q802">
        <v>1.64</v>
      </c>
      <c r="R802">
        <v>0.222</v>
      </c>
      <c r="S802">
        <v>23176</v>
      </c>
      <c r="T802">
        <v>65.8</v>
      </c>
      <c r="U802">
        <v>15.8</v>
      </c>
      <c r="V802">
        <v>3333</v>
      </c>
      <c r="W802">
        <v>69.7</v>
      </c>
      <c r="X802">
        <v>50.26</v>
      </c>
      <c r="Y802">
        <v>0</v>
      </c>
    </row>
    <row r="803" spans="1:25" x14ac:dyDescent="0.25">
      <c r="A803" t="s">
        <v>51</v>
      </c>
      <c r="B803">
        <f>_xlfn.XLOOKUP(Table4[[#This Row],[country]],Table2[country],Table2[country_id],FALSE)</f>
        <v>17</v>
      </c>
      <c r="C803" t="s">
        <v>32</v>
      </c>
      <c r="D803">
        <v>2021</v>
      </c>
      <c r="E803">
        <f>_xlfn.XLOOKUP(Table4[[#This Row],[year]],Table1[year],Table1[year_id])</f>
        <v>12</v>
      </c>
      <c r="F803" t="s">
        <v>27</v>
      </c>
      <c r="G803" t="s">
        <v>28</v>
      </c>
      <c r="H803" cm="1">
        <f t="array" ref="H803">_xlfn.XLOOKUP(Table4[[#This Row],[vehicle_segment]]&amp;Table4[[#This Row],[powertrain_type]],Table3[vehicle_segment]&amp;Table3[powertrain_type],Table3[vehicle_id])</f>
        <v>1</v>
      </c>
      <c r="I803">
        <v>1517</v>
      </c>
      <c r="J803">
        <v>16851</v>
      </c>
      <c r="K803">
        <v>11234</v>
      </c>
      <c r="L803">
        <v>29602</v>
      </c>
      <c r="M803">
        <v>5.12</v>
      </c>
      <c r="N803">
        <v>5374</v>
      </c>
      <c r="O803">
        <v>18.399999999999999</v>
      </c>
      <c r="P803">
        <v>373</v>
      </c>
      <c r="Q803">
        <v>1.8129999999999999</v>
      </c>
      <c r="R803">
        <v>0.224</v>
      </c>
      <c r="S803">
        <v>23680</v>
      </c>
      <c r="T803">
        <v>66.900000000000006</v>
      </c>
      <c r="U803">
        <v>15.4</v>
      </c>
      <c r="V803">
        <v>3685</v>
      </c>
      <c r="W803">
        <v>72.599999999999994</v>
      </c>
      <c r="X803">
        <v>59.18</v>
      </c>
      <c r="Y803">
        <v>0</v>
      </c>
    </row>
    <row r="804" spans="1:25" x14ac:dyDescent="0.25">
      <c r="A804" t="s">
        <v>51</v>
      </c>
      <c r="B804">
        <f>_xlfn.XLOOKUP(Table4[[#This Row],[country]],Table2[country],Table2[country_id],FALSE)</f>
        <v>17</v>
      </c>
      <c r="C804" t="s">
        <v>32</v>
      </c>
      <c r="D804">
        <v>2021</v>
      </c>
      <c r="E804">
        <f>_xlfn.XLOOKUP(Table4[[#This Row],[year]],Table1[year],Table1[year_id])</f>
        <v>12</v>
      </c>
      <c r="F804" t="s">
        <v>29</v>
      </c>
      <c r="G804" t="s">
        <v>28</v>
      </c>
      <c r="H804" cm="1">
        <f t="array" ref="H804">_xlfn.XLOOKUP(Table4[[#This Row],[vehicle_segment]]&amp;Table4[[#This Row],[powertrain_type]],Table3[vehicle_segment]&amp;Table3[powertrain_type],Table3[vehicle_id])</f>
        <v>2</v>
      </c>
      <c r="I804">
        <v>17313</v>
      </c>
      <c r="J804">
        <v>88830</v>
      </c>
      <c r="K804">
        <v>12113</v>
      </c>
      <c r="L804">
        <v>118256</v>
      </c>
      <c r="M804">
        <v>14.64</v>
      </c>
      <c r="N804">
        <v>5374</v>
      </c>
      <c r="O804">
        <v>18.399999999999999</v>
      </c>
      <c r="P804">
        <v>373</v>
      </c>
      <c r="Q804">
        <v>1.8129999999999999</v>
      </c>
      <c r="R804">
        <v>0.224</v>
      </c>
      <c r="S804">
        <v>23680</v>
      </c>
      <c r="T804">
        <v>66.900000000000006</v>
      </c>
      <c r="U804">
        <v>15.4</v>
      </c>
      <c r="V804">
        <v>3685</v>
      </c>
      <c r="W804">
        <v>72.599999999999994</v>
      </c>
      <c r="X804">
        <v>62.67</v>
      </c>
      <c r="Y804">
        <v>0</v>
      </c>
    </row>
    <row r="805" spans="1:25" x14ac:dyDescent="0.25">
      <c r="A805" t="s">
        <v>51</v>
      </c>
      <c r="B805">
        <f>_xlfn.XLOOKUP(Table4[[#This Row],[country]],Table2[country],Table2[country_id],FALSE)</f>
        <v>17</v>
      </c>
      <c r="C805" t="s">
        <v>32</v>
      </c>
      <c r="D805">
        <v>2021</v>
      </c>
      <c r="E805">
        <f>_xlfn.XLOOKUP(Table4[[#This Row],[year]],Table1[year],Table1[year_id])</f>
        <v>12</v>
      </c>
      <c r="F805" t="s">
        <v>30</v>
      </c>
      <c r="G805" t="s">
        <v>28</v>
      </c>
      <c r="H805" cm="1">
        <f t="array" ref="H805">_xlfn.XLOOKUP(Table4[[#This Row],[vehicle_segment]]&amp;Table4[[#This Row],[powertrain_type]],Table3[vehicle_segment]&amp;Table3[powertrain_type],Table3[vehicle_id])</f>
        <v>3</v>
      </c>
      <c r="I805">
        <v>10419</v>
      </c>
      <c r="J805">
        <v>35568</v>
      </c>
      <c r="K805">
        <v>3093</v>
      </c>
      <c r="L805">
        <v>49080</v>
      </c>
      <c r="M805">
        <v>21.23</v>
      </c>
      <c r="N805">
        <v>5374</v>
      </c>
      <c r="O805">
        <v>18.399999999999999</v>
      </c>
      <c r="P805">
        <v>373</v>
      </c>
      <c r="Q805">
        <v>1.8129999999999999</v>
      </c>
      <c r="R805">
        <v>0.224</v>
      </c>
      <c r="S805">
        <v>23680</v>
      </c>
      <c r="T805">
        <v>66.900000000000006</v>
      </c>
      <c r="U805">
        <v>15.4</v>
      </c>
      <c r="V805">
        <v>3685</v>
      </c>
      <c r="W805">
        <v>72.599999999999994</v>
      </c>
      <c r="X805">
        <v>62.32</v>
      </c>
      <c r="Y805">
        <v>0</v>
      </c>
    </row>
    <row r="806" spans="1:25" x14ac:dyDescent="0.25">
      <c r="A806" t="s">
        <v>51</v>
      </c>
      <c r="B806">
        <f>_xlfn.XLOOKUP(Table4[[#This Row],[country]],Table2[country],Table2[country_id],FALSE)</f>
        <v>17</v>
      </c>
      <c r="C806" t="s">
        <v>32</v>
      </c>
      <c r="D806">
        <v>2022</v>
      </c>
      <c r="E806">
        <f>_xlfn.XLOOKUP(Table4[[#This Row],[year]],Table1[year],Table1[year_id])</f>
        <v>13</v>
      </c>
      <c r="F806" t="s">
        <v>27</v>
      </c>
      <c r="G806" t="s">
        <v>28</v>
      </c>
      <c r="H806" cm="1">
        <f t="array" ref="H806">_xlfn.XLOOKUP(Table4[[#This Row],[vehicle_segment]]&amp;Table4[[#This Row],[powertrain_type]],Table3[vehicle_segment]&amp;Table3[powertrain_type],Table3[vehicle_id])</f>
        <v>1</v>
      </c>
      <c r="I806">
        <v>1663</v>
      </c>
      <c r="J806">
        <v>14831</v>
      </c>
      <c r="K806">
        <v>9888</v>
      </c>
      <c r="L806">
        <v>26382</v>
      </c>
      <c r="M806">
        <v>6.3</v>
      </c>
      <c r="N806">
        <v>6903</v>
      </c>
      <c r="O806">
        <v>21.5</v>
      </c>
      <c r="P806">
        <v>407</v>
      </c>
      <c r="Q806">
        <v>1.893</v>
      </c>
      <c r="R806">
        <v>0.23</v>
      </c>
      <c r="S806">
        <v>24734</v>
      </c>
      <c r="T806">
        <v>66.900000000000006</v>
      </c>
      <c r="U806">
        <v>15.8</v>
      </c>
      <c r="V806">
        <v>4001</v>
      </c>
      <c r="W806">
        <v>76.099999999999994</v>
      </c>
      <c r="X806">
        <v>9.6199999999999992</v>
      </c>
      <c r="Y806">
        <v>0</v>
      </c>
    </row>
    <row r="807" spans="1:25" x14ac:dyDescent="0.25">
      <c r="A807" t="s">
        <v>51</v>
      </c>
      <c r="B807">
        <f>_xlfn.XLOOKUP(Table4[[#This Row],[country]],Table2[country],Table2[country_id],FALSE)</f>
        <v>17</v>
      </c>
      <c r="C807" t="s">
        <v>32</v>
      </c>
      <c r="D807">
        <v>2022</v>
      </c>
      <c r="E807">
        <f>_xlfn.XLOOKUP(Table4[[#This Row],[year]],Table1[year],Table1[year_id])</f>
        <v>13</v>
      </c>
      <c r="F807" t="s">
        <v>29</v>
      </c>
      <c r="G807" t="s">
        <v>28</v>
      </c>
      <c r="H807" cm="1">
        <f t="array" ref="H807">_xlfn.XLOOKUP(Table4[[#This Row],[vehicle_segment]]&amp;Table4[[#This Row],[powertrain_type]],Table3[vehicle_segment]&amp;Table3[powertrain_type],Table3[vehicle_id])</f>
        <v>2</v>
      </c>
      <c r="I807">
        <v>18855</v>
      </c>
      <c r="J807">
        <v>75537</v>
      </c>
      <c r="K807">
        <v>10301</v>
      </c>
      <c r="L807">
        <v>104693</v>
      </c>
      <c r="M807">
        <v>18.010000000000002</v>
      </c>
      <c r="N807">
        <v>6903</v>
      </c>
      <c r="O807">
        <v>21.5</v>
      </c>
      <c r="P807">
        <v>407</v>
      </c>
      <c r="Q807">
        <v>1.893</v>
      </c>
      <c r="R807">
        <v>0.23</v>
      </c>
      <c r="S807">
        <v>24734</v>
      </c>
      <c r="T807">
        <v>66.900000000000006</v>
      </c>
      <c r="U807">
        <v>15.8</v>
      </c>
      <c r="V807">
        <v>4001</v>
      </c>
      <c r="W807">
        <v>76.099999999999994</v>
      </c>
      <c r="X807">
        <v>8.91</v>
      </c>
      <c r="Y807">
        <v>0</v>
      </c>
    </row>
    <row r="808" spans="1:25" x14ac:dyDescent="0.25">
      <c r="A808" t="s">
        <v>51</v>
      </c>
      <c r="B808">
        <f>_xlfn.XLOOKUP(Table4[[#This Row],[country]],Table2[country],Table2[country_id],FALSE)</f>
        <v>17</v>
      </c>
      <c r="C808" t="s">
        <v>32</v>
      </c>
      <c r="D808">
        <v>2022</v>
      </c>
      <c r="E808">
        <f>_xlfn.XLOOKUP(Table4[[#This Row],[year]],Table1[year],Table1[year_id])</f>
        <v>13</v>
      </c>
      <c r="F808" t="s">
        <v>30</v>
      </c>
      <c r="G808" t="s">
        <v>28</v>
      </c>
      <c r="H808" cm="1">
        <f t="array" ref="H808">_xlfn.XLOOKUP(Table4[[#This Row],[vehicle_segment]]&amp;Table4[[#This Row],[powertrain_type]],Table3[vehicle_segment]&amp;Table3[powertrain_type],Table3[vehicle_id])</f>
        <v>3</v>
      </c>
      <c r="I808">
        <v>11655</v>
      </c>
      <c r="J808">
        <v>30336</v>
      </c>
      <c r="K808">
        <v>2638</v>
      </c>
      <c r="L808">
        <v>44629</v>
      </c>
      <c r="M808">
        <v>26.12</v>
      </c>
      <c r="N808">
        <v>6903</v>
      </c>
      <c r="O808">
        <v>21.5</v>
      </c>
      <c r="P808">
        <v>407</v>
      </c>
      <c r="Q808">
        <v>1.893</v>
      </c>
      <c r="R808">
        <v>0.23</v>
      </c>
      <c r="S808">
        <v>24734</v>
      </c>
      <c r="T808">
        <v>66.900000000000006</v>
      </c>
      <c r="U808">
        <v>15.8</v>
      </c>
      <c r="V808">
        <v>4001</v>
      </c>
      <c r="W808">
        <v>76.099999999999994</v>
      </c>
      <c r="X808">
        <v>11.86</v>
      </c>
      <c r="Y808">
        <v>0</v>
      </c>
    </row>
    <row r="809" spans="1:25" x14ac:dyDescent="0.25">
      <c r="A809" t="s">
        <v>51</v>
      </c>
      <c r="B809">
        <f>_xlfn.XLOOKUP(Table4[[#This Row],[country]],Table2[country],Table2[country_id],FALSE)</f>
        <v>17</v>
      </c>
      <c r="C809" t="s">
        <v>32</v>
      </c>
      <c r="D809">
        <v>2023</v>
      </c>
      <c r="E809">
        <f>_xlfn.XLOOKUP(Table4[[#This Row],[year]],Table1[year],Table1[year_id])</f>
        <v>14</v>
      </c>
      <c r="F809" t="s">
        <v>27</v>
      </c>
      <c r="G809" t="s">
        <v>28</v>
      </c>
      <c r="H809" cm="1">
        <f t="array" ref="H809">_xlfn.XLOOKUP(Table4[[#This Row],[vehicle_segment]]&amp;Table4[[#This Row],[powertrain_type]],Table3[vehicle_segment]&amp;Table3[powertrain_type],Table3[vehicle_id])</f>
        <v>1</v>
      </c>
      <c r="I809">
        <v>2234</v>
      </c>
      <c r="J809">
        <v>17279</v>
      </c>
      <c r="K809">
        <v>11519</v>
      </c>
      <c r="L809">
        <v>31032</v>
      </c>
      <c r="M809">
        <v>7.2</v>
      </c>
      <c r="N809">
        <v>10197</v>
      </c>
      <c r="O809">
        <v>21.9</v>
      </c>
      <c r="P809">
        <v>441</v>
      </c>
      <c r="Q809">
        <v>1.903</v>
      </c>
      <c r="R809">
        <v>0.23300000000000001</v>
      </c>
      <c r="S809">
        <v>26212</v>
      </c>
      <c r="T809">
        <v>67.099999999999994</v>
      </c>
      <c r="U809">
        <v>15.7</v>
      </c>
      <c r="V809">
        <v>4041</v>
      </c>
      <c r="W809">
        <v>77.8</v>
      </c>
      <c r="X809">
        <v>34.340000000000003</v>
      </c>
      <c r="Y809">
        <v>0</v>
      </c>
    </row>
    <row r="810" spans="1:25" x14ac:dyDescent="0.25">
      <c r="A810" t="s">
        <v>51</v>
      </c>
      <c r="B810">
        <f>_xlfn.XLOOKUP(Table4[[#This Row],[country]],Table2[country],Table2[country_id],FALSE)</f>
        <v>17</v>
      </c>
      <c r="C810" t="s">
        <v>32</v>
      </c>
      <c r="D810">
        <v>2023</v>
      </c>
      <c r="E810">
        <f>_xlfn.XLOOKUP(Table4[[#This Row],[year]],Table1[year],Table1[year_id])</f>
        <v>14</v>
      </c>
      <c r="F810" t="s">
        <v>29</v>
      </c>
      <c r="G810" t="s">
        <v>28</v>
      </c>
      <c r="H810" cm="1">
        <f t="array" ref="H810">_xlfn.XLOOKUP(Table4[[#This Row],[vehicle_segment]]&amp;Table4[[#This Row],[powertrain_type]],Table3[vehicle_segment]&amp;Table3[powertrain_type],Table3[vehicle_id])</f>
        <v>2</v>
      </c>
      <c r="I810">
        <v>25210</v>
      </c>
      <c r="J810">
        <v>85664</v>
      </c>
      <c r="K810">
        <v>11682</v>
      </c>
      <c r="L810">
        <v>122556</v>
      </c>
      <c r="M810">
        <v>20.57</v>
      </c>
      <c r="N810">
        <v>10197</v>
      </c>
      <c r="O810">
        <v>21.9</v>
      </c>
      <c r="P810">
        <v>441</v>
      </c>
      <c r="Q810">
        <v>1.903</v>
      </c>
      <c r="R810">
        <v>0.23300000000000001</v>
      </c>
      <c r="S810">
        <v>26212</v>
      </c>
      <c r="T810">
        <v>67.099999999999994</v>
      </c>
      <c r="U810">
        <v>15.7</v>
      </c>
      <c r="V810">
        <v>4041</v>
      </c>
      <c r="W810">
        <v>77.8</v>
      </c>
      <c r="X810">
        <v>33.700000000000003</v>
      </c>
      <c r="Y810">
        <v>0</v>
      </c>
    </row>
    <row r="811" spans="1:25" x14ac:dyDescent="0.25">
      <c r="A811" t="s">
        <v>51</v>
      </c>
      <c r="B811">
        <f>_xlfn.XLOOKUP(Table4[[#This Row],[country]],Table2[country],Table2[country_id],FALSE)</f>
        <v>17</v>
      </c>
      <c r="C811" t="s">
        <v>32</v>
      </c>
      <c r="D811">
        <v>2023</v>
      </c>
      <c r="E811">
        <f>_xlfn.XLOOKUP(Table4[[#This Row],[year]],Table1[year],Table1[year_id])</f>
        <v>14</v>
      </c>
      <c r="F811" t="s">
        <v>30</v>
      </c>
      <c r="G811" t="s">
        <v>28</v>
      </c>
      <c r="H811" cm="1">
        <f t="array" ref="H811">_xlfn.XLOOKUP(Table4[[#This Row],[vehicle_segment]]&amp;Table4[[#This Row],[powertrain_type]],Table3[vehicle_segment]&amp;Table3[powertrain_type],Table3[vehicle_id])</f>
        <v>3</v>
      </c>
      <c r="I811">
        <v>15526</v>
      </c>
      <c r="J811">
        <v>33606</v>
      </c>
      <c r="K811">
        <v>2922</v>
      </c>
      <c r="L811">
        <v>52054</v>
      </c>
      <c r="M811">
        <v>29.83</v>
      </c>
      <c r="N811">
        <v>10197</v>
      </c>
      <c r="O811">
        <v>21.9</v>
      </c>
      <c r="P811">
        <v>441</v>
      </c>
      <c r="Q811">
        <v>1.903</v>
      </c>
      <c r="R811">
        <v>0.23300000000000001</v>
      </c>
      <c r="S811">
        <v>26212</v>
      </c>
      <c r="T811">
        <v>67.099999999999994</v>
      </c>
      <c r="U811">
        <v>15.7</v>
      </c>
      <c r="V811">
        <v>4041</v>
      </c>
      <c r="W811">
        <v>77.8</v>
      </c>
      <c r="X811">
        <v>33.21</v>
      </c>
      <c r="Y811">
        <v>0</v>
      </c>
    </row>
    <row r="812" spans="1:25" x14ac:dyDescent="0.25">
      <c r="A812" t="s">
        <v>51</v>
      </c>
      <c r="B812">
        <f>_xlfn.XLOOKUP(Table4[[#This Row],[country]],Table2[country],Table2[country_id],FALSE)</f>
        <v>17</v>
      </c>
      <c r="C812" t="s">
        <v>32</v>
      </c>
      <c r="D812">
        <v>2024</v>
      </c>
      <c r="E812">
        <f>_xlfn.XLOOKUP(Table4[[#This Row],[year]],Table1[year],Table1[year_id])</f>
        <v>15</v>
      </c>
      <c r="F812" t="s">
        <v>27</v>
      </c>
      <c r="G812" t="s">
        <v>28</v>
      </c>
      <c r="H812" cm="1">
        <f t="array" ref="H812">_xlfn.XLOOKUP(Table4[[#This Row],[vehicle_segment]]&amp;Table4[[#This Row],[powertrain_type]],Table3[vehicle_segment]&amp;Table3[powertrain_type],Table3[vehicle_id])</f>
        <v>1</v>
      </c>
      <c r="I812">
        <v>2794</v>
      </c>
      <c r="J812">
        <v>18281</v>
      </c>
      <c r="K812">
        <v>12188</v>
      </c>
      <c r="L812">
        <v>33263</v>
      </c>
      <c r="M812">
        <v>8.4</v>
      </c>
      <c r="N812">
        <v>13503</v>
      </c>
      <c r="O812">
        <v>25.2</v>
      </c>
      <c r="P812">
        <v>455</v>
      </c>
      <c r="Q812">
        <v>1.83</v>
      </c>
      <c r="R812">
        <v>0.23499999999999999</v>
      </c>
      <c r="S812">
        <v>27719</v>
      </c>
      <c r="T812">
        <v>67.599999999999994</v>
      </c>
      <c r="U812">
        <v>14.9</v>
      </c>
      <c r="V812">
        <v>4012</v>
      </c>
      <c r="W812">
        <v>81.7</v>
      </c>
      <c r="X812">
        <v>25.07</v>
      </c>
      <c r="Y812">
        <v>0</v>
      </c>
    </row>
    <row r="813" spans="1:25" x14ac:dyDescent="0.25">
      <c r="A813" t="s">
        <v>51</v>
      </c>
      <c r="B813">
        <f>_xlfn.XLOOKUP(Table4[[#This Row],[country]],Table2[country],Table2[country_id],FALSE)</f>
        <v>17</v>
      </c>
      <c r="C813" t="s">
        <v>32</v>
      </c>
      <c r="D813">
        <v>2024</v>
      </c>
      <c r="E813">
        <f>_xlfn.XLOOKUP(Table4[[#This Row],[year]],Table1[year],Table1[year_id])</f>
        <v>15</v>
      </c>
      <c r="F813" t="s">
        <v>29</v>
      </c>
      <c r="G813" t="s">
        <v>28</v>
      </c>
      <c r="H813" cm="1">
        <f t="array" ref="H813">_xlfn.XLOOKUP(Table4[[#This Row],[vehicle_segment]]&amp;Table4[[#This Row],[powertrain_type]],Table3[vehicle_segment]&amp;Table3[powertrain_type],Table3[vehicle_id])</f>
        <v>2</v>
      </c>
      <c r="I813">
        <v>31173</v>
      </c>
      <c r="J813">
        <v>86870</v>
      </c>
      <c r="K813">
        <v>11846</v>
      </c>
      <c r="L813">
        <v>129889</v>
      </c>
      <c r="M813">
        <v>24</v>
      </c>
      <c r="N813">
        <v>13503</v>
      </c>
      <c r="O813">
        <v>25.2</v>
      </c>
      <c r="P813">
        <v>455</v>
      </c>
      <c r="Q813">
        <v>1.83</v>
      </c>
      <c r="R813">
        <v>0.23499999999999999</v>
      </c>
      <c r="S813">
        <v>27719</v>
      </c>
      <c r="T813">
        <v>67.599999999999994</v>
      </c>
      <c r="U813">
        <v>14.9</v>
      </c>
      <c r="V813">
        <v>4012</v>
      </c>
      <c r="W813">
        <v>81.7</v>
      </c>
      <c r="X813">
        <v>23.65</v>
      </c>
      <c r="Y813">
        <v>0</v>
      </c>
    </row>
    <row r="814" spans="1:25" x14ac:dyDescent="0.25">
      <c r="A814" t="s">
        <v>51</v>
      </c>
      <c r="B814">
        <f>_xlfn.XLOOKUP(Table4[[#This Row],[country]],Table2[country],Table2[country_id],FALSE)</f>
        <v>17</v>
      </c>
      <c r="C814" t="s">
        <v>32</v>
      </c>
      <c r="D814">
        <v>2024</v>
      </c>
      <c r="E814">
        <f>_xlfn.XLOOKUP(Table4[[#This Row],[year]],Table1[year],Table1[year_id])</f>
        <v>15</v>
      </c>
      <c r="F814" t="s">
        <v>30</v>
      </c>
      <c r="G814" t="s">
        <v>28</v>
      </c>
      <c r="H814" cm="1">
        <f t="array" ref="H814">_xlfn.XLOOKUP(Table4[[#This Row],[vehicle_segment]]&amp;Table4[[#This Row],[powertrain_type]],Table3[vehicle_segment]&amp;Table3[powertrain_type],Table3[vehicle_id])</f>
        <v>3</v>
      </c>
      <c r="I814">
        <v>18839</v>
      </c>
      <c r="J814">
        <v>32473</v>
      </c>
      <c r="K814">
        <v>2824</v>
      </c>
      <c r="L814">
        <v>54136</v>
      </c>
      <c r="M814">
        <v>34.799999999999997</v>
      </c>
      <c r="N814">
        <v>13503</v>
      </c>
      <c r="O814">
        <v>25.2</v>
      </c>
      <c r="P814">
        <v>455</v>
      </c>
      <c r="Q814">
        <v>1.83</v>
      </c>
      <c r="R814">
        <v>0.23499999999999999</v>
      </c>
      <c r="S814">
        <v>27719</v>
      </c>
      <c r="T814">
        <v>67.599999999999994</v>
      </c>
      <c r="U814">
        <v>14.9</v>
      </c>
      <c r="V814">
        <v>4012</v>
      </c>
      <c r="W814">
        <v>81.7</v>
      </c>
      <c r="X814">
        <v>21.34</v>
      </c>
      <c r="Y814">
        <v>0</v>
      </c>
    </row>
    <row r="815" spans="1:25" x14ac:dyDescent="0.25">
      <c r="A815" t="s">
        <v>51</v>
      </c>
      <c r="B815">
        <f>_xlfn.XLOOKUP(Table4[[#This Row],[country]],Table2[country],Table2[country_id],FALSE)</f>
        <v>17</v>
      </c>
      <c r="C815" t="s">
        <v>32</v>
      </c>
      <c r="D815">
        <v>2025</v>
      </c>
      <c r="E815">
        <f>_xlfn.XLOOKUP(Table4[[#This Row],[year]],Table1[year],Table1[year_id])</f>
        <v>16</v>
      </c>
      <c r="F815" t="s">
        <v>27</v>
      </c>
      <c r="G815" t="s">
        <v>28</v>
      </c>
      <c r="H815" cm="1">
        <f t="array" ref="H815">_xlfn.XLOOKUP(Table4[[#This Row],[vehicle_segment]]&amp;Table4[[#This Row],[powertrain_type]],Table3[vehicle_segment]&amp;Table3[powertrain_type],Table3[vehicle_id])</f>
        <v>1</v>
      </c>
      <c r="I815">
        <v>3052</v>
      </c>
      <c r="J815">
        <v>18297</v>
      </c>
      <c r="K815">
        <v>12198</v>
      </c>
      <c r="L815">
        <v>33547</v>
      </c>
      <c r="M815">
        <v>9.1</v>
      </c>
      <c r="N815">
        <v>17905</v>
      </c>
      <c r="O815">
        <v>25.3</v>
      </c>
      <c r="P815">
        <v>480</v>
      </c>
      <c r="Q815">
        <v>1.71</v>
      </c>
      <c r="R815">
        <v>0.23300000000000001</v>
      </c>
      <c r="S815">
        <v>28316</v>
      </c>
      <c r="T815">
        <v>68</v>
      </c>
      <c r="U815">
        <v>14</v>
      </c>
      <c r="V815">
        <v>3961</v>
      </c>
      <c r="W815">
        <v>85.3</v>
      </c>
      <c r="X815">
        <v>9.23</v>
      </c>
      <c r="Y815">
        <v>0</v>
      </c>
    </row>
    <row r="816" spans="1:25" x14ac:dyDescent="0.25">
      <c r="A816" t="s">
        <v>51</v>
      </c>
      <c r="B816">
        <f>_xlfn.XLOOKUP(Table4[[#This Row],[country]],Table2[country],Table2[country_id],FALSE)</f>
        <v>17</v>
      </c>
      <c r="C816" t="s">
        <v>32</v>
      </c>
      <c r="D816">
        <v>2025</v>
      </c>
      <c r="E816">
        <f>_xlfn.XLOOKUP(Table4[[#This Row],[year]],Table1[year],Table1[year_id])</f>
        <v>16</v>
      </c>
      <c r="F816" t="s">
        <v>29</v>
      </c>
      <c r="G816" t="s">
        <v>28</v>
      </c>
      <c r="H816" cm="1">
        <f t="array" ref="H816">_xlfn.XLOOKUP(Table4[[#This Row],[vehicle_segment]]&amp;Table4[[#This Row],[powertrain_type]],Table3[vehicle_segment]&amp;Table3[powertrain_type],Table3[vehicle_id])</f>
        <v>2</v>
      </c>
      <c r="I816">
        <v>34942</v>
      </c>
      <c r="J816">
        <v>87563</v>
      </c>
      <c r="K816">
        <v>11940</v>
      </c>
      <c r="L816">
        <v>134445</v>
      </c>
      <c r="M816">
        <v>25.99</v>
      </c>
      <c r="N816">
        <v>17905</v>
      </c>
      <c r="O816">
        <v>25.3</v>
      </c>
      <c r="P816">
        <v>480</v>
      </c>
      <c r="Q816">
        <v>1.71</v>
      </c>
      <c r="R816">
        <v>0.23300000000000001</v>
      </c>
      <c r="S816">
        <v>28316</v>
      </c>
      <c r="T816">
        <v>68</v>
      </c>
      <c r="U816">
        <v>14</v>
      </c>
      <c r="V816">
        <v>3961</v>
      </c>
      <c r="W816">
        <v>85.3</v>
      </c>
      <c r="X816">
        <v>12.09</v>
      </c>
      <c r="Y816">
        <v>0</v>
      </c>
    </row>
    <row r="817" spans="1:25" x14ac:dyDescent="0.25">
      <c r="A817" t="s">
        <v>51</v>
      </c>
      <c r="B817">
        <f>_xlfn.XLOOKUP(Table4[[#This Row],[country]],Table2[country],Table2[country_id],FALSE)</f>
        <v>17</v>
      </c>
      <c r="C817" t="s">
        <v>32</v>
      </c>
      <c r="D817">
        <v>2025</v>
      </c>
      <c r="E817">
        <f>_xlfn.XLOOKUP(Table4[[#This Row],[year]],Table1[year],Table1[year_id])</f>
        <v>16</v>
      </c>
      <c r="F817" t="s">
        <v>30</v>
      </c>
      <c r="G817" t="s">
        <v>28</v>
      </c>
      <c r="H817" cm="1">
        <f t="array" ref="H817">_xlfn.XLOOKUP(Table4[[#This Row],[vehicle_segment]]&amp;Table4[[#This Row],[powertrain_type]],Table3[vehicle_segment]&amp;Table3[powertrain_type],Table3[vehicle_id])</f>
        <v>3</v>
      </c>
      <c r="I817">
        <v>21237</v>
      </c>
      <c r="J817">
        <v>32307</v>
      </c>
      <c r="K817">
        <v>2809</v>
      </c>
      <c r="L817">
        <v>56353</v>
      </c>
      <c r="M817">
        <v>37.69</v>
      </c>
      <c r="N817">
        <v>17905</v>
      </c>
      <c r="O817">
        <v>25.3</v>
      </c>
      <c r="P817">
        <v>480</v>
      </c>
      <c r="Q817">
        <v>1.71</v>
      </c>
      <c r="R817">
        <v>0.23300000000000001</v>
      </c>
      <c r="S817">
        <v>28316</v>
      </c>
      <c r="T817">
        <v>68</v>
      </c>
      <c r="U817">
        <v>14</v>
      </c>
      <c r="V817">
        <v>3961</v>
      </c>
      <c r="W817">
        <v>85.3</v>
      </c>
      <c r="X817">
        <v>12.73</v>
      </c>
      <c r="Y817">
        <v>0</v>
      </c>
    </row>
    <row r="818" spans="1:25" x14ac:dyDescent="0.25">
      <c r="A818" t="s">
        <v>52</v>
      </c>
      <c r="B818">
        <f>_xlfn.XLOOKUP(Table4[[#This Row],[country]],Table2[country],Table2[country_id],FALSE)</f>
        <v>18</v>
      </c>
      <c r="C818" t="s">
        <v>40</v>
      </c>
      <c r="D818">
        <v>2010</v>
      </c>
      <c r="E818">
        <f>_xlfn.XLOOKUP(Table4[[#This Row],[year]],Table1[year],Table1[year_id])</f>
        <v>1</v>
      </c>
      <c r="F818" t="s">
        <v>27</v>
      </c>
      <c r="G818" t="s">
        <v>28</v>
      </c>
      <c r="H818" cm="1">
        <f t="array" ref="H818">_xlfn.XLOOKUP(Table4[[#This Row],[vehicle_segment]]&amp;Table4[[#This Row],[powertrain_type]],Table3[vehicle_segment]&amp;Table3[powertrain_type],Table3[vehicle_id])</f>
        <v>1</v>
      </c>
      <c r="I818">
        <v>8</v>
      </c>
      <c r="J818">
        <v>132527</v>
      </c>
      <c r="K818">
        <v>88351</v>
      </c>
      <c r="L818">
        <v>220886</v>
      </c>
      <c r="M818">
        <v>0</v>
      </c>
      <c r="N818">
        <v>94</v>
      </c>
      <c r="O818">
        <v>4.7</v>
      </c>
      <c r="P818">
        <v>122</v>
      </c>
      <c r="Q818">
        <v>1.4</v>
      </c>
      <c r="R818">
        <v>7.8E-2</v>
      </c>
      <c r="S818">
        <v>22535</v>
      </c>
      <c r="T818">
        <v>82.4</v>
      </c>
      <c r="U818">
        <v>99.3</v>
      </c>
      <c r="V818">
        <v>0</v>
      </c>
      <c r="W818">
        <v>41.8</v>
      </c>
      <c r="X818">
        <v>0</v>
      </c>
      <c r="Y818">
        <v>0</v>
      </c>
    </row>
    <row r="819" spans="1:25" x14ac:dyDescent="0.25">
      <c r="A819" t="s">
        <v>52</v>
      </c>
      <c r="B819">
        <f>_xlfn.XLOOKUP(Table4[[#This Row],[country]],Table2[country],Table2[country_id],FALSE)</f>
        <v>18</v>
      </c>
      <c r="C819" t="s">
        <v>40</v>
      </c>
      <c r="D819">
        <v>2010</v>
      </c>
      <c r="E819">
        <f>_xlfn.XLOOKUP(Table4[[#This Row],[year]],Table1[year],Table1[year_id])</f>
        <v>1</v>
      </c>
      <c r="F819" t="s">
        <v>29</v>
      </c>
      <c r="G819" t="s">
        <v>28</v>
      </c>
      <c r="H819" cm="1">
        <f t="array" ref="H819">_xlfn.XLOOKUP(Table4[[#This Row],[vehicle_segment]]&amp;Table4[[#This Row],[powertrain_type]],Table3[vehicle_segment]&amp;Table3[powertrain_type],Table3[vehicle_id])</f>
        <v>2</v>
      </c>
      <c r="I819">
        <v>88</v>
      </c>
      <c r="J819">
        <v>776204</v>
      </c>
      <c r="K819">
        <v>105846</v>
      </c>
      <c r="L819">
        <v>882138</v>
      </c>
      <c r="M819">
        <v>0.01</v>
      </c>
      <c r="N819">
        <v>94</v>
      </c>
      <c r="O819">
        <v>4.7</v>
      </c>
      <c r="P819">
        <v>122</v>
      </c>
      <c r="Q819">
        <v>1.4</v>
      </c>
      <c r="R819">
        <v>7.8E-2</v>
      </c>
      <c r="S819">
        <v>22535</v>
      </c>
      <c r="T819">
        <v>82.4</v>
      </c>
      <c r="U819">
        <v>99.3</v>
      </c>
      <c r="V819">
        <v>0</v>
      </c>
      <c r="W819">
        <v>41.8</v>
      </c>
      <c r="X819">
        <v>0</v>
      </c>
      <c r="Y819">
        <v>0</v>
      </c>
    </row>
    <row r="820" spans="1:25" x14ac:dyDescent="0.25">
      <c r="A820" t="s">
        <v>52</v>
      </c>
      <c r="B820">
        <f>_xlfn.XLOOKUP(Table4[[#This Row],[country]],Table2[country],Table2[country_id],FALSE)</f>
        <v>18</v>
      </c>
      <c r="C820" t="s">
        <v>40</v>
      </c>
      <c r="D820">
        <v>2010</v>
      </c>
      <c r="E820">
        <f>_xlfn.XLOOKUP(Table4[[#This Row],[year]],Table1[year],Table1[year_id])</f>
        <v>1</v>
      </c>
      <c r="F820" t="s">
        <v>30</v>
      </c>
      <c r="G820" t="s">
        <v>28</v>
      </c>
      <c r="H820" cm="1">
        <f t="array" ref="H820">_xlfn.XLOOKUP(Table4[[#This Row],[vehicle_segment]]&amp;Table4[[#This Row],[powertrain_type]],Table3[vehicle_segment]&amp;Table3[powertrain_type],Table3[vehicle_id])</f>
        <v>3</v>
      </c>
      <c r="I820">
        <v>53</v>
      </c>
      <c r="J820">
        <v>338527</v>
      </c>
      <c r="K820">
        <v>29437</v>
      </c>
      <c r="L820">
        <v>368017</v>
      </c>
      <c r="M820">
        <v>0.01</v>
      </c>
      <c r="N820">
        <v>94</v>
      </c>
      <c r="O820">
        <v>4.7</v>
      </c>
      <c r="P820">
        <v>122</v>
      </c>
      <c r="Q820">
        <v>1.4</v>
      </c>
      <c r="R820">
        <v>7.8E-2</v>
      </c>
      <c r="S820">
        <v>22535</v>
      </c>
      <c r="T820">
        <v>82.4</v>
      </c>
      <c r="U820">
        <v>99.3</v>
      </c>
      <c r="V820">
        <v>0</v>
      </c>
      <c r="W820">
        <v>41.8</v>
      </c>
      <c r="X820">
        <v>0</v>
      </c>
      <c r="Y820">
        <v>0</v>
      </c>
    </row>
    <row r="821" spans="1:25" x14ac:dyDescent="0.25">
      <c r="A821" t="s">
        <v>52</v>
      </c>
      <c r="B821">
        <f>_xlfn.XLOOKUP(Table4[[#This Row],[country]],Table2[country],Table2[country_id],FALSE)</f>
        <v>18</v>
      </c>
      <c r="C821" t="s">
        <v>40</v>
      </c>
      <c r="D821">
        <v>2011</v>
      </c>
      <c r="E821">
        <f>_xlfn.XLOOKUP(Table4[[#This Row],[year]],Table1[year],Table1[year_id])</f>
        <v>2</v>
      </c>
      <c r="F821" t="s">
        <v>27</v>
      </c>
      <c r="G821" t="s">
        <v>28</v>
      </c>
      <c r="H821" cm="1">
        <f t="array" ref="H821">_xlfn.XLOOKUP(Table4[[#This Row],[vehicle_segment]]&amp;Table4[[#This Row],[powertrain_type]],Table3[vehicle_segment]&amp;Table3[powertrain_type],Table3[vehicle_id])</f>
        <v>1</v>
      </c>
      <c r="I821">
        <v>16</v>
      </c>
      <c r="J821">
        <v>135049</v>
      </c>
      <c r="K821">
        <v>90033</v>
      </c>
      <c r="L821">
        <v>225098</v>
      </c>
      <c r="M821">
        <v>0.01</v>
      </c>
      <c r="N821">
        <v>226</v>
      </c>
      <c r="O821">
        <v>7.8</v>
      </c>
      <c r="P821">
        <v>127</v>
      </c>
      <c r="Q821">
        <v>1.347</v>
      </c>
      <c r="R821">
        <v>8.4000000000000005E-2</v>
      </c>
      <c r="S821">
        <v>22707</v>
      </c>
      <c r="T821">
        <v>82</v>
      </c>
      <c r="U821">
        <v>98.5</v>
      </c>
      <c r="V821">
        <v>1253</v>
      </c>
      <c r="W821">
        <v>44.6</v>
      </c>
      <c r="X821">
        <v>100</v>
      </c>
      <c r="Y821">
        <v>0</v>
      </c>
    </row>
    <row r="822" spans="1:25" x14ac:dyDescent="0.25">
      <c r="A822" t="s">
        <v>52</v>
      </c>
      <c r="B822">
        <f>_xlfn.XLOOKUP(Table4[[#This Row],[country]],Table2[country],Table2[country_id],FALSE)</f>
        <v>18</v>
      </c>
      <c r="C822" t="s">
        <v>40</v>
      </c>
      <c r="D822">
        <v>2011</v>
      </c>
      <c r="E822">
        <f>_xlfn.XLOOKUP(Table4[[#This Row],[year]],Table1[year],Table1[year_id])</f>
        <v>2</v>
      </c>
      <c r="F822" t="s">
        <v>29</v>
      </c>
      <c r="G822" t="s">
        <v>28</v>
      </c>
      <c r="H822" cm="1">
        <f t="array" ref="H822">_xlfn.XLOOKUP(Table4[[#This Row],[vehicle_segment]]&amp;Table4[[#This Row],[powertrain_type]],Table3[vehicle_segment]&amp;Table3[powertrain_type],Table3[vehicle_id])</f>
        <v>2</v>
      </c>
      <c r="I822">
        <v>180</v>
      </c>
      <c r="J822">
        <v>793239</v>
      </c>
      <c r="K822">
        <v>108169</v>
      </c>
      <c r="L822">
        <v>901588</v>
      </c>
      <c r="M822">
        <v>0.02</v>
      </c>
      <c r="N822">
        <v>226</v>
      </c>
      <c r="O822">
        <v>7.8</v>
      </c>
      <c r="P822">
        <v>127</v>
      </c>
      <c r="Q822">
        <v>1.347</v>
      </c>
      <c r="R822">
        <v>8.4000000000000005E-2</v>
      </c>
      <c r="S822">
        <v>22707</v>
      </c>
      <c r="T822">
        <v>82</v>
      </c>
      <c r="U822">
        <v>98.5</v>
      </c>
      <c r="V822">
        <v>1253</v>
      </c>
      <c r="W822">
        <v>44.6</v>
      </c>
      <c r="X822">
        <v>104.55</v>
      </c>
      <c r="Y822">
        <v>0</v>
      </c>
    </row>
    <row r="823" spans="1:25" x14ac:dyDescent="0.25">
      <c r="A823" t="s">
        <v>52</v>
      </c>
      <c r="B823">
        <f>_xlfn.XLOOKUP(Table4[[#This Row],[country]],Table2[country],Table2[country_id],FALSE)</f>
        <v>18</v>
      </c>
      <c r="C823" t="s">
        <v>40</v>
      </c>
      <c r="D823">
        <v>2011</v>
      </c>
      <c r="E823">
        <f>_xlfn.XLOOKUP(Table4[[#This Row],[year]],Table1[year],Table1[year_id])</f>
        <v>2</v>
      </c>
      <c r="F823" t="s">
        <v>30</v>
      </c>
      <c r="G823" t="s">
        <v>28</v>
      </c>
      <c r="H823" cm="1">
        <f t="array" ref="H823">_xlfn.XLOOKUP(Table4[[#This Row],[vehicle_segment]]&amp;Table4[[#This Row],[powertrain_type]],Table3[vehicle_segment]&amp;Table3[powertrain_type],Table3[vehicle_id])</f>
        <v>3</v>
      </c>
      <c r="I823">
        <v>110</v>
      </c>
      <c r="J823">
        <v>347858</v>
      </c>
      <c r="K823">
        <v>30249</v>
      </c>
      <c r="L823">
        <v>378217</v>
      </c>
      <c r="M823">
        <v>0.03</v>
      </c>
      <c r="N823">
        <v>226</v>
      </c>
      <c r="O823">
        <v>7.8</v>
      </c>
      <c r="P823">
        <v>127</v>
      </c>
      <c r="Q823">
        <v>1.347</v>
      </c>
      <c r="R823">
        <v>8.4000000000000005E-2</v>
      </c>
      <c r="S823">
        <v>22707</v>
      </c>
      <c r="T823">
        <v>82</v>
      </c>
      <c r="U823">
        <v>98.5</v>
      </c>
      <c r="V823">
        <v>1253</v>
      </c>
      <c r="W823">
        <v>44.6</v>
      </c>
      <c r="X823">
        <v>107.55</v>
      </c>
      <c r="Y823">
        <v>0</v>
      </c>
    </row>
    <row r="824" spans="1:25" x14ac:dyDescent="0.25">
      <c r="A824" t="s">
        <v>52</v>
      </c>
      <c r="B824">
        <f>_xlfn.XLOOKUP(Table4[[#This Row],[country]],Table2[country],Table2[country_id],FALSE)</f>
        <v>18</v>
      </c>
      <c r="C824" t="s">
        <v>40</v>
      </c>
      <c r="D824">
        <v>2012</v>
      </c>
      <c r="E824">
        <f>_xlfn.XLOOKUP(Table4[[#This Row],[year]],Table1[year],Table1[year_id])</f>
        <v>3</v>
      </c>
      <c r="F824" t="s">
        <v>27</v>
      </c>
      <c r="G824" t="s">
        <v>28</v>
      </c>
      <c r="H824" cm="1">
        <f t="array" ref="H824">_xlfn.XLOOKUP(Table4[[#This Row],[vehicle_segment]]&amp;Table4[[#This Row],[powertrain_type]],Table3[vehicle_segment]&amp;Table3[powertrain_type],Table3[vehicle_id])</f>
        <v>1</v>
      </c>
      <c r="I824">
        <v>25</v>
      </c>
      <c r="J824">
        <v>141188</v>
      </c>
      <c r="K824">
        <v>94126</v>
      </c>
      <c r="L824">
        <v>235339</v>
      </c>
      <c r="M824">
        <v>0.01</v>
      </c>
      <c r="N824">
        <v>362</v>
      </c>
      <c r="O824">
        <v>11.6</v>
      </c>
      <c r="P824">
        <v>127</v>
      </c>
      <c r="Q824">
        <v>1.3029999999999999</v>
      </c>
      <c r="R824">
        <v>8.8999999999999996E-2</v>
      </c>
      <c r="S824">
        <v>24299</v>
      </c>
      <c r="T824">
        <v>81.7</v>
      </c>
      <c r="U824">
        <v>99.2</v>
      </c>
      <c r="V824">
        <v>2566</v>
      </c>
      <c r="W824">
        <v>46.1</v>
      </c>
      <c r="X824">
        <v>76.78</v>
      </c>
      <c r="Y824">
        <v>0</v>
      </c>
    </row>
    <row r="825" spans="1:25" x14ac:dyDescent="0.25">
      <c r="A825" t="s">
        <v>52</v>
      </c>
      <c r="B825">
        <f>_xlfn.XLOOKUP(Table4[[#This Row],[country]],Table2[country],Table2[country_id],FALSE)</f>
        <v>18</v>
      </c>
      <c r="C825" t="s">
        <v>40</v>
      </c>
      <c r="D825">
        <v>2012</v>
      </c>
      <c r="E825">
        <f>_xlfn.XLOOKUP(Table4[[#This Row],[year]],Table1[year],Table1[year_id])</f>
        <v>3</v>
      </c>
      <c r="F825" t="s">
        <v>29</v>
      </c>
      <c r="G825" t="s">
        <v>28</v>
      </c>
      <c r="H825" cm="1">
        <f t="array" ref="H825">_xlfn.XLOOKUP(Table4[[#This Row],[vehicle_segment]]&amp;Table4[[#This Row],[powertrain_type]],Table3[vehicle_segment]&amp;Table3[powertrain_type],Table3[vehicle_id])</f>
        <v>2</v>
      </c>
      <c r="I825">
        <v>276</v>
      </c>
      <c r="J825">
        <v>808794</v>
      </c>
      <c r="K825">
        <v>110290</v>
      </c>
      <c r="L825">
        <v>919360</v>
      </c>
      <c r="M825">
        <v>0.03</v>
      </c>
      <c r="N825">
        <v>362</v>
      </c>
      <c r="O825">
        <v>11.6</v>
      </c>
      <c r="P825">
        <v>127</v>
      </c>
      <c r="Q825">
        <v>1.3029999999999999</v>
      </c>
      <c r="R825">
        <v>8.8999999999999996E-2</v>
      </c>
      <c r="S825">
        <v>24299</v>
      </c>
      <c r="T825">
        <v>81.7</v>
      </c>
      <c r="U825">
        <v>99.2</v>
      </c>
      <c r="V825">
        <v>2566</v>
      </c>
      <c r="W825">
        <v>46.1</v>
      </c>
      <c r="X825">
        <v>53.33</v>
      </c>
      <c r="Y825">
        <v>0</v>
      </c>
    </row>
    <row r="826" spans="1:25" x14ac:dyDescent="0.25">
      <c r="A826" t="s">
        <v>52</v>
      </c>
      <c r="B826">
        <f>_xlfn.XLOOKUP(Table4[[#This Row],[country]],Table2[country],Table2[country_id],FALSE)</f>
        <v>18</v>
      </c>
      <c r="C826" t="s">
        <v>40</v>
      </c>
      <c r="D826">
        <v>2012</v>
      </c>
      <c r="E826">
        <f>_xlfn.XLOOKUP(Table4[[#This Row],[year]],Table1[year],Table1[year_id])</f>
        <v>3</v>
      </c>
      <c r="F826" t="s">
        <v>30</v>
      </c>
      <c r="G826" t="s">
        <v>28</v>
      </c>
      <c r="H826" cm="1">
        <f t="array" ref="H826">_xlfn.XLOOKUP(Table4[[#This Row],[vehicle_segment]]&amp;Table4[[#This Row],[powertrain_type]],Table3[vehicle_segment]&amp;Table3[powertrain_type],Table3[vehicle_id])</f>
        <v>3</v>
      </c>
      <c r="I826">
        <v>172</v>
      </c>
      <c r="J826">
        <v>362744</v>
      </c>
      <c r="K826">
        <v>31543</v>
      </c>
      <c r="L826">
        <v>394459</v>
      </c>
      <c r="M826">
        <v>0.04</v>
      </c>
      <c r="N826">
        <v>362</v>
      </c>
      <c r="O826">
        <v>11.6</v>
      </c>
      <c r="P826">
        <v>127</v>
      </c>
      <c r="Q826">
        <v>1.3029999999999999</v>
      </c>
      <c r="R826">
        <v>8.8999999999999996E-2</v>
      </c>
      <c r="S826">
        <v>24299</v>
      </c>
      <c r="T826">
        <v>81.7</v>
      </c>
      <c r="U826">
        <v>99.2</v>
      </c>
      <c r="V826">
        <v>2566</v>
      </c>
      <c r="W826">
        <v>46.1</v>
      </c>
      <c r="X826">
        <v>56.36</v>
      </c>
      <c r="Y826">
        <v>0</v>
      </c>
    </row>
    <row r="827" spans="1:25" x14ac:dyDescent="0.25">
      <c r="A827" t="s">
        <v>52</v>
      </c>
      <c r="B827">
        <f>_xlfn.XLOOKUP(Table4[[#This Row],[country]],Table2[country],Table2[country_id],FALSE)</f>
        <v>18</v>
      </c>
      <c r="C827" t="s">
        <v>40</v>
      </c>
      <c r="D827">
        <v>2013</v>
      </c>
      <c r="E827">
        <f>_xlfn.XLOOKUP(Table4[[#This Row],[year]],Table1[year],Table1[year_id])</f>
        <v>4</v>
      </c>
      <c r="F827" t="s">
        <v>27</v>
      </c>
      <c r="G827" t="s">
        <v>28</v>
      </c>
      <c r="H827" cm="1">
        <f t="array" ref="H827">_xlfn.XLOOKUP(Table4[[#This Row],[vehicle_segment]]&amp;Table4[[#This Row],[powertrain_type]],Table3[vehicle_segment]&amp;Table3[powertrain_type],Table3[vehicle_id])</f>
        <v>1</v>
      </c>
      <c r="I827">
        <v>95</v>
      </c>
      <c r="J827">
        <v>135405</v>
      </c>
      <c r="K827">
        <v>90270</v>
      </c>
      <c r="L827">
        <v>225770</v>
      </c>
      <c r="M827">
        <v>0.04</v>
      </c>
      <c r="N827">
        <v>522</v>
      </c>
      <c r="O827">
        <v>14.1</v>
      </c>
      <c r="P827">
        <v>147</v>
      </c>
      <c r="Q827">
        <v>1.26</v>
      </c>
      <c r="R827">
        <v>9.4E-2</v>
      </c>
      <c r="S827">
        <v>25261</v>
      </c>
      <c r="T827">
        <v>81.599999999999994</v>
      </c>
      <c r="U827">
        <v>101.7</v>
      </c>
      <c r="V827">
        <v>3736</v>
      </c>
      <c r="W827">
        <v>48.8</v>
      </c>
      <c r="X827">
        <v>128.15</v>
      </c>
      <c r="Y827">
        <v>0</v>
      </c>
    </row>
    <row r="828" spans="1:25" x14ac:dyDescent="0.25">
      <c r="A828" t="s">
        <v>52</v>
      </c>
      <c r="B828">
        <f>_xlfn.XLOOKUP(Table4[[#This Row],[country]],Table2[country],Table2[country_id],FALSE)</f>
        <v>18</v>
      </c>
      <c r="C828" t="s">
        <v>40</v>
      </c>
      <c r="D828">
        <v>2013</v>
      </c>
      <c r="E828">
        <f>_xlfn.XLOOKUP(Table4[[#This Row],[year]],Table1[year],Table1[year_id])</f>
        <v>4</v>
      </c>
      <c r="F828" t="s">
        <v>29</v>
      </c>
      <c r="G828" t="s">
        <v>28</v>
      </c>
      <c r="H828" cm="1">
        <f t="array" ref="H828">_xlfn.XLOOKUP(Table4[[#This Row],[vehicle_segment]]&amp;Table4[[#This Row],[powertrain_type]],Table3[vehicle_segment]&amp;Table3[powertrain_type],Table3[vehicle_id])</f>
        <v>2</v>
      </c>
      <c r="I828">
        <v>1054</v>
      </c>
      <c r="J828">
        <v>771844</v>
      </c>
      <c r="K828">
        <v>105252</v>
      </c>
      <c r="L828">
        <v>878150</v>
      </c>
      <c r="M828">
        <v>0.12</v>
      </c>
      <c r="N828">
        <v>522</v>
      </c>
      <c r="O828">
        <v>14.1</v>
      </c>
      <c r="P828">
        <v>147</v>
      </c>
      <c r="Q828">
        <v>1.26</v>
      </c>
      <c r="R828">
        <v>9.4E-2</v>
      </c>
      <c r="S828">
        <v>25261</v>
      </c>
      <c r="T828">
        <v>81.599999999999994</v>
      </c>
      <c r="U828">
        <v>101.7</v>
      </c>
      <c r="V828">
        <v>3736</v>
      </c>
      <c r="W828">
        <v>48.8</v>
      </c>
      <c r="X828">
        <v>281.88</v>
      </c>
      <c r="Y828">
        <v>0</v>
      </c>
    </row>
    <row r="829" spans="1:25" x14ac:dyDescent="0.25">
      <c r="A829" t="s">
        <v>52</v>
      </c>
      <c r="B829">
        <f>_xlfn.XLOOKUP(Table4[[#This Row],[country]],Table2[country],Table2[country_id],FALSE)</f>
        <v>18</v>
      </c>
      <c r="C829" t="s">
        <v>40</v>
      </c>
      <c r="D829">
        <v>2013</v>
      </c>
      <c r="E829">
        <f>_xlfn.XLOOKUP(Table4[[#This Row],[year]],Table1[year],Table1[year_id])</f>
        <v>4</v>
      </c>
      <c r="F829" t="s">
        <v>30</v>
      </c>
      <c r="G829" t="s">
        <v>28</v>
      </c>
      <c r="H829" cm="1">
        <f t="array" ref="H829">_xlfn.XLOOKUP(Table4[[#This Row],[vehicle_segment]]&amp;Table4[[#This Row],[powertrain_type]],Table3[vehicle_segment]&amp;Table3[powertrain_type],Table3[vehicle_id])</f>
        <v>3</v>
      </c>
      <c r="I829">
        <v>669</v>
      </c>
      <c r="J829">
        <v>353288</v>
      </c>
      <c r="K829">
        <v>30721</v>
      </c>
      <c r="L829">
        <v>384678</v>
      </c>
      <c r="M829">
        <v>0.17</v>
      </c>
      <c r="N829">
        <v>522</v>
      </c>
      <c r="O829">
        <v>14.1</v>
      </c>
      <c r="P829">
        <v>147</v>
      </c>
      <c r="Q829">
        <v>1.26</v>
      </c>
      <c r="R829">
        <v>9.4E-2</v>
      </c>
      <c r="S829">
        <v>25261</v>
      </c>
      <c r="T829">
        <v>81.599999999999994</v>
      </c>
      <c r="U829">
        <v>101.7</v>
      </c>
      <c r="V829">
        <v>3736</v>
      </c>
      <c r="W829">
        <v>48.8</v>
      </c>
      <c r="X829">
        <v>288.95</v>
      </c>
      <c r="Y829">
        <v>0</v>
      </c>
    </row>
    <row r="830" spans="1:25" x14ac:dyDescent="0.25">
      <c r="A830" t="s">
        <v>52</v>
      </c>
      <c r="B830">
        <f>_xlfn.XLOOKUP(Table4[[#This Row],[country]],Table2[country],Table2[country_id],FALSE)</f>
        <v>18</v>
      </c>
      <c r="C830" t="s">
        <v>40</v>
      </c>
      <c r="D830">
        <v>2014</v>
      </c>
      <c r="E830">
        <f>_xlfn.XLOOKUP(Table4[[#This Row],[year]],Table1[year],Table1[year_id])</f>
        <v>5</v>
      </c>
      <c r="F830" t="s">
        <v>27</v>
      </c>
      <c r="G830" t="s">
        <v>28</v>
      </c>
      <c r="H830" cm="1">
        <f t="array" ref="H830">_xlfn.XLOOKUP(Table4[[#This Row],[vehicle_segment]]&amp;Table4[[#This Row],[powertrain_type]],Table3[vehicle_segment]&amp;Table3[powertrain_type],Table3[vehicle_id])</f>
        <v>1</v>
      </c>
      <c r="I830">
        <v>159</v>
      </c>
      <c r="J830">
        <v>150940</v>
      </c>
      <c r="K830">
        <v>100627</v>
      </c>
      <c r="L830">
        <v>251726</v>
      </c>
      <c r="M830">
        <v>0.06</v>
      </c>
      <c r="N830">
        <v>1746</v>
      </c>
      <c r="O830">
        <v>15.5</v>
      </c>
      <c r="P830">
        <v>161</v>
      </c>
      <c r="Q830">
        <v>1.2370000000000001</v>
      </c>
      <c r="R830">
        <v>9.7000000000000003E-2</v>
      </c>
      <c r="S830">
        <v>26036</v>
      </c>
      <c r="T830">
        <v>81.5</v>
      </c>
      <c r="U830">
        <v>102.4</v>
      </c>
      <c r="V830">
        <v>4893</v>
      </c>
      <c r="W830">
        <v>50.9</v>
      </c>
      <c r="X830">
        <v>114.99</v>
      </c>
      <c r="Y830">
        <v>0</v>
      </c>
    </row>
    <row r="831" spans="1:25" x14ac:dyDescent="0.25">
      <c r="A831" t="s">
        <v>52</v>
      </c>
      <c r="B831">
        <f>_xlfn.XLOOKUP(Table4[[#This Row],[country]],Table2[country],Table2[country_id],FALSE)</f>
        <v>18</v>
      </c>
      <c r="C831" t="s">
        <v>40</v>
      </c>
      <c r="D831">
        <v>2014</v>
      </c>
      <c r="E831">
        <f>_xlfn.XLOOKUP(Table4[[#This Row],[year]],Table1[year],Table1[year_id])</f>
        <v>5</v>
      </c>
      <c r="F831" t="s">
        <v>29</v>
      </c>
      <c r="G831" t="s">
        <v>28</v>
      </c>
      <c r="H831" cm="1">
        <f t="array" ref="H831">_xlfn.XLOOKUP(Table4[[#This Row],[vehicle_segment]]&amp;Table4[[#This Row],[powertrain_type]],Table3[vehicle_segment]&amp;Table3[powertrain_type],Table3[vehicle_id])</f>
        <v>2</v>
      </c>
      <c r="I831">
        <v>1813</v>
      </c>
      <c r="J831">
        <v>884602</v>
      </c>
      <c r="K831">
        <v>120627</v>
      </c>
      <c r="L831">
        <v>1007042</v>
      </c>
      <c r="M831">
        <v>0.18</v>
      </c>
      <c r="N831">
        <v>1746</v>
      </c>
      <c r="O831">
        <v>15.5</v>
      </c>
      <c r="P831">
        <v>161</v>
      </c>
      <c r="Q831">
        <v>1.2370000000000001</v>
      </c>
      <c r="R831">
        <v>9.7000000000000003E-2</v>
      </c>
      <c r="S831">
        <v>26036</v>
      </c>
      <c r="T831">
        <v>81.5</v>
      </c>
      <c r="U831">
        <v>102.4</v>
      </c>
      <c r="V831">
        <v>4893</v>
      </c>
      <c r="W831">
        <v>50.9</v>
      </c>
      <c r="X831">
        <v>72.010000000000005</v>
      </c>
      <c r="Y831">
        <v>0</v>
      </c>
    </row>
    <row r="832" spans="1:25" x14ac:dyDescent="0.25">
      <c r="A832" t="s">
        <v>52</v>
      </c>
      <c r="B832">
        <f>_xlfn.XLOOKUP(Table4[[#This Row],[country]],Table2[country],Table2[country_id],FALSE)</f>
        <v>18</v>
      </c>
      <c r="C832" t="s">
        <v>40</v>
      </c>
      <c r="D832">
        <v>2014</v>
      </c>
      <c r="E832">
        <f>_xlfn.XLOOKUP(Table4[[#This Row],[year]],Table1[year],Table1[year_id])</f>
        <v>5</v>
      </c>
      <c r="F832" t="s">
        <v>30</v>
      </c>
      <c r="G832" t="s">
        <v>28</v>
      </c>
      <c r="H832" cm="1">
        <f t="array" ref="H832">_xlfn.XLOOKUP(Table4[[#This Row],[vehicle_segment]]&amp;Table4[[#This Row],[powertrain_type]],Table3[vehicle_segment]&amp;Table3[powertrain_type],Table3[vehicle_id])</f>
        <v>3</v>
      </c>
      <c r="I832">
        <v>1113</v>
      </c>
      <c r="J832">
        <v>391455</v>
      </c>
      <c r="K832">
        <v>34040</v>
      </c>
      <c r="L832">
        <v>426608</v>
      </c>
      <c r="M832">
        <v>0.26</v>
      </c>
      <c r="N832">
        <v>1746</v>
      </c>
      <c r="O832">
        <v>15.5</v>
      </c>
      <c r="P832">
        <v>161</v>
      </c>
      <c r="Q832">
        <v>1.2370000000000001</v>
      </c>
      <c r="R832">
        <v>9.7000000000000003E-2</v>
      </c>
      <c r="S832">
        <v>26036</v>
      </c>
      <c r="T832">
        <v>81.5</v>
      </c>
      <c r="U832">
        <v>102.4</v>
      </c>
      <c r="V832">
        <v>4893</v>
      </c>
      <c r="W832">
        <v>50.9</v>
      </c>
      <c r="X832">
        <v>66.37</v>
      </c>
      <c r="Y832">
        <v>0</v>
      </c>
    </row>
    <row r="833" spans="1:25" x14ac:dyDescent="0.25">
      <c r="A833" t="s">
        <v>52</v>
      </c>
      <c r="B833">
        <f>_xlfn.XLOOKUP(Table4[[#This Row],[country]],Table2[country],Table2[country_id],FALSE)</f>
        <v>18</v>
      </c>
      <c r="C833" t="s">
        <v>40</v>
      </c>
      <c r="D833">
        <v>2015</v>
      </c>
      <c r="E833">
        <f>_xlfn.XLOOKUP(Table4[[#This Row],[year]],Table1[year],Table1[year_id])</f>
        <v>6</v>
      </c>
      <c r="F833" t="s">
        <v>27</v>
      </c>
      <c r="G833" t="s">
        <v>28</v>
      </c>
      <c r="H833" cm="1">
        <f t="array" ref="H833">_xlfn.XLOOKUP(Table4[[#This Row],[vehicle_segment]]&amp;Table4[[#This Row],[powertrain_type]],Table3[vehicle_segment]&amp;Table3[powertrain_type],Table3[vehicle_id])</f>
        <v>1</v>
      </c>
      <c r="I833">
        <v>383</v>
      </c>
      <c r="J833">
        <v>172691</v>
      </c>
      <c r="K833">
        <v>115128</v>
      </c>
      <c r="L833">
        <v>288202</v>
      </c>
      <c r="M833">
        <v>0.13</v>
      </c>
      <c r="N833">
        <v>2993</v>
      </c>
      <c r="O833">
        <v>20.3</v>
      </c>
      <c r="P833">
        <v>171</v>
      </c>
      <c r="Q833">
        <v>1.22</v>
      </c>
      <c r="R833">
        <v>0.1</v>
      </c>
      <c r="S833">
        <v>27373</v>
      </c>
      <c r="T833">
        <v>81.599999999999994</v>
      </c>
      <c r="U833">
        <v>103.3</v>
      </c>
      <c r="V833">
        <v>5367</v>
      </c>
      <c r="W833">
        <v>51.5</v>
      </c>
      <c r="X833">
        <v>140.88</v>
      </c>
      <c r="Y833">
        <v>0</v>
      </c>
    </row>
    <row r="834" spans="1:25" x14ac:dyDescent="0.25">
      <c r="A834" t="s">
        <v>52</v>
      </c>
      <c r="B834">
        <f>_xlfn.XLOOKUP(Table4[[#This Row],[country]],Table2[country],Table2[country_id],FALSE)</f>
        <v>18</v>
      </c>
      <c r="C834" t="s">
        <v>40</v>
      </c>
      <c r="D834">
        <v>2015</v>
      </c>
      <c r="E834">
        <f>_xlfn.XLOOKUP(Table4[[#This Row],[year]],Table1[year],Table1[year_id])</f>
        <v>6</v>
      </c>
      <c r="F834" t="s">
        <v>29</v>
      </c>
      <c r="G834" t="s">
        <v>28</v>
      </c>
      <c r="H834" cm="1">
        <f t="array" ref="H834">_xlfn.XLOOKUP(Table4[[#This Row],[vehicle_segment]]&amp;Table4[[#This Row],[powertrain_type]],Table3[vehicle_segment]&amp;Table3[powertrain_type],Table3[vehicle_id])</f>
        <v>2</v>
      </c>
      <c r="I834">
        <v>4455</v>
      </c>
      <c r="J834">
        <v>1027725</v>
      </c>
      <c r="K834">
        <v>140144</v>
      </c>
      <c r="L834">
        <v>1172324</v>
      </c>
      <c r="M834">
        <v>0.38</v>
      </c>
      <c r="N834">
        <v>2993</v>
      </c>
      <c r="O834">
        <v>20.3</v>
      </c>
      <c r="P834">
        <v>171</v>
      </c>
      <c r="Q834">
        <v>1.22</v>
      </c>
      <c r="R834">
        <v>0.1</v>
      </c>
      <c r="S834">
        <v>27373</v>
      </c>
      <c r="T834">
        <v>81.599999999999994</v>
      </c>
      <c r="U834">
        <v>103.3</v>
      </c>
      <c r="V834">
        <v>5367</v>
      </c>
      <c r="W834">
        <v>51.5</v>
      </c>
      <c r="X834">
        <v>145.72999999999999</v>
      </c>
      <c r="Y834">
        <v>0</v>
      </c>
    </row>
    <row r="835" spans="1:25" x14ac:dyDescent="0.25">
      <c r="A835" t="s">
        <v>52</v>
      </c>
      <c r="B835">
        <f>_xlfn.XLOOKUP(Table4[[#This Row],[country]],Table2[country],Table2[country_id],FALSE)</f>
        <v>18</v>
      </c>
      <c r="C835" t="s">
        <v>40</v>
      </c>
      <c r="D835">
        <v>2015</v>
      </c>
      <c r="E835">
        <f>_xlfn.XLOOKUP(Table4[[#This Row],[year]],Table1[year],Table1[year_id])</f>
        <v>6</v>
      </c>
      <c r="F835" t="s">
        <v>30</v>
      </c>
      <c r="G835" t="s">
        <v>28</v>
      </c>
      <c r="H835" cm="1">
        <f t="array" ref="H835">_xlfn.XLOOKUP(Table4[[#This Row],[vehicle_segment]]&amp;Table4[[#This Row],[powertrain_type]],Table3[vehicle_segment]&amp;Table3[powertrain_type],Table3[vehicle_id])</f>
        <v>3</v>
      </c>
      <c r="I835">
        <v>2636</v>
      </c>
      <c r="J835">
        <v>437685</v>
      </c>
      <c r="K835">
        <v>38060</v>
      </c>
      <c r="L835">
        <v>478381</v>
      </c>
      <c r="M835">
        <v>0.55000000000000004</v>
      </c>
      <c r="N835">
        <v>2993</v>
      </c>
      <c r="O835">
        <v>20.3</v>
      </c>
      <c r="P835">
        <v>171</v>
      </c>
      <c r="Q835">
        <v>1.22</v>
      </c>
      <c r="R835">
        <v>0.1</v>
      </c>
      <c r="S835">
        <v>27373</v>
      </c>
      <c r="T835">
        <v>81.599999999999994</v>
      </c>
      <c r="U835">
        <v>103.3</v>
      </c>
      <c r="V835">
        <v>5367</v>
      </c>
      <c r="W835">
        <v>51.5</v>
      </c>
      <c r="X835">
        <v>136.84</v>
      </c>
      <c r="Y835">
        <v>0</v>
      </c>
    </row>
    <row r="836" spans="1:25" x14ac:dyDescent="0.25">
      <c r="A836" t="s">
        <v>52</v>
      </c>
      <c r="B836">
        <f>_xlfn.XLOOKUP(Table4[[#This Row],[country]],Table2[country],Table2[country_id],FALSE)</f>
        <v>18</v>
      </c>
      <c r="C836" t="s">
        <v>40</v>
      </c>
      <c r="D836">
        <v>2016</v>
      </c>
      <c r="E836">
        <f>_xlfn.XLOOKUP(Table4[[#This Row],[year]],Table1[year],Table1[year_id])</f>
        <v>7</v>
      </c>
      <c r="F836" t="s">
        <v>27</v>
      </c>
      <c r="G836" t="s">
        <v>28</v>
      </c>
      <c r="H836" cm="1">
        <f t="array" ref="H836">_xlfn.XLOOKUP(Table4[[#This Row],[vehicle_segment]]&amp;Table4[[#This Row],[powertrain_type]],Table3[vehicle_segment]&amp;Table3[powertrain_type],Table3[vehicle_id])</f>
        <v>1</v>
      </c>
      <c r="I836">
        <v>601</v>
      </c>
      <c r="J836">
        <v>163106</v>
      </c>
      <c r="K836">
        <v>108738</v>
      </c>
      <c r="L836">
        <v>272445</v>
      </c>
      <c r="M836">
        <v>0.22</v>
      </c>
      <c r="N836">
        <v>5735</v>
      </c>
      <c r="O836">
        <v>23.8</v>
      </c>
      <c r="P836">
        <v>193</v>
      </c>
      <c r="Q836">
        <v>1.2330000000000001</v>
      </c>
      <c r="R836">
        <v>0.10100000000000001</v>
      </c>
      <c r="S836">
        <v>28247</v>
      </c>
      <c r="T836">
        <v>81.8</v>
      </c>
      <c r="U836">
        <v>102.6</v>
      </c>
      <c r="V836">
        <v>5706</v>
      </c>
      <c r="W836">
        <v>55.9</v>
      </c>
      <c r="X836">
        <v>56.92</v>
      </c>
      <c r="Y836">
        <v>0</v>
      </c>
    </row>
    <row r="837" spans="1:25" x14ac:dyDescent="0.25">
      <c r="A837" t="s">
        <v>52</v>
      </c>
      <c r="B837">
        <f>_xlfn.XLOOKUP(Table4[[#This Row],[country]],Table2[country],Table2[country_id],FALSE)</f>
        <v>18</v>
      </c>
      <c r="C837" t="s">
        <v>40</v>
      </c>
      <c r="D837">
        <v>2016</v>
      </c>
      <c r="E837">
        <f>_xlfn.XLOOKUP(Table4[[#This Row],[year]],Table1[year],Table1[year_id])</f>
        <v>7</v>
      </c>
      <c r="F837" t="s">
        <v>29</v>
      </c>
      <c r="G837" t="s">
        <v>28</v>
      </c>
      <c r="H837" cm="1">
        <f t="array" ref="H837">_xlfn.XLOOKUP(Table4[[#This Row],[vehicle_segment]]&amp;Table4[[#This Row],[powertrain_type]],Table3[vehicle_segment]&amp;Table3[powertrain_type],Table3[vehicle_id])</f>
        <v>2</v>
      </c>
      <c r="I837">
        <v>6875</v>
      </c>
      <c r="J837">
        <v>954205</v>
      </c>
      <c r="K837">
        <v>130119</v>
      </c>
      <c r="L837">
        <v>1091199</v>
      </c>
      <c r="M837">
        <v>0.63</v>
      </c>
      <c r="N837">
        <v>5735</v>
      </c>
      <c r="O837">
        <v>23.8</v>
      </c>
      <c r="P837">
        <v>193</v>
      </c>
      <c r="Q837">
        <v>1.2330000000000001</v>
      </c>
      <c r="R837">
        <v>0.10100000000000001</v>
      </c>
      <c r="S837">
        <v>28247</v>
      </c>
      <c r="T837">
        <v>81.8</v>
      </c>
      <c r="U837">
        <v>102.6</v>
      </c>
      <c r="V837">
        <v>5706</v>
      </c>
      <c r="W837">
        <v>55.9</v>
      </c>
      <c r="X837">
        <v>54.32</v>
      </c>
      <c r="Y837">
        <v>0</v>
      </c>
    </row>
    <row r="838" spans="1:25" x14ac:dyDescent="0.25">
      <c r="A838" t="s">
        <v>52</v>
      </c>
      <c r="B838">
        <f>_xlfn.XLOOKUP(Table4[[#This Row],[country]],Table2[country],Table2[country_id],FALSE)</f>
        <v>18</v>
      </c>
      <c r="C838" t="s">
        <v>40</v>
      </c>
      <c r="D838">
        <v>2016</v>
      </c>
      <c r="E838">
        <f>_xlfn.XLOOKUP(Table4[[#This Row],[year]],Table1[year],Table1[year_id])</f>
        <v>7</v>
      </c>
      <c r="F838" t="s">
        <v>30</v>
      </c>
      <c r="G838" t="s">
        <v>28</v>
      </c>
      <c r="H838" cm="1">
        <f t="array" ref="H838">_xlfn.XLOOKUP(Table4[[#This Row],[vehicle_segment]]&amp;Table4[[#This Row],[powertrain_type]],Table3[vehicle_segment]&amp;Table3[powertrain_type],Table3[vehicle_id])</f>
        <v>3</v>
      </c>
      <c r="I838">
        <v>4139</v>
      </c>
      <c r="J838">
        <v>413048</v>
      </c>
      <c r="K838">
        <v>35917</v>
      </c>
      <c r="L838">
        <v>453104</v>
      </c>
      <c r="M838">
        <v>0.91</v>
      </c>
      <c r="N838">
        <v>5735</v>
      </c>
      <c r="O838">
        <v>23.8</v>
      </c>
      <c r="P838">
        <v>193</v>
      </c>
      <c r="Q838">
        <v>1.2330000000000001</v>
      </c>
      <c r="R838">
        <v>0.10100000000000001</v>
      </c>
      <c r="S838">
        <v>28247</v>
      </c>
      <c r="T838">
        <v>81.8</v>
      </c>
      <c r="U838">
        <v>102.6</v>
      </c>
      <c r="V838">
        <v>5706</v>
      </c>
      <c r="W838">
        <v>55.9</v>
      </c>
      <c r="X838">
        <v>57.02</v>
      </c>
      <c r="Y838">
        <v>0</v>
      </c>
    </row>
    <row r="839" spans="1:25" x14ac:dyDescent="0.25">
      <c r="A839" t="s">
        <v>52</v>
      </c>
      <c r="B839">
        <f>_xlfn.XLOOKUP(Table4[[#This Row],[country]],Table2[country],Table2[country_id],FALSE)</f>
        <v>18</v>
      </c>
      <c r="C839" t="s">
        <v>40</v>
      </c>
      <c r="D839">
        <v>2017</v>
      </c>
      <c r="E839">
        <f>_xlfn.XLOOKUP(Table4[[#This Row],[year]],Table1[year],Table1[year_id])</f>
        <v>8</v>
      </c>
      <c r="F839" t="s">
        <v>27</v>
      </c>
      <c r="G839" t="s">
        <v>28</v>
      </c>
      <c r="H839" cm="1">
        <f t="array" ref="H839">_xlfn.XLOOKUP(Table4[[#This Row],[vehicle_segment]]&amp;Table4[[#This Row],[powertrain_type]],Table3[vehicle_segment]&amp;Table3[powertrain_type],Table3[vehicle_id])</f>
        <v>1</v>
      </c>
      <c r="I839">
        <v>1104</v>
      </c>
      <c r="J839">
        <v>163948</v>
      </c>
      <c r="K839">
        <v>109298</v>
      </c>
      <c r="L839">
        <v>274350</v>
      </c>
      <c r="M839">
        <v>0.4</v>
      </c>
      <c r="N839">
        <v>9749</v>
      </c>
      <c r="O839">
        <v>27.1</v>
      </c>
      <c r="P839">
        <v>213</v>
      </c>
      <c r="Q839">
        <v>1.25</v>
      </c>
      <c r="R839">
        <v>0.10100000000000001</v>
      </c>
      <c r="S839">
        <v>29706</v>
      </c>
      <c r="T839">
        <v>81.599999999999994</v>
      </c>
      <c r="U839">
        <v>102.7</v>
      </c>
      <c r="V839">
        <v>6151</v>
      </c>
      <c r="W839">
        <v>60.3</v>
      </c>
      <c r="X839">
        <v>83.69</v>
      </c>
      <c r="Y839">
        <v>0</v>
      </c>
    </row>
    <row r="840" spans="1:25" x14ac:dyDescent="0.25">
      <c r="A840" t="s">
        <v>52</v>
      </c>
      <c r="B840">
        <f>_xlfn.XLOOKUP(Table4[[#This Row],[country]],Table2[country],Table2[country_id],FALSE)</f>
        <v>18</v>
      </c>
      <c r="C840" t="s">
        <v>40</v>
      </c>
      <c r="D840">
        <v>2017</v>
      </c>
      <c r="E840">
        <f>_xlfn.XLOOKUP(Table4[[#This Row],[year]],Table1[year],Table1[year_id])</f>
        <v>8</v>
      </c>
      <c r="F840" t="s">
        <v>29</v>
      </c>
      <c r="G840" t="s">
        <v>28</v>
      </c>
      <c r="H840" cm="1">
        <f t="array" ref="H840">_xlfn.XLOOKUP(Table4[[#This Row],[vehicle_segment]]&amp;Table4[[#This Row],[powertrain_type]],Table3[vehicle_segment]&amp;Table3[powertrain_type],Table3[vehicle_id])</f>
        <v>2</v>
      </c>
      <c r="I840">
        <v>12482</v>
      </c>
      <c r="J840">
        <v>944137</v>
      </c>
      <c r="K840">
        <v>128746</v>
      </c>
      <c r="L840">
        <v>1085365</v>
      </c>
      <c r="M840">
        <v>1.1499999999999999</v>
      </c>
      <c r="N840">
        <v>9749</v>
      </c>
      <c r="O840">
        <v>27.1</v>
      </c>
      <c r="P840">
        <v>213</v>
      </c>
      <c r="Q840">
        <v>1.25</v>
      </c>
      <c r="R840">
        <v>0.10100000000000001</v>
      </c>
      <c r="S840">
        <v>29706</v>
      </c>
      <c r="T840">
        <v>81.599999999999994</v>
      </c>
      <c r="U840">
        <v>102.7</v>
      </c>
      <c r="V840">
        <v>6151</v>
      </c>
      <c r="W840">
        <v>60.3</v>
      </c>
      <c r="X840">
        <v>81.56</v>
      </c>
      <c r="Y840">
        <v>0</v>
      </c>
    </row>
    <row r="841" spans="1:25" x14ac:dyDescent="0.25">
      <c r="A841" t="s">
        <v>52</v>
      </c>
      <c r="B841">
        <f>_xlfn.XLOOKUP(Table4[[#This Row],[country]],Table2[country],Table2[country_id],FALSE)</f>
        <v>18</v>
      </c>
      <c r="C841" t="s">
        <v>40</v>
      </c>
      <c r="D841">
        <v>2017</v>
      </c>
      <c r="E841">
        <f>_xlfn.XLOOKUP(Table4[[#This Row],[year]],Table1[year],Table1[year_id])</f>
        <v>8</v>
      </c>
      <c r="F841" t="s">
        <v>30</v>
      </c>
      <c r="G841" t="s">
        <v>28</v>
      </c>
      <c r="H841" cm="1">
        <f t="array" ref="H841">_xlfn.XLOOKUP(Table4[[#This Row],[vehicle_segment]]&amp;Table4[[#This Row],[powertrain_type]],Table3[vehicle_segment]&amp;Table3[powertrain_type],Table3[vehicle_id])</f>
        <v>3</v>
      </c>
      <c r="I841">
        <v>7561</v>
      </c>
      <c r="J841">
        <v>410177</v>
      </c>
      <c r="K841">
        <v>35668</v>
      </c>
      <c r="L841">
        <v>453406</v>
      </c>
      <c r="M841">
        <v>1.67</v>
      </c>
      <c r="N841">
        <v>9749</v>
      </c>
      <c r="O841">
        <v>27.1</v>
      </c>
      <c r="P841">
        <v>213</v>
      </c>
      <c r="Q841">
        <v>1.25</v>
      </c>
      <c r="R841">
        <v>0.10100000000000001</v>
      </c>
      <c r="S841">
        <v>29706</v>
      </c>
      <c r="T841">
        <v>81.599999999999994</v>
      </c>
      <c r="U841">
        <v>102.7</v>
      </c>
      <c r="V841">
        <v>6151</v>
      </c>
      <c r="W841">
        <v>60.3</v>
      </c>
      <c r="X841">
        <v>82.68</v>
      </c>
      <c r="Y841">
        <v>0</v>
      </c>
    </row>
    <row r="842" spans="1:25" x14ac:dyDescent="0.25">
      <c r="A842" t="s">
        <v>52</v>
      </c>
      <c r="B842">
        <f>_xlfn.XLOOKUP(Table4[[#This Row],[country]],Table2[country],Table2[country_id],FALSE)</f>
        <v>18</v>
      </c>
      <c r="C842" t="s">
        <v>40</v>
      </c>
      <c r="D842">
        <v>2018</v>
      </c>
      <c r="E842">
        <f>_xlfn.XLOOKUP(Table4[[#This Row],[year]],Table1[year],Table1[year_id])</f>
        <v>9</v>
      </c>
      <c r="F842" t="s">
        <v>27</v>
      </c>
      <c r="G842" t="s">
        <v>28</v>
      </c>
      <c r="H842" cm="1">
        <f t="array" ref="H842">_xlfn.XLOOKUP(Table4[[#This Row],[vehicle_segment]]&amp;Table4[[#This Row],[powertrain_type]],Table3[vehicle_segment]&amp;Table3[powertrain_type],Table3[vehicle_id])</f>
        <v>1</v>
      </c>
      <c r="I842">
        <v>1696</v>
      </c>
      <c r="J842">
        <v>160513</v>
      </c>
      <c r="K842">
        <v>107009</v>
      </c>
      <c r="L842">
        <v>269218</v>
      </c>
      <c r="M842">
        <v>0.63</v>
      </c>
      <c r="N842">
        <v>22623</v>
      </c>
      <c r="O842">
        <v>29.5</v>
      </c>
      <c r="P842">
        <v>266</v>
      </c>
      <c r="Q842">
        <v>1.27</v>
      </c>
      <c r="R842">
        <v>0.10100000000000001</v>
      </c>
      <c r="S842">
        <v>30357</v>
      </c>
      <c r="T842">
        <v>81.400000000000006</v>
      </c>
      <c r="U842">
        <v>101.5</v>
      </c>
      <c r="V842">
        <v>6456</v>
      </c>
      <c r="W842">
        <v>62.5</v>
      </c>
      <c r="X842">
        <v>53.62</v>
      </c>
      <c r="Y842">
        <v>0</v>
      </c>
    </row>
    <row r="843" spans="1:25" x14ac:dyDescent="0.25">
      <c r="A843" t="s">
        <v>52</v>
      </c>
      <c r="B843">
        <f>_xlfn.XLOOKUP(Table4[[#This Row],[country]],Table2[country],Table2[country_id],FALSE)</f>
        <v>18</v>
      </c>
      <c r="C843" t="s">
        <v>40</v>
      </c>
      <c r="D843">
        <v>2018</v>
      </c>
      <c r="E843">
        <f>_xlfn.XLOOKUP(Table4[[#This Row],[year]],Table1[year],Table1[year_id])</f>
        <v>9</v>
      </c>
      <c r="F843" t="s">
        <v>29</v>
      </c>
      <c r="G843" t="s">
        <v>28</v>
      </c>
      <c r="H843" cm="1">
        <f t="array" ref="H843">_xlfn.XLOOKUP(Table4[[#This Row],[vehicle_segment]]&amp;Table4[[#This Row],[powertrain_type]],Table3[vehicle_segment]&amp;Table3[powertrain_type],Table3[vehicle_id])</f>
        <v>2</v>
      </c>
      <c r="I843">
        <v>19841</v>
      </c>
      <c r="J843">
        <v>952523</v>
      </c>
      <c r="K843">
        <v>129890</v>
      </c>
      <c r="L843">
        <v>1102254</v>
      </c>
      <c r="M843">
        <v>1.8</v>
      </c>
      <c r="N843">
        <v>22623</v>
      </c>
      <c r="O843">
        <v>29.5</v>
      </c>
      <c r="P843">
        <v>266</v>
      </c>
      <c r="Q843">
        <v>1.27</v>
      </c>
      <c r="R843">
        <v>0.10100000000000001</v>
      </c>
      <c r="S843">
        <v>30357</v>
      </c>
      <c r="T843">
        <v>81.400000000000006</v>
      </c>
      <c r="U843">
        <v>101.5</v>
      </c>
      <c r="V843">
        <v>6456</v>
      </c>
      <c r="W843">
        <v>62.5</v>
      </c>
      <c r="X843">
        <v>58.96</v>
      </c>
      <c r="Y843">
        <v>0</v>
      </c>
    </row>
    <row r="844" spans="1:25" x14ac:dyDescent="0.25">
      <c r="A844" t="s">
        <v>52</v>
      </c>
      <c r="B844">
        <f>_xlfn.XLOOKUP(Table4[[#This Row],[country]],Table2[country],Table2[country_id],FALSE)</f>
        <v>18</v>
      </c>
      <c r="C844" t="s">
        <v>40</v>
      </c>
      <c r="D844">
        <v>2018</v>
      </c>
      <c r="E844">
        <f>_xlfn.XLOOKUP(Table4[[#This Row],[year]],Table1[year],Table1[year_id])</f>
        <v>9</v>
      </c>
      <c r="F844" t="s">
        <v>30</v>
      </c>
      <c r="G844" t="s">
        <v>28</v>
      </c>
      <c r="H844" cm="1">
        <f t="array" ref="H844">_xlfn.XLOOKUP(Table4[[#This Row],[vehicle_segment]]&amp;Table4[[#This Row],[powertrain_type]],Table3[vehicle_segment]&amp;Table3[powertrain_type],Table3[vehicle_id])</f>
        <v>3</v>
      </c>
      <c r="I844">
        <v>11922</v>
      </c>
      <c r="J844">
        <v>409273</v>
      </c>
      <c r="K844">
        <v>35589</v>
      </c>
      <c r="L844">
        <v>456784</v>
      </c>
      <c r="M844">
        <v>2.61</v>
      </c>
      <c r="N844">
        <v>22623</v>
      </c>
      <c r="O844">
        <v>29.5</v>
      </c>
      <c r="P844">
        <v>266</v>
      </c>
      <c r="Q844">
        <v>1.27</v>
      </c>
      <c r="R844">
        <v>0.10100000000000001</v>
      </c>
      <c r="S844">
        <v>30357</v>
      </c>
      <c r="T844">
        <v>81.400000000000006</v>
      </c>
      <c r="U844">
        <v>101.5</v>
      </c>
      <c r="V844">
        <v>6456</v>
      </c>
      <c r="W844">
        <v>62.5</v>
      </c>
      <c r="X844">
        <v>57.68</v>
      </c>
      <c r="Y844">
        <v>0</v>
      </c>
    </row>
    <row r="845" spans="1:25" x14ac:dyDescent="0.25">
      <c r="A845" t="s">
        <v>52</v>
      </c>
      <c r="B845">
        <f>_xlfn.XLOOKUP(Table4[[#This Row],[country]],Table2[country],Table2[country_id],FALSE)</f>
        <v>18</v>
      </c>
      <c r="C845" t="s">
        <v>40</v>
      </c>
      <c r="D845">
        <v>2019</v>
      </c>
      <c r="E845">
        <f>_xlfn.XLOOKUP(Table4[[#This Row],[year]],Table1[year],Table1[year_id])</f>
        <v>10</v>
      </c>
      <c r="F845" t="s">
        <v>27</v>
      </c>
      <c r="G845" t="s">
        <v>28</v>
      </c>
      <c r="H845" cm="1">
        <f t="array" ref="H845">_xlfn.XLOOKUP(Table4[[#This Row],[vehicle_segment]]&amp;Table4[[#This Row],[powertrain_type]],Table3[vehicle_segment]&amp;Table3[powertrain_type],Table3[vehicle_id])</f>
        <v>1</v>
      </c>
      <c r="I845">
        <v>2242</v>
      </c>
      <c r="J845">
        <v>158104</v>
      </c>
      <c r="K845">
        <v>105403</v>
      </c>
      <c r="L845">
        <v>265749</v>
      </c>
      <c r="M845">
        <v>0.84</v>
      </c>
      <c r="N845">
        <v>31425</v>
      </c>
      <c r="O845">
        <v>32.299999999999997</v>
      </c>
      <c r="P845">
        <v>298</v>
      </c>
      <c r="Q845">
        <v>1.327</v>
      </c>
      <c r="R845">
        <v>9.9000000000000005E-2</v>
      </c>
      <c r="S845">
        <v>31971</v>
      </c>
      <c r="T845">
        <v>81.7</v>
      </c>
      <c r="U845">
        <v>98.4</v>
      </c>
      <c r="V845">
        <v>6351</v>
      </c>
      <c r="W845">
        <v>66.099999999999994</v>
      </c>
      <c r="X845">
        <v>32.19</v>
      </c>
      <c r="Y845">
        <v>0</v>
      </c>
    </row>
    <row r="846" spans="1:25" x14ac:dyDescent="0.25">
      <c r="A846" t="s">
        <v>52</v>
      </c>
      <c r="B846">
        <f>_xlfn.XLOOKUP(Table4[[#This Row],[country]],Table2[country],Table2[country_id],FALSE)</f>
        <v>18</v>
      </c>
      <c r="C846" t="s">
        <v>40</v>
      </c>
      <c r="D846">
        <v>2019</v>
      </c>
      <c r="E846">
        <f>_xlfn.XLOOKUP(Table4[[#This Row],[year]],Table1[year],Table1[year_id])</f>
        <v>10</v>
      </c>
      <c r="F846" t="s">
        <v>29</v>
      </c>
      <c r="G846" t="s">
        <v>28</v>
      </c>
      <c r="H846" cm="1">
        <f t="array" ref="H846">_xlfn.XLOOKUP(Table4[[#This Row],[vehicle_segment]]&amp;Table4[[#This Row],[powertrain_type]],Table3[vehicle_segment]&amp;Table3[powertrain_type],Table3[vehicle_id])</f>
        <v>2</v>
      </c>
      <c r="I846">
        <v>25517</v>
      </c>
      <c r="J846">
        <v>909285</v>
      </c>
      <c r="K846">
        <v>123993</v>
      </c>
      <c r="L846">
        <v>1058795</v>
      </c>
      <c r="M846">
        <v>2.41</v>
      </c>
      <c r="N846">
        <v>31425</v>
      </c>
      <c r="O846">
        <v>32.299999999999997</v>
      </c>
      <c r="P846">
        <v>298</v>
      </c>
      <c r="Q846">
        <v>1.327</v>
      </c>
      <c r="R846">
        <v>9.9000000000000005E-2</v>
      </c>
      <c r="S846">
        <v>31971</v>
      </c>
      <c r="T846">
        <v>81.7</v>
      </c>
      <c r="U846">
        <v>98.4</v>
      </c>
      <c r="V846">
        <v>6351</v>
      </c>
      <c r="W846">
        <v>66.099999999999994</v>
      </c>
      <c r="X846">
        <v>28.61</v>
      </c>
      <c r="Y846">
        <v>0</v>
      </c>
    </row>
    <row r="847" spans="1:25" x14ac:dyDescent="0.25">
      <c r="A847" t="s">
        <v>52</v>
      </c>
      <c r="B847">
        <f>_xlfn.XLOOKUP(Table4[[#This Row],[country]],Table2[country],Table2[country_id],FALSE)</f>
        <v>18</v>
      </c>
      <c r="C847" t="s">
        <v>40</v>
      </c>
      <c r="D847">
        <v>2019</v>
      </c>
      <c r="E847">
        <f>_xlfn.XLOOKUP(Table4[[#This Row],[year]],Table1[year],Table1[year_id])</f>
        <v>10</v>
      </c>
      <c r="F847" t="s">
        <v>30</v>
      </c>
      <c r="G847" t="s">
        <v>28</v>
      </c>
      <c r="H847" cm="1">
        <f t="array" ref="H847">_xlfn.XLOOKUP(Table4[[#This Row],[vehicle_segment]]&amp;Table4[[#This Row],[powertrain_type]],Table3[vehicle_segment]&amp;Table3[powertrain_type],Table3[vehicle_id])</f>
        <v>3</v>
      </c>
      <c r="I847">
        <v>15642</v>
      </c>
      <c r="J847">
        <v>397430</v>
      </c>
      <c r="K847">
        <v>34559</v>
      </c>
      <c r="L847">
        <v>447631</v>
      </c>
      <c r="M847">
        <v>3.49</v>
      </c>
      <c r="N847">
        <v>31425</v>
      </c>
      <c r="O847">
        <v>32.299999999999997</v>
      </c>
      <c r="P847">
        <v>298</v>
      </c>
      <c r="Q847">
        <v>1.327</v>
      </c>
      <c r="R847">
        <v>9.9000000000000005E-2</v>
      </c>
      <c r="S847">
        <v>31971</v>
      </c>
      <c r="T847">
        <v>81.7</v>
      </c>
      <c r="U847">
        <v>98.4</v>
      </c>
      <c r="V847">
        <v>6351</v>
      </c>
      <c r="W847">
        <v>66.099999999999994</v>
      </c>
      <c r="X847">
        <v>31.2</v>
      </c>
      <c r="Y847">
        <v>0</v>
      </c>
    </row>
    <row r="848" spans="1:25" x14ac:dyDescent="0.25">
      <c r="A848" t="s">
        <v>52</v>
      </c>
      <c r="B848">
        <f>_xlfn.XLOOKUP(Table4[[#This Row],[country]],Table2[country],Table2[country_id],FALSE)</f>
        <v>18</v>
      </c>
      <c r="C848" t="s">
        <v>40</v>
      </c>
      <c r="D848">
        <v>2020</v>
      </c>
      <c r="E848">
        <f>_xlfn.XLOOKUP(Table4[[#This Row],[year]],Table1[year],Table1[year_id])</f>
        <v>11</v>
      </c>
      <c r="F848" t="s">
        <v>27</v>
      </c>
      <c r="G848" t="s">
        <v>28</v>
      </c>
      <c r="H848" cm="1">
        <f t="array" ref="H848">_xlfn.XLOOKUP(Table4[[#This Row],[vehicle_segment]]&amp;Table4[[#This Row],[powertrain_type]],Table3[vehicle_segment]&amp;Table3[powertrain_type],Table3[vehicle_id])</f>
        <v>1</v>
      </c>
      <c r="I848">
        <v>2353</v>
      </c>
      <c r="J848">
        <v>168775</v>
      </c>
      <c r="K848">
        <v>112517</v>
      </c>
      <c r="L848">
        <v>283645</v>
      </c>
      <c r="M848">
        <v>0.83</v>
      </c>
      <c r="N848">
        <v>56558</v>
      </c>
      <c r="O848">
        <v>33.6</v>
      </c>
      <c r="P848">
        <v>344</v>
      </c>
      <c r="Q848">
        <v>1.41</v>
      </c>
      <c r="R848">
        <v>0.10100000000000001</v>
      </c>
      <c r="S848">
        <v>31531</v>
      </c>
      <c r="T848">
        <v>81.400000000000006</v>
      </c>
      <c r="U848">
        <v>96</v>
      </c>
      <c r="V848">
        <v>6386</v>
      </c>
      <c r="W848">
        <v>67.900000000000006</v>
      </c>
      <c r="X848">
        <v>4.95</v>
      </c>
      <c r="Y848">
        <v>0</v>
      </c>
    </row>
    <row r="849" spans="1:25" x14ac:dyDescent="0.25">
      <c r="A849" t="s">
        <v>52</v>
      </c>
      <c r="B849">
        <f>_xlfn.XLOOKUP(Table4[[#This Row],[country]],Table2[country],Table2[country_id],FALSE)</f>
        <v>18</v>
      </c>
      <c r="C849" t="s">
        <v>40</v>
      </c>
      <c r="D849">
        <v>2020</v>
      </c>
      <c r="E849">
        <f>_xlfn.XLOOKUP(Table4[[#This Row],[year]],Table1[year],Table1[year_id])</f>
        <v>11</v>
      </c>
      <c r="F849" t="s">
        <v>29</v>
      </c>
      <c r="G849" t="s">
        <v>28</v>
      </c>
      <c r="H849" cm="1">
        <f t="array" ref="H849">_xlfn.XLOOKUP(Table4[[#This Row],[vehicle_segment]]&amp;Table4[[#This Row],[powertrain_type]],Table3[vehicle_segment]&amp;Table3[powertrain_type],Table3[vehicle_id])</f>
        <v>2</v>
      </c>
      <c r="I849">
        <v>26865</v>
      </c>
      <c r="J849">
        <v>973863</v>
      </c>
      <c r="K849">
        <v>132800</v>
      </c>
      <c r="L849">
        <v>1133528</v>
      </c>
      <c r="M849">
        <v>2.37</v>
      </c>
      <c r="N849">
        <v>56558</v>
      </c>
      <c r="O849">
        <v>33.6</v>
      </c>
      <c r="P849">
        <v>344</v>
      </c>
      <c r="Q849">
        <v>1.41</v>
      </c>
      <c r="R849">
        <v>0.10100000000000001</v>
      </c>
      <c r="S849">
        <v>31531</v>
      </c>
      <c r="T849">
        <v>81.400000000000006</v>
      </c>
      <c r="U849">
        <v>96</v>
      </c>
      <c r="V849">
        <v>6386</v>
      </c>
      <c r="W849">
        <v>67.900000000000006</v>
      </c>
      <c r="X849">
        <v>5.28</v>
      </c>
      <c r="Y849">
        <v>0</v>
      </c>
    </row>
    <row r="850" spans="1:25" x14ac:dyDescent="0.25">
      <c r="A850" t="s">
        <v>52</v>
      </c>
      <c r="B850">
        <f>_xlfn.XLOOKUP(Table4[[#This Row],[country]],Table2[country],Table2[country_id],FALSE)</f>
        <v>18</v>
      </c>
      <c r="C850" t="s">
        <v>40</v>
      </c>
      <c r="D850">
        <v>2020</v>
      </c>
      <c r="E850">
        <f>_xlfn.XLOOKUP(Table4[[#This Row],[year]],Table1[year],Table1[year_id])</f>
        <v>11</v>
      </c>
      <c r="F850" t="s">
        <v>30</v>
      </c>
      <c r="G850" t="s">
        <v>28</v>
      </c>
      <c r="H850" cm="1">
        <f t="array" ref="H850">_xlfn.XLOOKUP(Table4[[#This Row],[vehicle_segment]]&amp;Table4[[#This Row],[powertrain_type]],Table3[vehicle_segment]&amp;Table3[powertrain_type],Table3[vehicle_id])</f>
        <v>3</v>
      </c>
      <c r="I850">
        <v>16229</v>
      </c>
      <c r="J850">
        <v>419556</v>
      </c>
      <c r="K850">
        <v>36483</v>
      </c>
      <c r="L850">
        <v>472268</v>
      </c>
      <c r="M850">
        <v>3.44</v>
      </c>
      <c r="N850">
        <v>56558</v>
      </c>
      <c r="O850">
        <v>33.6</v>
      </c>
      <c r="P850">
        <v>344</v>
      </c>
      <c r="Q850">
        <v>1.41</v>
      </c>
      <c r="R850">
        <v>0.10100000000000001</v>
      </c>
      <c r="S850">
        <v>31531</v>
      </c>
      <c r="T850">
        <v>81.400000000000006</v>
      </c>
      <c r="U850">
        <v>96</v>
      </c>
      <c r="V850">
        <v>6386</v>
      </c>
      <c r="W850">
        <v>67.900000000000006</v>
      </c>
      <c r="X850">
        <v>3.75</v>
      </c>
      <c r="Y850">
        <v>0</v>
      </c>
    </row>
    <row r="851" spans="1:25" x14ac:dyDescent="0.25">
      <c r="A851" t="s">
        <v>52</v>
      </c>
      <c r="B851">
        <f>_xlfn.XLOOKUP(Table4[[#This Row],[country]],Table2[country],Table2[country_id],FALSE)</f>
        <v>18</v>
      </c>
      <c r="C851" t="s">
        <v>40</v>
      </c>
      <c r="D851">
        <v>2021</v>
      </c>
      <c r="E851">
        <f>_xlfn.XLOOKUP(Table4[[#This Row],[year]],Table1[year],Table1[year_id])</f>
        <v>12</v>
      </c>
      <c r="F851" t="s">
        <v>27</v>
      </c>
      <c r="G851" t="s">
        <v>28</v>
      </c>
      <c r="H851" cm="1">
        <f t="array" ref="H851">_xlfn.XLOOKUP(Table4[[#This Row],[vehicle_segment]]&amp;Table4[[#This Row],[powertrain_type]],Table3[vehicle_segment]&amp;Table3[powertrain_type],Table3[vehicle_id])</f>
        <v>1</v>
      </c>
      <c r="I851">
        <v>4968</v>
      </c>
      <c r="J851">
        <v>151579</v>
      </c>
      <c r="K851">
        <v>101053</v>
      </c>
      <c r="L851">
        <v>257600</v>
      </c>
      <c r="M851">
        <v>1.93</v>
      </c>
      <c r="N851">
        <v>91122</v>
      </c>
      <c r="O851">
        <v>38.200000000000003</v>
      </c>
      <c r="P851">
        <v>371</v>
      </c>
      <c r="Q851">
        <v>1.5269999999999999</v>
      </c>
      <c r="R851">
        <v>0.10299999999999999</v>
      </c>
      <c r="S851">
        <v>32350</v>
      </c>
      <c r="T851">
        <v>81.2</v>
      </c>
      <c r="U851">
        <v>94.6</v>
      </c>
      <c r="V851">
        <v>5930</v>
      </c>
      <c r="W851">
        <v>72.099999999999994</v>
      </c>
      <c r="X851">
        <v>111.13</v>
      </c>
      <c r="Y851">
        <v>0</v>
      </c>
    </row>
    <row r="852" spans="1:25" x14ac:dyDescent="0.25">
      <c r="A852" t="s">
        <v>52</v>
      </c>
      <c r="B852">
        <f>_xlfn.XLOOKUP(Table4[[#This Row],[country]],Table2[country],Table2[country_id],FALSE)</f>
        <v>18</v>
      </c>
      <c r="C852" t="s">
        <v>40</v>
      </c>
      <c r="D852">
        <v>2021</v>
      </c>
      <c r="E852">
        <f>_xlfn.XLOOKUP(Table4[[#This Row],[year]],Table1[year],Table1[year_id])</f>
        <v>12</v>
      </c>
      <c r="F852" t="s">
        <v>29</v>
      </c>
      <c r="G852" t="s">
        <v>28</v>
      </c>
      <c r="H852" cm="1">
        <f t="array" ref="H852">_xlfn.XLOOKUP(Table4[[#This Row],[vehicle_segment]]&amp;Table4[[#This Row],[powertrain_type]],Table3[vehicle_segment]&amp;Table3[powertrain_type],Table3[vehicle_id])</f>
        <v>2</v>
      </c>
      <c r="I852">
        <v>56488</v>
      </c>
      <c r="J852">
        <v>852459</v>
      </c>
      <c r="K852">
        <v>116244</v>
      </c>
      <c r="L852">
        <v>1025191</v>
      </c>
      <c r="M852">
        <v>5.51</v>
      </c>
      <c r="N852">
        <v>91122</v>
      </c>
      <c r="O852">
        <v>38.200000000000003</v>
      </c>
      <c r="P852">
        <v>371</v>
      </c>
      <c r="Q852">
        <v>1.5269999999999999</v>
      </c>
      <c r="R852">
        <v>0.10299999999999999</v>
      </c>
      <c r="S852">
        <v>32350</v>
      </c>
      <c r="T852">
        <v>81.2</v>
      </c>
      <c r="U852">
        <v>94.6</v>
      </c>
      <c r="V852">
        <v>5930</v>
      </c>
      <c r="W852">
        <v>72.099999999999994</v>
      </c>
      <c r="X852">
        <v>110.27</v>
      </c>
      <c r="Y852">
        <v>0</v>
      </c>
    </row>
    <row r="853" spans="1:25" x14ac:dyDescent="0.25">
      <c r="A853" t="s">
        <v>52</v>
      </c>
      <c r="B853">
        <f>_xlfn.XLOOKUP(Table4[[#This Row],[country]],Table2[country],Table2[country_id],FALSE)</f>
        <v>18</v>
      </c>
      <c r="C853" t="s">
        <v>40</v>
      </c>
      <c r="D853">
        <v>2021</v>
      </c>
      <c r="E853">
        <f>_xlfn.XLOOKUP(Table4[[#This Row],[year]],Table1[year],Table1[year_id])</f>
        <v>12</v>
      </c>
      <c r="F853" t="s">
        <v>30</v>
      </c>
      <c r="G853" t="s">
        <v>28</v>
      </c>
      <c r="H853" cm="1">
        <f t="array" ref="H853">_xlfn.XLOOKUP(Table4[[#This Row],[vehicle_segment]]&amp;Table4[[#This Row],[powertrain_type]],Table3[vehicle_segment]&amp;Table3[powertrain_type],Table3[vehicle_id])</f>
        <v>3</v>
      </c>
      <c r="I853">
        <v>33891</v>
      </c>
      <c r="J853">
        <v>359081</v>
      </c>
      <c r="K853">
        <v>31224</v>
      </c>
      <c r="L853">
        <v>424196</v>
      </c>
      <c r="M853">
        <v>7.99</v>
      </c>
      <c r="N853">
        <v>91122</v>
      </c>
      <c r="O853">
        <v>38.200000000000003</v>
      </c>
      <c r="P853">
        <v>371</v>
      </c>
      <c r="Q853">
        <v>1.5269999999999999</v>
      </c>
      <c r="R853">
        <v>0.10299999999999999</v>
      </c>
      <c r="S853">
        <v>32350</v>
      </c>
      <c r="T853">
        <v>81.2</v>
      </c>
      <c r="U853">
        <v>94.6</v>
      </c>
      <c r="V853">
        <v>5930</v>
      </c>
      <c r="W853">
        <v>72.099999999999994</v>
      </c>
      <c r="X853">
        <v>108.83</v>
      </c>
      <c r="Y853">
        <v>0</v>
      </c>
    </row>
    <row r="854" spans="1:25" x14ac:dyDescent="0.25">
      <c r="A854" t="s">
        <v>52</v>
      </c>
      <c r="B854">
        <f>_xlfn.XLOOKUP(Table4[[#This Row],[country]],Table2[country],Table2[country_id],FALSE)</f>
        <v>18</v>
      </c>
      <c r="C854" t="s">
        <v>40</v>
      </c>
      <c r="D854">
        <v>2022</v>
      </c>
      <c r="E854">
        <f>_xlfn.XLOOKUP(Table4[[#This Row],[year]],Table1[year],Table1[year_id])</f>
        <v>13</v>
      </c>
      <c r="F854" t="s">
        <v>27</v>
      </c>
      <c r="G854" t="s">
        <v>28</v>
      </c>
      <c r="H854" cm="1">
        <f t="array" ref="H854">_xlfn.XLOOKUP(Table4[[#This Row],[vehicle_segment]]&amp;Table4[[#This Row],[powertrain_type]],Table3[vehicle_segment]&amp;Table3[powertrain_type],Table3[vehicle_id])</f>
        <v>1</v>
      </c>
      <c r="I854">
        <v>9271</v>
      </c>
      <c r="J854">
        <v>149487</v>
      </c>
      <c r="K854">
        <v>99658</v>
      </c>
      <c r="L854">
        <v>258416</v>
      </c>
      <c r="M854">
        <v>3.59</v>
      </c>
      <c r="N854">
        <v>127353</v>
      </c>
      <c r="O854">
        <v>38</v>
      </c>
      <c r="P854">
        <v>402</v>
      </c>
      <c r="Q854">
        <v>1.573</v>
      </c>
      <c r="R854">
        <v>0.111</v>
      </c>
      <c r="S854">
        <v>32123</v>
      </c>
      <c r="T854">
        <v>81.3</v>
      </c>
      <c r="U854">
        <v>93.9</v>
      </c>
      <c r="V854">
        <v>5455</v>
      </c>
      <c r="W854">
        <v>74.599999999999994</v>
      </c>
      <c r="X854">
        <v>86.61</v>
      </c>
      <c r="Y854">
        <v>0</v>
      </c>
    </row>
    <row r="855" spans="1:25" x14ac:dyDescent="0.25">
      <c r="A855" t="s">
        <v>52</v>
      </c>
      <c r="B855">
        <f>_xlfn.XLOOKUP(Table4[[#This Row],[country]],Table2[country],Table2[country_id],FALSE)</f>
        <v>18</v>
      </c>
      <c r="C855" t="s">
        <v>40</v>
      </c>
      <c r="D855">
        <v>2022</v>
      </c>
      <c r="E855">
        <f>_xlfn.XLOOKUP(Table4[[#This Row],[year]],Table1[year],Table1[year_id])</f>
        <v>13</v>
      </c>
      <c r="F855" t="s">
        <v>29</v>
      </c>
      <c r="G855" t="s">
        <v>28</v>
      </c>
      <c r="H855" cm="1">
        <f t="array" ref="H855">_xlfn.XLOOKUP(Table4[[#This Row],[vehicle_segment]]&amp;Table4[[#This Row],[powertrain_type]],Table3[vehicle_segment]&amp;Table3[powertrain_type],Table3[vehicle_id])</f>
        <v>2</v>
      </c>
      <c r="I855">
        <v>103921</v>
      </c>
      <c r="J855">
        <v>800753</v>
      </c>
      <c r="K855">
        <v>109194</v>
      </c>
      <c r="L855">
        <v>1013868</v>
      </c>
      <c r="M855">
        <v>10.25</v>
      </c>
      <c r="N855">
        <v>127353</v>
      </c>
      <c r="O855">
        <v>38</v>
      </c>
      <c r="P855">
        <v>402</v>
      </c>
      <c r="Q855">
        <v>1.573</v>
      </c>
      <c r="R855">
        <v>0.111</v>
      </c>
      <c r="S855">
        <v>32123</v>
      </c>
      <c r="T855">
        <v>81.3</v>
      </c>
      <c r="U855">
        <v>93.9</v>
      </c>
      <c r="V855">
        <v>5455</v>
      </c>
      <c r="W855">
        <v>74.599999999999994</v>
      </c>
      <c r="X855">
        <v>83.97</v>
      </c>
      <c r="Y855">
        <v>0</v>
      </c>
    </row>
    <row r="856" spans="1:25" x14ac:dyDescent="0.25">
      <c r="A856" t="s">
        <v>52</v>
      </c>
      <c r="B856">
        <f>_xlfn.XLOOKUP(Table4[[#This Row],[country]],Table2[country],Table2[country_id],FALSE)</f>
        <v>18</v>
      </c>
      <c r="C856" t="s">
        <v>40</v>
      </c>
      <c r="D856">
        <v>2022</v>
      </c>
      <c r="E856">
        <f>_xlfn.XLOOKUP(Table4[[#This Row],[year]],Table1[year],Table1[year_id])</f>
        <v>13</v>
      </c>
      <c r="F856" t="s">
        <v>30</v>
      </c>
      <c r="G856" t="s">
        <v>28</v>
      </c>
      <c r="H856" cm="1">
        <f t="array" ref="H856">_xlfn.XLOOKUP(Table4[[#This Row],[vehicle_segment]]&amp;Table4[[#This Row],[powertrain_type]],Table3[vehicle_segment]&amp;Table3[powertrain_type],Table3[vehicle_id])</f>
        <v>3</v>
      </c>
      <c r="I856">
        <v>63946</v>
      </c>
      <c r="J856">
        <v>337000</v>
      </c>
      <c r="K856">
        <v>29304</v>
      </c>
      <c r="L856">
        <v>430250</v>
      </c>
      <c r="M856">
        <v>14.86</v>
      </c>
      <c r="N856">
        <v>127353</v>
      </c>
      <c r="O856">
        <v>38</v>
      </c>
      <c r="P856">
        <v>402</v>
      </c>
      <c r="Q856">
        <v>1.573</v>
      </c>
      <c r="R856">
        <v>0.111</v>
      </c>
      <c r="S856">
        <v>32123</v>
      </c>
      <c r="T856">
        <v>81.3</v>
      </c>
      <c r="U856">
        <v>93.9</v>
      </c>
      <c r="V856">
        <v>5455</v>
      </c>
      <c r="W856">
        <v>74.599999999999994</v>
      </c>
      <c r="X856">
        <v>88.68</v>
      </c>
      <c r="Y856">
        <v>0</v>
      </c>
    </row>
    <row r="857" spans="1:25" x14ac:dyDescent="0.25">
      <c r="A857" t="s">
        <v>52</v>
      </c>
      <c r="B857">
        <f>_xlfn.XLOOKUP(Table4[[#This Row],[country]],Table2[country],Table2[country_id],FALSE)</f>
        <v>18</v>
      </c>
      <c r="C857" t="s">
        <v>40</v>
      </c>
      <c r="D857">
        <v>2023</v>
      </c>
      <c r="E857">
        <f>_xlfn.XLOOKUP(Table4[[#This Row],[year]],Table1[year],Table1[year_id])</f>
        <v>14</v>
      </c>
      <c r="F857" t="s">
        <v>27</v>
      </c>
      <c r="G857" t="s">
        <v>28</v>
      </c>
      <c r="H857" cm="1">
        <f t="array" ref="H857">_xlfn.XLOOKUP(Table4[[#This Row],[vehicle_segment]]&amp;Table4[[#This Row],[powertrain_type]],Table3[vehicle_segment]&amp;Table3[powertrain_type],Table3[vehicle_id])</f>
        <v>1</v>
      </c>
      <c r="I857">
        <v>9985</v>
      </c>
      <c r="J857">
        <v>147944</v>
      </c>
      <c r="K857">
        <v>98630</v>
      </c>
      <c r="L857">
        <v>256559</v>
      </c>
      <c r="M857">
        <v>3.89</v>
      </c>
      <c r="N857">
        <v>172705</v>
      </c>
      <c r="O857">
        <v>39.6</v>
      </c>
      <c r="P857">
        <v>430</v>
      </c>
      <c r="Q857">
        <v>1.587</v>
      </c>
      <c r="R857">
        <v>0.11700000000000001</v>
      </c>
      <c r="S857">
        <v>33307</v>
      </c>
      <c r="T857">
        <v>81.400000000000006</v>
      </c>
      <c r="U857">
        <v>91.9</v>
      </c>
      <c r="V857">
        <v>5356</v>
      </c>
      <c r="W857">
        <v>76.2</v>
      </c>
      <c r="X857">
        <v>7.7</v>
      </c>
      <c r="Y857">
        <v>0</v>
      </c>
    </row>
    <row r="858" spans="1:25" x14ac:dyDescent="0.25">
      <c r="A858" t="s">
        <v>52</v>
      </c>
      <c r="B858">
        <f>_xlfn.XLOOKUP(Table4[[#This Row],[country]],Table2[country],Table2[country_id],FALSE)</f>
        <v>18</v>
      </c>
      <c r="C858" t="s">
        <v>40</v>
      </c>
      <c r="D858">
        <v>2023</v>
      </c>
      <c r="E858">
        <f>_xlfn.XLOOKUP(Table4[[#This Row],[year]],Table1[year],Table1[year_id])</f>
        <v>14</v>
      </c>
      <c r="F858" t="s">
        <v>29</v>
      </c>
      <c r="G858" t="s">
        <v>28</v>
      </c>
      <c r="H858" cm="1">
        <f t="array" ref="H858">_xlfn.XLOOKUP(Table4[[#This Row],[vehicle_segment]]&amp;Table4[[#This Row],[powertrain_type]],Table3[vehicle_segment]&amp;Table3[powertrain_type],Table3[vehicle_id])</f>
        <v>2</v>
      </c>
      <c r="I858">
        <v>115542</v>
      </c>
      <c r="J858">
        <v>812687</v>
      </c>
      <c r="K858">
        <v>110821</v>
      </c>
      <c r="L858">
        <v>1039050</v>
      </c>
      <c r="M858">
        <v>11.12</v>
      </c>
      <c r="N858">
        <v>172705</v>
      </c>
      <c r="O858">
        <v>39.6</v>
      </c>
      <c r="P858">
        <v>430</v>
      </c>
      <c r="Q858">
        <v>1.587</v>
      </c>
      <c r="R858">
        <v>0.11700000000000001</v>
      </c>
      <c r="S858">
        <v>33307</v>
      </c>
      <c r="T858">
        <v>81.400000000000006</v>
      </c>
      <c r="U858">
        <v>91.9</v>
      </c>
      <c r="V858">
        <v>5356</v>
      </c>
      <c r="W858">
        <v>76.2</v>
      </c>
      <c r="X858">
        <v>11.18</v>
      </c>
      <c r="Y858">
        <v>0</v>
      </c>
    </row>
    <row r="859" spans="1:25" x14ac:dyDescent="0.25">
      <c r="A859" t="s">
        <v>52</v>
      </c>
      <c r="B859">
        <f>_xlfn.XLOOKUP(Table4[[#This Row],[country]],Table2[country],Table2[country_id],FALSE)</f>
        <v>18</v>
      </c>
      <c r="C859" t="s">
        <v>40</v>
      </c>
      <c r="D859">
        <v>2023</v>
      </c>
      <c r="E859">
        <f>_xlfn.XLOOKUP(Table4[[#This Row],[year]],Table1[year],Table1[year_id])</f>
        <v>14</v>
      </c>
      <c r="F859" t="s">
        <v>30</v>
      </c>
      <c r="G859" t="s">
        <v>28</v>
      </c>
      <c r="H859" cm="1">
        <f t="array" ref="H859">_xlfn.XLOOKUP(Table4[[#This Row],[vehicle_segment]]&amp;Table4[[#This Row],[powertrain_type]],Table3[vehicle_segment]&amp;Table3[powertrain_type],Table3[vehicle_id])</f>
        <v>3</v>
      </c>
      <c r="I859">
        <v>68756</v>
      </c>
      <c r="J859">
        <v>329053</v>
      </c>
      <c r="K859">
        <v>28613</v>
      </c>
      <c r="L859">
        <v>426422</v>
      </c>
      <c r="M859">
        <v>16.12</v>
      </c>
      <c r="N859">
        <v>172705</v>
      </c>
      <c r="O859">
        <v>39.6</v>
      </c>
      <c r="P859">
        <v>430</v>
      </c>
      <c r="Q859">
        <v>1.587</v>
      </c>
      <c r="R859">
        <v>0.11700000000000001</v>
      </c>
      <c r="S859">
        <v>33307</v>
      </c>
      <c r="T859">
        <v>81.400000000000006</v>
      </c>
      <c r="U859">
        <v>91.9</v>
      </c>
      <c r="V859">
        <v>5356</v>
      </c>
      <c r="W859">
        <v>76.2</v>
      </c>
      <c r="X859">
        <v>7.52</v>
      </c>
      <c r="Y859">
        <v>0</v>
      </c>
    </row>
    <row r="860" spans="1:25" x14ac:dyDescent="0.25">
      <c r="A860" t="s">
        <v>52</v>
      </c>
      <c r="B860">
        <f>_xlfn.XLOOKUP(Table4[[#This Row],[country]],Table2[country],Table2[country_id],FALSE)</f>
        <v>18</v>
      </c>
      <c r="C860" t="s">
        <v>40</v>
      </c>
      <c r="D860">
        <v>2024</v>
      </c>
      <c r="E860">
        <f>_xlfn.XLOOKUP(Table4[[#This Row],[year]],Table1[year],Table1[year_id])</f>
        <v>15</v>
      </c>
      <c r="F860" t="s">
        <v>27</v>
      </c>
      <c r="G860" t="s">
        <v>28</v>
      </c>
      <c r="H860" cm="1">
        <f t="array" ref="H860">_xlfn.XLOOKUP(Table4[[#This Row],[vehicle_segment]]&amp;Table4[[#This Row],[powertrain_type]],Table3[vehicle_segment]&amp;Table3[powertrain_type],Table3[vehicle_id])</f>
        <v>1</v>
      </c>
      <c r="I860">
        <v>11947</v>
      </c>
      <c r="J860">
        <v>144313</v>
      </c>
      <c r="K860">
        <v>96208</v>
      </c>
      <c r="L860">
        <v>252468</v>
      </c>
      <c r="M860">
        <v>4.7300000000000004</v>
      </c>
      <c r="N860">
        <v>211626</v>
      </c>
      <c r="O860">
        <v>42.4</v>
      </c>
      <c r="P860">
        <v>456</v>
      </c>
      <c r="Q860">
        <v>1.5469999999999999</v>
      </c>
      <c r="R860">
        <v>0.125</v>
      </c>
      <c r="S860">
        <v>34764</v>
      </c>
      <c r="T860">
        <v>81.5</v>
      </c>
      <c r="U860">
        <v>88.9</v>
      </c>
      <c r="V860">
        <v>5171</v>
      </c>
      <c r="W860">
        <v>79.099999999999994</v>
      </c>
      <c r="X860">
        <v>19.649999999999999</v>
      </c>
      <c r="Y860">
        <v>0</v>
      </c>
    </row>
    <row r="861" spans="1:25" x14ac:dyDescent="0.25">
      <c r="A861" t="s">
        <v>52</v>
      </c>
      <c r="B861">
        <f>_xlfn.XLOOKUP(Table4[[#This Row],[country]],Table2[country],Table2[country_id],FALSE)</f>
        <v>18</v>
      </c>
      <c r="C861" t="s">
        <v>40</v>
      </c>
      <c r="D861">
        <v>2024</v>
      </c>
      <c r="E861">
        <f>_xlfn.XLOOKUP(Table4[[#This Row],[year]],Table1[year],Table1[year_id])</f>
        <v>15</v>
      </c>
      <c r="F861" t="s">
        <v>29</v>
      </c>
      <c r="G861" t="s">
        <v>28</v>
      </c>
      <c r="H861" cm="1">
        <f t="array" ref="H861">_xlfn.XLOOKUP(Table4[[#This Row],[vehicle_segment]]&amp;Table4[[#This Row],[powertrain_type]],Table3[vehicle_segment]&amp;Table3[powertrain_type],Table3[vehicle_id])</f>
        <v>2</v>
      </c>
      <c r="I861">
        <v>138551</v>
      </c>
      <c r="J861">
        <v>779889</v>
      </c>
      <c r="K861">
        <v>106348</v>
      </c>
      <c r="L861">
        <v>1024788</v>
      </c>
      <c r="M861">
        <v>13.52</v>
      </c>
      <c r="N861">
        <v>211626</v>
      </c>
      <c r="O861">
        <v>42.4</v>
      </c>
      <c r="P861">
        <v>456</v>
      </c>
      <c r="Q861">
        <v>1.5469999999999999</v>
      </c>
      <c r="R861">
        <v>0.125</v>
      </c>
      <c r="S861">
        <v>34764</v>
      </c>
      <c r="T861">
        <v>81.5</v>
      </c>
      <c r="U861">
        <v>88.9</v>
      </c>
      <c r="V861">
        <v>5171</v>
      </c>
      <c r="W861">
        <v>79.099999999999994</v>
      </c>
      <c r="X861">
        <v>19.91</v>
      </c>
      <c r="Y861">
        <v>0</v>
      </c>
    </row>
    <row r="862" spans="1:25" x14ac:dyDescent="0.25">
      <c r="A862" t="s">
        <v>52</v>
      </c>
      <c r="B862">
        <f>_xlfn.XLOOKUP(Table4[[#This Row],[country]],Table2[country],Table2[country_id],FALSE)</f>
        <v>18</v>
      </c>
      <c r="C862" t="s">
        <v>40</v>
      </c>
      <c r="D862">
        <v>2024</v>
      </c>
      <c r="E862">
        <f>_xlfn.XLOOKUP(Table4[[#This Row],[year]],Table1[year],Table1[year_id])</f>
        <v>15</v>
      </c>
      <c r="F862" t="s">
        <v>30</v>
      </c>
      <c r="G862" t="s">
        <v>28</v>
      </c>
      <c r="H862" cm="1">
        <f t="array" ref="H862">_xlfn.XLOOKUP(Table4[[#This Row],[vehicle_segment]]&amp;Table4[[#This Row],[powertrain_type]],Table3[vehicle_segment]&amp;Table3[powertrain_type],Table3[vehicle_id])</f>
        <v>3</v>
      </c>
      <c r="I862">
        <v>82777</v>
      </c>
      <c r="J862">
        <v>312313</v>
      </c>
      <c r="K862">
        <v>27158</v>
      </c>
      <c r="L862">
        <v>422248</v>
      </c>
      <c r="M862">
        <v>19.600000000000001</v>
      </c>
      <c r="N862">
        <v>211626</v>
      </c>
      <c r="O862">
        <v>42.4</v>
      </c>
      <c r="P862">
        <v>456</v>
      </c>
      <c r="Q862">
        <v>1.5469999999999999</v>
      </c>
      <c r="R862">
        <v>0.125</v>
      </c>
      <c r="S862">
        <v>34764</v>
      </c>
      <c r="T862">
        <v>81.5</v>
      </c>
      <c r="U862">
        <v>88.9</v>
      </c>
      <c r="V862">
        <v>5171</v>
      </c>
      <c r="W862">
        <v>79.099999999999994</v>
      </c>
      <c r="X862">
        <v>20.39</v>
      </c>
      <c r="Y862">
        <v>0</v>
      </c>
    </row>
    <row r="863" spans="1:25" x14ac:dyDescent="0.25">
      <c r="A863" t="s">
        <v>52</v>
      </c>
      <c r="B863">
        <f>_xlfn.XLOOKUP(Table4[[#This Row],[country]],Table2[country],Table2[country_id],FALSE)</f>
        <v>18</v>
      </c>
      <c r="C863" t="s">
        <v>40</v>
      </c>
      <c r="D863">
        <v>2025</v>
      </c>
      <c r="E863">
        <f>_xlfn.XLOOKUP(Table4[[#This Row],[year]],Table1[year],Table1[year_id])</f>
        <v>16</v>
      </c>
      <c r="F863" t="s">
        <v>27</v>
      </c>
      <c r="G863" t="s">
        <v>28</v>
      </c>
      <c r="H863" cm="1">
        <f t="array" ref="H863">_xlfn.XLOOKUP(Table4[[#This Row],[vehicle_segment]]&amp;Table4[[#This Row],[powertrain_type]],Table3[vehicle_segment]&amp;Table3[powertrain_type],Table3[vehicle_id])</f>
        <v>1</v>
      </c>
      <c r="I863">
        <v>13924</v>
      </c>
      <c r="J863">
        <v>145444</v>
      </c>
      <c r="K863">
        <v>96962</v>
      </c>
      <c r="L863">
        <v>256330</v>
      </c>
      <c r="M863">
        <v>5.43</v>
      </c>
      <c r="N863">
        <v>249268</v>
      </c>
      <c r="O863">
        <v>44.6</v>
      </c>
      <c r="P863">
        <v>480</v>
      </c>
      <c r="Q863">
        <v>1.51</v>
      </c>
      <c r="R863">
        <v>0.13</v>
      </c>
      <c r="S863">
        <v>35678</v>
      </c>
      <c r="T863">
        <v>81.400000000000006</v>
      </c>
      <c r="U863">
        <v>87.1</v>
      </c>
      <c r="V863">
        <v>5060</v>
      </c>
      <c r="W863">
        <v>83.3</v>
      </c>
      <c r="X863">
        <v>16.55</v>
      </c>
      <c r="Y863">
        <v>0</v>
      </c>
    </row>
    <row r="864" spans="1:25" x14ac:dyDescent="0.25">
      <c r="A864" t="s">
        <v>52</v>
      </c>
      <c r="B864">
        <f>_xlfn.XLOOKUP(Table4[[#This Row],[country]],Table2[country],Table2[country_id],FALSE)</f>
        <v>18</v>
      </c>
      <c r="C864" t="s">
        <v>40</v>
      </c>
      <c r="D864">
        <v>2025</v>
      </c>
      <c r="E864">
        <f>_xlfn.XLOOKUP(Table4[[#This Row],[year]],Table1[year],Table1[year_id])</f>
        <v>16</v>
      </c>
      <c r="F864" t="s">
        <v>29</v>
      </c>
      <c r="G864" t="s">
        <v>28</v>
      </c>
      <c r="H864" cm="1">
        <f t="array" ref="H864">_xlfn.XLOOKUP(Table4[[#This Row],[vehicle_segment]]&amp;Table4[[#This Row],[powertrain_type]],Table3[vehicle_segment]&amp;Table3[powertrain_type],Table3[vehicle_id])</f>
        <v>2</v>
      </c>
      <c r="I864">
        <v>161254</v>
      </c>
      <c r="J864">
        <v>772425</v>
      </c>
      <c r="K864">
        <v>105331</v>
      </c>
      <c r="L864">
        <v>1039010</v>
      </c>
      <c r="M864">
        <v>15.52</v>
      </c>
      <c r="N864">
        <v>249268</v>
      </c>
      <c r="O864">
        <v>44.6</v>
      </c>
      <c r="P864">
        <v>480</v>
      </c>
      <c r="Q864">
        <v>1.51</v>
      </c>
      <c r="R864">
        <v>0.13</v>
      </c>
      <c r="S864">
        <v>35678</v>
      </c>
      <c r="T864">
        <v>81.400000000000006</v>
      </c>
      <c r="U864">
        <v>87.1</v>
      </c>
      <c r="V864">
        <v>5060</v>
      </c>
      <c r="W864">
        <v>83.3</v>
      </c>
      <c r="X864">
        <v>16.39</v>
      </c>
      <c r="Y864">
        <v>0</v>
      </c>
    </row>
    <row r="865" spans="1:25" x14ac:dyDescent="0.25">
      <c r="A865" t="s">
        <v>52</v>
      </c>
      <c r="B865">
        <f>_xlfn.XLOOKUP(Table4[[#This Row],[country]],Table2[country],Table2[country_id],FALSE)</f>
        <v>18</v>
      </c>
      <c r="C865" t="s">
        <v>40</v>
      </c>
      <c r="D865">
        <v>2025</v>
      </c>
      <c r="E865">
        <f>_xlfn.XLOOKUP(Table4[[#This Row],[year]],Table1[year],Table1[year_id])</f>
        <v>16</v>
      </c>
      <c r="F865" t="s">
        <v>30</v>
      </c>
      <c r="G865" t="s">
        <v>28</v>
      </c>
      <c r="H865" cm="1">
        <f t="array" ref="H865">_xlfn.XLOOKUP(Table4[[#This Row],[vehicle_segment]]&amp;Table4[[#This Row],[powertrain_type]],Table3[vehicle_segment]&amp;Table3[powertrain_type],Table3[vehicle_id])</f>
        <v>3</v>
      </c>
      <c r="I865">
        <v>97283</v>
      </c>
      <c r="J865">
        <v>308206</v>
      </c>
      <c r="K865">
        <v>26801</v>
      </c>
      <c r="L865">
        <v>432290</v>
      </c>
      <c r="M865">
        <v>22.5</v>
      </c>
      <c r="N865">
        <v>249268</v>
      </c>
      <c r="O865">
        <v>44.6</v>
      </c>
      <c r="P865">
        <v>480</v>
      </c>
      <c r="Q865">
        <v>1.51</v>
      </c>
      <c r="R865">
        <v>0.13</v>
      </c>
      <c r="S865">
        <v>35678</v>
      </c>
      <c r="T865">
        <v>81.400000000000006</v>
      </c>
      <c r="U865">
        <v>87.1</v>
      </c>
      <c r="V865">
        <v>5060</v>
      </c>
      <c r="W865">
        <v>83.3</v>
      </c>
      <c r="X865">
        <v>17.52</v>
      </c>
      <c r="Y865">
        <v>0</v>
      </c>
    </row>
    <row r="866" spans="1:25" x14ac:dyDescent="0.25">
      <c r="A866" t="s">
        <v>53</v>
      </c>
      <c r="B866">
        <f>_xlfn.XLOOKUP(Table4[[#This Row],[country]],Table2[country],Table2[country_id],FALSE)</f>
        <v>19</v>
      </c>
      <c r="C866" t="s">
        <v>32</v>
      </c>
      <c r="D866">
        <v>2010</v>
      </c>
      <c r="E866">
        <f>_xlfn.XLOOKUP(Table4[[#This Row],[year]],Table1[year],Table1[year_id])</f>
        <v>1</v>
      </c>
      <c r="F866" t="s">
        <v>27</v>
      </c>
      <c r="G866" t="s">
        <v>28</v>
      </c>
      <c r="H866" cm="1">
        <f t="array" ref="H866">_xlfn.XLOOKUP(Table4[[#This Row],[vehicle_segment]]&amp;Table4[[#This Row],[powertrain_type]],Table3[vehicle_segment]&amp;Table3[powertrain_type],Table3[vehicle_id])</f>
        <v>1</v>
      </c>
      <c r="I866">
        <v>5</v>
      </c>
      <c r="J866">
        <v>87781</v>
      </c>
      <c r="K866">
        <v>58520</v>
      </c>
      <c r="L866">
        <v>146306</v>
      </c>
      <c r="M866">
        <v>0</v>
      </c>
      <c r="N866">
        <v>51</v>
      </c>
      <c r="O866">
        <v>2.2000000000000002</v>
      </c>
      <c r="P866">
        <v>125</v>
      </c>
      <c r="Q866">
        <v>1.21</v>
      </c>
      <c r="R866">
        <v>0.18099999999999999</v>
      </c>
      <c r="S866">
        <v>30720</v>
      </c>
      <c r="T866">
        <v>78.7</v>
      </c>
      <c r="U866">
        <v>89.9</v>
      </c>
      <c r="V866">
        <v>0</v>
      </c>
      <c r="W866">
        <v>47.5</v>
      </c>
      <c r="X866">
        <v>0</v>
      </c>
      <c r="Y866">
        <v>0</v>
      </c>
    </row>
    <row r="867" spans="1:25" x14ac:dyDescent="0.25">
      <c r="A867" t="s">
        <v>53</v>
      </c>
      <c r="B867">
        <f>_xlfn.XLOOKUP(Table4[[#This Row],[country]],Table2[country],Table2[country_id],FALSE)</f>
        <v>19</v>
      </c>
      <c r="C867" t="s">
        <v>32</v>
      </c>
      <c r="D867">
        <v>2010</v>
      </c>
      <c r="E867">
        <f>_xlfn.XLOOKUP(Table4[[#This Row],[year]],Table1[year],Table1[year_id])</f>
        <v>1</v>
      </c>
      <c r="F867" t="s">
        <v>29</v>
      </c>
      <c r="G867" t="s">
        <v>28</v>
      </c>
      <c r="H867" cm="1">
        <f t="array" ref="H867">_xlfn.XLOOKUP(Table4[[#This Row],[vehicle_segment]]&amp;Table4[[#This Row],[powertrain_type]],Table3[vehicle_segment]&amp;Table3[powertrain_type],Table3[vehicle_id])</f>
        <v>2</v>
      </c>
      <c r="I867">
        <v>57</v>
      </c>
      <c r="J867">
        <v>503052</v>
      </c>
      <c r="K867">
        <v>68598</v>
      </c>
      <c r="L867">
        <v>571707</v>
      </c>
      <c r="M867">
        <v>0.01</v>
      </c>
      <c r="N867">
        <v>51</v>
      </c>
      <c r="O867">
        <v>2.2000000000000002</v>
      </c>
      <c r="P867">
        <v>125</v>
      </c>
      <c r="Q867">
        <v>1.21</v>
      </c>
      <c r="R867">
        <v>0.18099999999999999</v>
      </c>
      <c r="S867">
        <v>30720</v>
      </c>
      <c r="T867">
        <v>78.7</v>
      </c>
      <c r="U867">
        <v>89.9</v>
      </c>
      <c r="V867">
        <v>0</v>
      </c>
      <c r="W867">
        <v>47.5</v>
      </c>
      <c r="X867">
        <v>0</v>
      </c>
      <c r="Y867">
        <v>0</v>
      </c>
    </row>
    <row r="868" spans="1:25" x14ac:dyDescent="0.25">
      <c r="A868" t="s">
        <v>53</v>
      </c>
      <c r="B868">
        <f>_xlfn.XLOOKUP(Table4[[#This Row],[country]],Table2[country],Table2[country_id],FALSE)</f>
        <v>19</v>
      </c>
      <c r="C868" t="s">
        <v>32</v>
      </c>
      <c r="D868">
        <v>2010</v>
      </c>
      <c r="E868">
        <f>_xlfn.XLOOKUP(Table4[[#This Row],[year]],Table1[year],Table1[year_id])</f>
        <v>1</v>
      </c>
      <c r="F868" t="s">
        <v>30</v>
      </c>
      <c r="G868" t="s">
        <v>28</v>
      </c>
      <c r="H868" cm="1">
        <f t="array" ref="H868">_xlfn.XLOOKUP(Table4[[#This Row],[vehicle_segment]]&amp;Table4[[#This Row],[powertrain_type]],Table3[vehicle_segment]&amp;Table3[powertrain_type],Table3[vehicle_id])</f>
        <v>3</v>
      </c>
      <c r="I868">
        <v>36</v>
      </c>
      <c r="J868">
        <v>225706</v>
      </c>
      <c r="K868">
        <v>19627</v>
      </c>
      <c r="L868">
        <v>245369</v>
      </c>
      <c r="M868">
        <v>0.01</v>
      </c>
      <c r="N868">
        <v>51</v>
      </c>
      <c r="O868">
        <v>2.2000000000000002</v>
      </c>
      <c r="P868">
        <v>125</v>
      </c>
      <c r="Q868">
        <v>1.21</v>
      </c>
      <c r="R868">
        <v>0.18099999999999999</v>
      </c>
      <c r="S868">
        <v>30720</v>
      </c>
      <c r="T868">
        <v>78.7</v>
      </c>
      <c r="U868">
        <v>89.9</v>
      </c>
      <c r="V868">
        <v>0</v>
      </c>
      <c r="W868">
        <v>47.5</v>
      </c>
      <c r="X868">
        <v>0</v>
      </c>
      <c r="Y868">
        <v>0</v>
      </c>
    </row>
    <row r="869" spans="1:25" x14ac:dyDescent="0.25">
      <c r="A869" t="s">
        <v>53</v>
      </c>
      <c r="B869">
        <f>_xlfn.XLOOKUP(Table4[[#This Row],[country]],Table2[country],Table2[country_id],FALSE)</f>
        <v>19</v>
      </c>
      <c r="C869" t="s">
        <v>32</v>
      </c>
      <c r="D869">
        <v>2011</v>
      </c>
      <c r="E869">
        <f>_xlfn.XLOOKUP(Table4[[#This Row],[year]],Table1[year],Table1[year_id])</f>
        <v>2</v>
      </c>
      <c r="F869" t="s">
        <v>27</v>
      </c>
      <c r="G869" t="s">
        <v>28</v>
      </c>
      <c r="H869" cm="1">
        <f t="array" ref="H869">_xlfn.XLOOKUP(Table4[[#This Row],[vehicle_segment]]&amp;Table4[[#This Row],[powertrain_type]],Table3[vehicle_segment]&amp;Table3[powertrain_type],Table3[vehicle_id])</f>
        <v>1</v>
      </c>
      <c r="I869">
        <v>9</v>
      </c>
      <c r="J869">
        <v>79589</v>
      </c>
      <c r="K869">
        <v>53059</v>
      </c>
      <c r="L869">
        <v>132657</v>
      </c>
      <c r="M869">
        <v>0.01</v>
      </c>
      <c r="N869">
        <v>194</v>
      </c>
      <c r="O869">
        <v>2.6</v>
      </c>
      <c r="P869">
        <v>129</v>
      </c>
      <c r="Q869">
        <v>1.1870000000000001</v>
      </c>
      <c r="R869">
        <v>0.191</v>
      </c>
      <c r="S869">
        <v>29742</v>
      </c>
      <c r="T869">
        <v>78.7</v>
      </c>
      <c r="U869">
        <v>87.8</v>
      </c>
      <c r="V869">
        <v>684</v>
      </c>
      <c r="W869">
        <v>49</v>
      </c>
      <c r="X869">
        <v>80</v>
      </c>
      <c r="Y869">
        <v>0</v>
      </c>
    </row>
    <row r="870" spans="1:25" x14ac:dyDescent="0.25">
      <c r="A870" t="s">
        <v>53</v>
      </c>
      <c r="B870">
        <f>_xlfn.XLOOKUP(Table4[[#This Row],[country]],Table2[country],Table2[country_id],FALSE)</f>
        <v>19</v>
      </c>
      <c r="C870" t="s">
        <v>32</v>
      </c>
      <c r="D870">
        <v>2011</v>
      </c>
      <c r="E870">
        <f>_xlfn.XLOOKUP(Table4[[#This Row],[year]],Table1[year],Table1[year_id])</f>
        <v>2</v>
      </c>
      <c r="F870" t="s">
        <v>29</v>
      </c>
      <c r="G870" t="s">
        <v>28</v>
      </c>
      <c r="H870" cm="1">
        <f t="array" ref="H870">_xlfn.XLOOKUP(Table4[[#This Row],[vehicle_segment]]&amp;Table4[[#This Row],[powertrain_type]],Table3[vehicle_segment]&amp;Table3[powertrain_type],Table3[vehicle_id])</f>
        <v>2</v>
      </c>
      <c r="I870">
        <v>109</v>
      </c>
      <c r="J870">
        <v>478930</v>
      </c>
      <c r="K870">
        <v>65309</v>
      </c>
      <c r="L870">
        <v>544348</v>
      </c>
      <c r="M870">
        <v>0.02</v>
      </c>
      <c r="N870">
        <v>194</v>
      </c>
      <c r="O870">
        <v>2.6</v>
      </c>
      <c r="P870">
        <v>129</v>
      </c>
      <c r="Q870">
        <v>1.1870000000000001</v>
      </c>
      <c r="R870">
        <v>0.191</v>
      </c>
      <c r="S870">
        <v>29742</v>
      </c>
      <c r="T870">
        <v>78.7</v>
      </c>
      <c r="U870">
        <v>87.8</v>
      </c>
      <c r="V870">
        <v>684</v>
      </c>
      <c r="W870">
        <v>49</v>
      </c>
      <c r="X870">
        <v>91.23</v>
      </c>
      <c r="Y870">
        <v>0</v>
      </c>
    </row>
    <row r="871" spans="1:25" x14ac:dyDescent="0.25">
      <c r="A871" t="s">
        <v>53</v>
      </c>
      <c r="B871">
        <f>_xlfn.XLOOKUP(Table4[[#This Row],[country]],Table2[country],Table2[country_id],FALSE)</f>
        <v>19</v>
      </c>
      <c r="C871" t="s">
        <v>32</v>
      </c>
      <c r="D871">
        <v>2011</v>
      </c>
      <c r="E871">
        <f>_xlfn.XLOOKUP(Table4[[#This Row],[year]],Table1[year],Table1[year_id])</f>
        <v>2</v>
      </c>
      <c r="F871" t="s">
        <v>30</v>
      </c>
      <c r="G871" t="s">
        <v>28</v>
      </c>
      <c r="H871" cm="1">
        <f t="array" ref="H871">_xlfn.XLOOKUP(Table4[[#This Row],[vehicle_segment]]&amp;Table4[[#This Row],[powertrain_type]],Table3[vehicle_segment]&amp;Table3[powertrain_type],Table3[vehicle_id])</f>
        <v>3</v>
      </c>
      <c r="I871">
        <v>65</v>
      </c>
      <c r="J871">
        <v>206014</v>
      </c>
      <c r="K871">
        <v>17914</v>
      </c>
      <c r="L871">
        <v>223993</v>
      </c>
      <c r="M871">
        <v>0.03</v>
      </c>
      <c r="N871">
        <v>194</v>
      </c>
      <c r="O871">
        <v>2.6</v>
      </c>
      <c r="P871">
        <v>129</v>
      </c>
      <c r="Q871">
        <v>1.1870000000000001</v>
      </c>
      <c r="R871">
        <v>0.191</v>
      </c>
      <c r="S871">
        <v>29742</v>
      </c>
      <c r="T871">
        <v>78.7</v>
      </c>
      <c r="U871">
        <v>87.8</v>
      </c>
      <c r="V871">
        <v>684</v>
      </c>
      <c r="W871">
        <v>49</v>
      </c>
      <c r="X871">
        <v>80.56</v>
      </c>
      <c r="Y871">
        <v>0</v>
      </c>
    </row>
    <row r="872" spans="1:25" x14ac:dyDescent="0.25">
      <c r="A872" t="s">
        <v>53</v>
      </c>
      <c r="B872">
        <f>_xlfn.XLOOKUP(Table4[[#This Row],[country]],Table2[country],Table2[country_id],FALSE)</f>
        <v>19</v>
      </c>
      <c r="C872" t="s">
        <v>32</v>
      </c>
      <c r="D872">
        <v>2012</v>
      </c>
      <c r="E872">
        <f>_xlfn.XLOOKUP(Table4[[#This Row],[year]],Table1[year],Table1[year_id])</f>
        <v>3</v>
      </c>
      <c r="F872" t="s">
        <v>27</v>
      </c>
      <c r="G872" t="s">
        <v>28</v>
      </c>
      <c r="H872" cm="1">
        <f t="array" ref="H872">_xlfn.XLOOKUP(Table4[[#This Row],[vehicle_segment]]&amp;Table4[[#This Row],[powertrain_type]],Table3[vehicle_segment]&amp;Table3[powertrain_type],Table3[vehicle_id])</f>
        <v>1</v>
      </c>
      <c r="I872">
        <v>17</v>
      </c>
      <c r="J872">
        <v>70979</v>
      </c>
      <c r="K872">
        <v>47320</v>
      </c>
      <c r="L872">
        <v>118316</v>
      </c>
      <c r="M872">
        <v>0.01</v>
      </c>
      <c r="N872">
        <v>343</v>
      </c>
      <c r="O872">
        <v>2.9</v>
      </c>
      <c r="P872">
        <v>146</v>
      </c>
      <c r="Q872">
        <v>1.173</v>
      </c>
      <c r="R872">
        <v>0.19800000000000001</v>
      </c>
      <c r="S872">
        <v>28432</v>
      </c>
      <c r="T872">
        <v>78.7</v>
      </c>
      <c r="U872">
        <v>85.6</v>
      </c>
      <c r="V872">
        <v>1392</v>
      </c>
      <c r="W872">
        <v>49.2</v>
      </c>
      <c r="X872">
        <v>84.39</v>
      </c>
      <c r="Y872">
        <v>0</v>
      </c>
    </row>
    <row r="873" spans="1:25" x14ac:dyDescent="0.25">
      <c r="A873" t="s">
        <v>53</v>
      </c>
      <c r="B873">
        <f>_xlfn.XLOOKUP(Table4[[#This Row],[country]],Table2[country],Table2[country_id],FALSE)</f>
        <v>19</v>
      </c>
      <c r="C873" t="s">
        <v>32</v>
      </c>
      <c r="D873">
        <v>2012</v>
      </c>
      <c r="E873">
        <f>_xlfn.XLOOKUP(Table4[[#This Row],[year]],Table1[year],Table1[year_id])</f>
        <v>3</v>
      </c>
      <c r="F873" t="s">
        <v>29</v>
      </c>
      <c r="G873" t="s">
        <v>28</v>
      </c>
      <c r="H873" cm="1">
        <f t="array" ref="H873">_xlfn.XLOOKUP(Table4[[#This Row],[vehicle_segment]]&amp;Table4[[#This Row],[powertrain_type]],Table3[vehicle_segment]&amp;Table3[powertrain_type],Table3[vehicle_id])</f>
        <v>2</v>
      </c>
      <c r="I873">
        <v>197</v>
      </c>
      <c r="J873">
        <v>432966</v>
      </c>
      <c r="K873">
        <v>59041</v>
      </c>
      <c r="L873">
        <v>492204</v>
      </c>
      <c r="M873">
        <v>0.04</v>
      </c>
      <c r="N873">
        <v>343</v>
      </c>
      <c r="O873">
        <v>2.9</v>
      </c>
      <c r="P873">
        <v>146</v>
      </c>
      <c r="Q873">
        <v>1.173</v>
      </c>
      <c r="R873">
        <v>0.19800000000000001</v>
      </c>
      <c r="S873">
        <v>28432</v>
      </c>
      <c r="T873">
        <v>78.7</v>
      </c>
      <c r="U873">
        <v>85.6</v>
      </c>
      <c r="V873">
        <v>1392</v>
      </c>
      <c r="W873">
        <v>49.2</v>
      </c>
      <c r="X873">
        <v>80.73</v>
      </c>
      <c r="Y873">
        <v>0</v>
      </c>
    </row>
    <row r="874" spans="1:25" x14ac:dyDescent="0.25">
      <c r="A874" t="s">
        <v>53</v>
      </c>
      <c r="B874">
        <f>_xlfn.XLOOKUP(Table4[[#This Row],[country]],Table2[country],Table2[country_id],FALSE)</f>
        <v>19</v>
      </c>
      <c r="C874" t="s">
        <v>32</v>
      </c>
      <c r="D874">
        <v>2012</v>
      </c>
      <c r="E874">
        <f>_xlfn.XLOOKUP(Table4[[#This Row],[year]],Table1[year],Table1[year_id])</f>
        <v>3</v>
      </c>
      <c r="F874" t="s">
        <v>30</v>
      </c>
      <c r="G874" t="s">
        <v>28</v>
      </c>
      <c r="H874" cm="1">
        <f t="array" ref="H874">_xlfn.XLOOKUP(Table4[[#This Row],[vehicle_segment]]&amp;Table4[[#This Row],[powertrain_type]],Table3[vehicle_segment]&amp;Table3[powertrain_type],Table3[vehicle_id])</f>
        <v>3</v>
      </c>
      <c r="I874">
        <v>115</v>
      </c>
      <c r="J874">
        <v>181784</v>
      </c>
      <c r="K874">
        <v>15807</v>
      </c>
      <c r="L874">
        <v>197706</v>
      </c>
      <c r="M874">
        <v>0.06</v>
      </c>
      <c r="N874">
        <v>343</v>
      </c>
      <c r="O874">
        <v>2.9</v>
      </c>
      <c r="P874">
        <v>146</v>
      </c>
      <c r="Q874">
        <v>1.173</v>
      </c>
      <c r="R874">
        <v>0.19800000000000001</v>
      </c>
      <c r="S874">
        <v>28432</v>
      </c>
      <c r="T874">
        <v>78.7</v>
      </c>
      <c r="U874">
        <v>85.6</v>
      </c>
      <c r="V874">
        <v>1392</v>
      </c>
      <c r="W874">
        <v>49.2</v>
      </c>
      <c r="X874">
        <v>78.73</v>
      </c>
      <c r="Y874">
        <v>0</v>
      </c>
    </row>
    <row r="875" spans="1:25" x14ac:dyDescent="0.25">
      <c r="A875" t="s">
        <v>53</v>
      </c>
      <c r="B875">
        <f>_xlfn.XLOOKUP(Table4[[#This Row],[country]],Table2[country],Table2[country_id],FALSE)</f>
        <v>19</v>
      </c>
      <c r="C875" t="s">
        <v>32</v>
      </c>
      <c r="D875">
        <v>2013</v>
      </c>
      <c r="E875">
        <f>_xlfn.XLOOKUP(Table4[[#This Row],[year]],Table1[year],Table1[year_id])</f>
        <v>4</v>
      </c>
      <c r="F875" t="s">
        <v>27</v>
      </c>
      <c r="G875" t="s">
        <v>28</v>
      </c>
      <c r="H875" cm="1">
        <f t="array" ref="H875">_xlfn.XLOOKUP(Table4[[#This Row],[vehicle_segment]]&amp;Table4[[#This Row],[powertrain_type]],Table3[vehicle_segment]&amp;Table3[powertrain_type],Table3[vehicle_id])</f>
        <v>1</v>
      </c>
      <c r="I875">
        <v>48</v>
      </c>
      <c r="J875">
        <v>63243</v>
      </c>
      <c r="K875">
        <v>42162</v>
      </c>
      <c r="L875">
        <v>105453</v>
      </c>
      <c r="M875">
        <v>0.05</v>
      </c>
      <c r="N875">
        <v>513</v>
      </c>
      <c r="O875">
        <v>3.6</v>
      </c>
      <c r="P875">
        <v>151</v>
      </c>
      <c r="Q875">
        <v>1.17</v>
      </c>
      <c r="R875">
        <v>0.20599999999999999</v>
      </c>
      <c r="S875">
        <v>27959</v>
      </c>
      <c r="T875">
        <v>79.3</v>
      </c>
      <c r="U875">
        <v>84.3</v>
      </c>
      <c r="V875">
        <v>2102</v>
      </c>
      <c r="W875">
        <v>53.6</v>
      </c>
      <c r="X875">
        <v>112.53</v>
      </c>
      <c r="Y875">
        <v>0</v>
      </c>
    </row>
    <row r="876" spans="1:25" x14ac:dyDescent="0.25">
      <c r="A876" t="s">
        <v>53</v>
      </c>
      <c r="B876">
        <f>_xlfn.XLOOKUP(Table4[[#This Row],[country]],Table2[country],Table2[country_id],FALSE)</f>
        <v>19</v>
      </c>
      <c r="C876" t="s">
        <v>32</v>
      </c>
      <c r="D876">
        <v>2013</v>
      </c>
      <c r="E876">
        <f>_xlfn.XLOOKUP(Table4[[#This Row],[year]],Table1[year],Table1[year_id])</f>
        <v>4</v>
      </c>
      <c r="F876" t="s">
        <v>29</v>
      </c>
      <c r="G876" t="s">
        <v>28</v>
      </c>
      <c r="H876" cm="1">
        <f t="array" ref="H876">_xlfn.XLOOKUP(Table4[[#This Row],[vehicle_segment]]&amp;Table4[[#This Row],[powertrain_type]],Table3[vehicle_segment]&amp;Table3[powertrain_type],Table3[vehicle_id])</f>
        <v>2</v>
      </c>
      <c r="I876">
        <v>559</v>
      </c>
      <c r="J876">
        <v>377628</v>
      </c>
      <c r="K876">
        <v>51495</v>
      </c>
      <c r="L876">
        <v>429682</v>
      </c>
      <c r="M876">
        <v>0.13</v>
      </c>
      <c r="N876">
        <v>513</v>
      </c>
      <c r="O876">
        <v>3.6</v>
      </c>
      <c r="P876">
        <v>151</v>
      </c>
      <c r="Q876">
        <v>1.17</v>
      </c>
      <c r="R876">
        <v>0.20599999999999999</v>
      </c>
      <c r="S876">
        <v>27959</v>
      </c>
      <c r="T876">
        <v>79.3</v>
      </c>
      <c r="U876">
        <v>84.3</v>
      </c>
      <c r="V876">
        <v>2102</v>
      </c>
      <c r="W876">
        <v>53.6</v>
      </c>
      <c r="X876">
        <v>183.76</v>
      </c>
      <c r="Y876">
        <v>0</v>
      </c>
    </row>
    <row r="877" spans="1:25" x14ac:dyDescent="0.25">
      <c r="A877" t="s">
        <v>53</v>
      </c>
      <c r="B877">
        <f>_xlfn.XLOOKUP(Table4[[#This Row],[country]],Table2[country],Table2[country_id],FALSE)</f>
        <v>19</v>
      </c>
      <c r="C877" t="s">
        <v>32</v>
      </c>
      <c r="D877">
        <v>2013</v>
      </c>
      <c r="E877">
        <f>_xlfn.XLOOKUP(Table4[[#This Row],[year]],Table1[year],Table1[year_id])</f>
        <v>4</v>
      </c>
      <c r="F877" t="s">
        <v>30</v>
      </c>
      <c r="G877" t="s">
        <v>28</v>
      </c>
      <c r="H877" cm="1">
        <f t="array" ref="H877">_xlfn.XLOOKUP(Table4[[#This Row],[vehicle_segment]]&amp;Table4[[#This Row],[powertrain_type]],Table3[vehicle_segment]&amp;Table3[powertrain_type],Table3[vehicle_id])</f>
        <v>3</v>
      </c>
      <c r="I877">
        <v>334</v>
      </c>
      <c r="J877">
        <v>162708</v>
      </c>
      <c r="K877">
        <v>14148</v>
      </c>
      <c r="L877">
        <v>177190</v>
      </c>
      <c r="M877">
        <v>0.19</v>
      </c>
      <c r="N877">
        <v>513</v>
      </c>
      <c r="O877">
        <v>3.6</v>
      </c>
      <c r="P877">
        <v>151</v>
      </c>
      <c r="Q877">
        <v>1.17</v>
      </c>
      <c r="R877">
        <v>0.20599999999999999</v>
      </c>
      <c r="S877">
        <v>27959</v>
      </c>
      <c r="T877">
        <v>79.3</v>
      </c>
      <c r="U877">
        <v>84.3</v>
      </c>
      <c r="V877">
        <v>2102</v>
      </c>
      <c r="W877">
        <v>53.6</v>
      </c>
      <c r="X877">
        <v>190.43</v>
      </c>
      <c r="Y877">
        <v>0</v>
      </c>
    </row>
    <row r="878" spans="1:25" x14ac:dyDescent="0.25">
      <c r="A878" t="s">
        <v>53</v>
      </c>
      <c r="B878">
        <f>_xlfn.XLOOKUP(Table4[[#This Row],[country]],Table2[country],Table2[country_id],FALSE)</f>
        <v>19</v>
      </c>
      <c r="C878" t="s">
        <v>32</v>
      </c>
      <c r="D878">
        <v>2014</v>
      </c>
      <c r="E878">
        <f>_xlfn.XLOOKUP(Table4[[#This Row],[year]],Table1[year],Table1[year_id])</f>
        <v>5</v>
      </c>
      <c r="F878" t="s">
        <v>27</v>
      </c>
      <c r="G878" t="s">
        <v>28</v>
      </c>
      <c r="H878" cm="1">
        <f t="array" ref="H878">_xlfn.XLOOKUP(Table4[[#This Row],[vehicle_segment]]&amp;Table4[[#This Row],[powertrain_type]],Table3[vehicle_segment]&amp;Table3[powertrain_type],Table3[vehicle_id])</f>
        <v>1</v>
      </c>
      <c r="I878">
        <v>84</v>
      </c>
      <c r="J878">
        <v>79781</v>
      </c>
      <c r="K878">
        <v>53187</v>
      </c>
      <c r="L878">
        <v>133052</v>
      </c>
      <c r="M878">
        <v>0.06</v>
      </c>
      <c r="N878">
        <v>1289</v>
      </c>
      <c r="O878">
        <v>4.4000000000000004</v>
      </c>
      <c r="P878">
        <v>159</v>
      </c>
      <c r="Q878">
        <v>1.17</v>
      </c>
      <c r="R878">
        <v>0.216</v>
      </c>
      <c r="S878">
        <v>26581</v>
      </c>
      <c r="T878">
        <v>79.7</v>
      </c>
      <c r="U878">
        <v>82.6</v>
      </c>
      <c r="V878">
        <v>2788</v>
      </c>
      <c r="W878">
        <v>54.9</v>
      </c>
      <c r="X878">
        <v>110.55</v>
      </c>
      <c r="Y878">
        <v>0</v>
      </c>
    </row>
    <row r="879" spans="1:25" x14ac:dyDescent="0.25">
      <c r="A879" t="s">
        <v>53</v>
      </c>
      <c r="B879">
        <f>_xlfn.XLOOKUP(Table4[[#This Row],[country]],Table2[country],Table2[country_id],FALSE)</f>
        <v>19</v>
      </c>
      <c r="C879" t="s">
        <v>32</v>
      </c>
      <c r="D879">
        <v>2014</v>
      </c>
      <c r="E879">
        <f>_xlfn.XLOOKUP(Table4[[#This Row],[year]],Table1[year],Table1[year_id])</f>
        <v>5</v>
      </c>
      <c r="F879" t="s">
        <v>29</v>
      </c>
      <c r="G879" t="s">
        <v>28</v>
      </c>
      <c r="H879" cm="1">
        <f t="array" ref="H879">_xlfn.XLOOKUP(Table4[[#This Row],[vehicle_segment]]&amp;Table4[[#This Row],[powertrain_type]],Table3[vehicle_segment]&amp;Table3[powertrain_type],Table3[vehicle_id])</f>
        <v>2</v>
      </c>
      <c r="I879">
        <v>963</v>
      </c>
      <c r="J879">
        <v>470168</v>
      </c>
      <c r="K879">
        <v>64114</v>
      </c>
      <c r="L879">
        <v>535245</v>
      </c>
      <c r="M879">
        <v>0.18</v>
      </c>
      <c r="N879">
        <v>1289</v>
      </c>
      <c r="O879">
        <v>4.4000000000000004</v>
      </c>
      <c r="P879">
        <v>159</v>
      </c>
      <c r="Q879">
        <v>1.17</v>
      </c>
      <c r="R879">
        <v>0.216</v>
      </c>
      <c r="S879">
        <v>26581</v>
      </c>
      <c r="T879">
        <v>79.7</v>
      </c>
      <c r="U879">
        <v>82.6</v>
      </c>
      <c r="V879">
        <v>2788</v>
      </c>
      <c r="W879">
        <v>54.9</v>
      </c>
      <c r="X879">
        <v>72.27</v>
      </c>
      <c r="Y879">
        <v>0</v>
      </c>
    </row>
    <row r="880" spans="1:25" x14ac:dyDescent="0.25">
      <c r="A880" t="s">
        <v>53</v>
      </c>
      <c r="B880">
        <f>_xlfn.XLOOKUP(Table4[[#This Row],[country]],Table2[country],Table2[country_id],FALSE)</f>
        <v>19</v>
      </c>
      <c r="C880" t="s">
        <v>32</v>
      </c>
      <c r="D880">
        <v>2014</v>
      </c>
      <c r="E880">
        <f>_xlfn.XLOOKUP(Table4[[#This Row],[year]],Table1[year],Table1[year_id])</f>
        <v>5</v>
      </c>
      <c r="F880" t="s">
        <v>30</v>
      </c>
      <c r="G880" t="s">
        <v>28</v>
      </c>
      <c r="H880" cm="1">
        <f t="array" ref="H880">_xlfn.XLOOKUP(Table4[[#This Row],[vehicle_segment]]&amp;Table4[[#This Row],[powertrain_type]],Table3[vehicle_segment]&amp;Table3[powertrain_type],Table3[vehicle_id])</f>
        <v>3</v>
      </c>
      <c r="I880">
        <v>582</v>
      </c>
      <c r="J880">
        <v>204450</v>
      </c>
      <c r="K880">
        <v>17778</v>
      </c>
      <c r="L880">
        <v>222810</v>
      </c>
      <c r="M880">
        <v>0.26</v>
      </c>
      <c r="N880">
        <v>1289</v>
      </c>
      <c r="O880">
        <v>4.4000000000000004</v>
      </c>
      <c r="P880">
        <v>159</v>
      </c>
      <c r="Q880">
        <v>1.17</v>
      </c>
      <c r="R880">
        <v>0.216</v>
      </c>
      <c r="S880">
        <v>26581</v>
      </c>
      <c r="T880">
        <v>79.7</v>
      </c>
      <c r="U880">
        <v>82.6</v>
      </c>
      <c r="V880">
        <v>2788</v>
      </c>
      <c r="W880">
        <v>54.9</v>
      </c>
      <c r="X880">
        <v>74.25</v>
      </c>
      <c r="Y880">
        <v>0</v>
      </c>
    </row>
    <row r="881" spans="1:25" x14ac:dyDescent="0.25">
      <c r="A881" t="s">
        <v>53</v>
      </c>
      <c r="B881">
        <f>_xlfn.XLOOKUP(Table4[[#This Row],[country]],Table2[country],Table2[country_id],FALSE)</f>
        <v>19</v>
      </c>
      <c r="C881" t="s">
        <v>32</v>
      </c>
      <c r="D881">
        <v>2015</v>
      </c>
      <c r="E881">
        <f>_xlfn.XLOOKUP(Table4[[#This Row],[year]],Table1[year],Table1[year_id])</f>
        <v>6</v>
      </c>
      <c r="F881" t="s">
        <v>27</v>
      </c>
      <c r="G881" t="s">
        <v>28</v>
      </c>
      <c r="H881" cm="1">
        <f t="array" ref="H881">_xlfn.XLOOKUP(Table4[[#This Row],[vehicle_segment]]&amp;Table4[[#This Row],[powertrain_type]],Table3[vehicle_segment]&amp;Table3[powertrain_type],Table3[vehicle_id])</f>
        <v>1</v>
      </c>
      <c r="I881">
        <v>156</v>
      </c>
      <c r="J881">
        <v>92038</v>
      </c>
      <c r="K881">
        <v>61358</v>
      </c>
      <c r="L881">
        <v>153552</v>
      </c>
      <c r="M881">
        <v>0.1</v>
      </c>
      <c r="N881">
        <v>2016</v>
      </c>
      <c r="O881">
        <v>5.0999999999999996</v>
      </c>
      <c r="P881">
        <v>172</v>
      </c>
      <c r="Q881">
        <v>1.173</v>
      </c>
      <c r="R881">
        <v>0.221</v>
      </c>
      <c r="S881">
        <v>25880</v>
      </c>
      <c r="T881">
        <v>79.8</v>
      </c>
      <c r="U881">
        <v>83</v>
      </c>
      <c r="V881">
        <v>3514</v>
      </c>
      <c r="W881">
        <v>56.1</v>
      </c>
      <c r="X881">
        <v>109.36</v>
      </c>
      <c r="Y881">
        <v>0</v>
      </c>
    </row>
    <row r="882" spans="1:25" x14ac:dyDescent="0.25">
      <c r="A882" t="s">
        <v>53</v>
      </c>
      <c r="B882">
        <f>_xlfn.XLOOKUP(Table4[[#This Row],[country]],Table2[country],Table2[country_id],FALSE)</f>
        <v>19</v>
      </c>
      <c r="C882" t="s">
        <v>32</v>
      </c>
      <c r="D882">
        <v>2015</v>
      </c>
      <c r="E882">
        <f>_xlfn.XLOOKUP(Table4[[#This Row],[year]],Table1[year],Table1[year_id])</f>
        <v>6</v>
      </c>
      <c r="F882" t="s">
        <v>29</v>
      </c>
      <c r="G882" t="s">
        <v>28</v>
      </c>
      <c r="H882" cm="1">
        <f t="array" ref="H882">_xlfn.XLOOKUP(Table4[[#This Row],[vehicle_segment]]&amp;Table4[[#This Row],[powertrain_type]],Table3[vehicle_segment]&amp;Table3[powertrain_type],Table3[vehicle_id])</f>
        <v>2</v>
      </c>
      <c r="I882">
        <v>1785</v>
      </c>
      <c r="J882">
        <v>540115</v>
      </c>
      <c r="K882">
        <v>73652</v>
      </c>
      <c r="L882">
        <v>615552</v>
      </c>
      <c r="M882">
        <v>0.28999999999999998</v>
      </c>
      <c r="N882">
        <v>2016</v>
      </c>
      <c r="O882">
        <v>5.0999999999999996</v>
      </c>
      <c r="P882">
        <v>172</v>
      </c>
      <c r="Q882">
        <v>1.173</v>
      </c>
      <c r="R882">
        <v>0.221</v>
      </c>
      <c r="S882">
        <v>25880</v>
      </c>
      <c r="T882">
        <v>79.8</v>
      </c>
      <c r="U882">
        <v>83</v>
      </c>
      <c r="V882">
        <v>3514</v>
      </c>
      <c r="W882">
        <v>56.1</v>
      </c>
      <c r="X882">
        <v>85.36</v>
      </c>
      <c r="Y882">
        <v>0</v>
      </c>
    </row>
    <row r="883" spans="1:25" x14ac:dyDescent="0.25">
      <c r="A883" t="s">
        <v>53</v>
      </c>
      <c r="B883">
        <f>_xlfn.XLOOKUP(Table4[[#This Row],[country]],Table2[country],Table2[country_id],FALSE)</f>
        <v>19</v>
      </c>
      <c r="C883" t="s">
        <v>32</v>
      </c>
      <c r="D883">
        <v>2015</v>
      </c>
      <c r="E883">
        <f>_xlfn.XLOOKUP(Table4[[#This Row],[year]],Table1[year],Table1[year_id])</f>
        <v>6</v>
      </c>
      <c r="F883" t="s">
        <v>30</v>
      </c>
      <c r="G883" t="s">
        <v>28</v>
      </c>
      <c r="H883" cm="1">
        <f t="array" ref="H883">_xlfn.XLOOKUP(Table4[[#This Row],[vehicle_segment]]&amp;Table4[[#This Row],[powertrain_type]],Table3[vehicle_segment]&amp;Table3[powertrain_type],Table3[vehicle_id])</f>
        <v>3</v>
      </c>
      <c r="I883">
        <v>1071</v>
      </c>
      <c r="J883">
        <v>233344</v>
      </c>
      <c r="K883">
        <v>20291</v>
      </c>
      <c r="L883">
        <v>254706</v>
      </c>
      <c r="M883">
        <v>0.42</v>
      </c>
      <c r="N883">
        <v>2016</v>
      </c>
      <c r="O883">
        <v>5.0999999999999996</v>
      </c>
      <c r="P883">
        <v>172</v>
      </c>
      <c r="Q883">
        <v>1.173</v>
      </c>
      <c r="R883">
        <v>0.221</v>
      </c>
      <c r="S883">
        <v>25880</v>
      </c>
      <c r="T883">
        <v>79.8</v>
      </c>
      <c r="U883">
        <v>83</v>
      </c>
      <c r="V883">
        <v>3514</v>
      </c>
      <c r="W883">
        <v>56.1</v>
      </c>
      <c r="X883">
        <v>84.02</v>
      </c>
      <c r="Y883">
        <v>0</v>
      </c>
    </row>
    <row r="884" spans="1:25" x14ac:dyDescent="0.25">
      <c r="A884" t="s">
        <v>53</v>
      </c>
      <c r="B884">
        <f>_xlfn.XLOOKUP(Table4[[#This Row],[country]],Table2[country],Table2[country_id],FALSE)</f>
        <v>19</v>
      </c>
      <c r="C884" t="s">
        <v>32</v>
      </c>
      <c r="D884">
        <v>2016</v>
      </c>
      <c r="E884">
        <f>_xlfn.XLOOKUP(Table4[[#This Row],[year]],Table1[year],Table1[year_id])</f>
        <v>7</v>
      </c>
      <c r="F884" t="s">
        <v>27</v>
      </c>
      <c r="G884" t="s">
        <v>28</v>
      </c>
      <c r="H884" cm="1">
        <f t="array" ref="H884">_xlfn.XLOOKUP(Table4[[#This Row],[vehicle_segment]]&amp;Table4[[#This Row],[powertrain_type]],Table3[vehicle_segment]&amp;Table3[powertrain_type],Table3[vehicle_id])</f>
        <v>1</v>
      </c>
      <c r="I884">
        <v>230</v>
      </c>
      <c r="J884">
        <v>103535</v>
      </c>
      <c r="K884">
        <v>69023</v>
      </c>
      <c r="L884">
        <v>172788</v>
      </c>
      <c r="M884">
        <v>0.13</v>
      </c>
      <c r="N884">
        <v>2922</v>
      </c>
      <c r="O884">
        <v>5.9</v>
      </c>
      <c r="P884">
        <v>186</v>
      </c>
      <c r="Q884">
        <v>1.2</v>
      </c>
      <c r="R884">
        <v>0.22</v>
      </c>
      <c r="S884">
        <v>26400</v>
      </c>
      <c r="T884">
        <v>79.8</v>
      </c>
      <c r="U884">
        <v>82</v>
      </c>
      <c r="V884">
        <v>3964</v>
      </c>
      <c r="W884">
        <v>57.4</v>
      </c>
      <c r="X884">
        <v>47.44</v>
      </c>
      <c r="Y884">
        <v>0</v>
      </c>
    </row>
    <row r="885" spans="1:25" x14ac:dyDescent="0.25">
      <c r="A885" t="s">
        <v>53</v>
      </c>
      <c r="B885">
        <f>_xlfn.XLOOKUP(Table4[[#This Row],[country]],Table2[country],Table2[country_id],FALSE)</f>
        <v>19</v>
      </c>
      <c r="C885" t="s">
        <v>32</v>
      </c>
      <c r="D885">
        <v>2016</v>
      </c>
      <c r="E885">
        <f>_xlfn.XLOOKUP(Table4[[#This Row],[year]],Table1[year],Table1[year_id])</f>
        <v>7</v>
      </c>
      <c r="F885" t="s">
        <v>29</v>
      </c>
      <c r="G885" t="s">
        <v>28</v>
      </c>
      <c r="H885" cm="1">
        <f t="array" ref="H885">_xlfn.XLOOKUP(Table4[[#This Row],[vehicle_segment]]&amp;Table4[[#This Row],[powertrain_type]],Table3[vehicle_segment]&amp;Table3[powertrain_type],Table3[vehicle_id])</f>
        <v>2</v>
      </c>
      <c r="I885">
        <v>2653</v>
      </c>
      <c r="J885">
        <v>612062</v>
      </c>
      <c r="K885">
        <v>83463</v>
      </c>
      <c r="L885">
        <v>698178</v>
      </c>
      <c r="M885">
        <v>0.38</v>
      </c>
      <c r="N885">
        <v>2922</v>
      </c>
      <c r="O885">
        <v>5.9</v>
      </c>
      <c r="P885">
        <v>186</v>
      </c>
      <c r="Q885">
        <v>1.2</v>
      </c>
      <c r="R885">
        <v>0.22</v>
      </c>
      <c r="S885">
        <v>26400</v>
      </c>
      <c r="T885">
        <v>79.8</v>
      </c>
      <c r="U885">
        <v>82</v>
      </c>
      <c r="V885">
        <v>3964</v>
      </c>
      <c r="W885">
        <v>57.4</v>
      </c>
      <c r="X885">
        <v>48.63</v>
      </c>
      <c r="Y885">
        <v>0</v>
      </c>
    </row>
    <row r="886" spans="1:25" x14ac:dyDescent="0.25">
      <c r="A886" t="s">
        <v>53</v>
      </c>
      <c r="B886">
        <f>_xlfn.XLOOKUP(Table4[[#This Row],[country]],Table2[country],Table2[country_id],FALSE)</f>
        <v>19</v>
      </c>
      <c r="C886" t="s">
        <v>32</v>
      </c>
      <c r="D886">
        <v>2016</v>
      </c>
      <c r="E886">
        <f>_xlfn.XLOOKUP(Table4[[#This Row],[year]],Table1[year],Table1[year_id])</f>
        <v>7</v>
      </c>
      <c r="F886" t="s">
        <v>30</v>
      </c>
      <c r="G886" t="s">
        <v>28</v>
      </c>
      <c r="H886" cm="1">
        <f t="array" ref="H886">_xlfn.XLOOKUP(Table4[[#This Row],[vehicle_segment]]&amp;Table4[[#This Row],[powertrain_type]],Table3[vehicle_segment]&amp;Table3[powertrain_type],Table3[vehicle_id])</f>
        <v>3</v>
      </c>
      <c r="I886">
        <v>1589</v>
      </c>
      <c r="J886">
        <v>263788</v>
      </c>
      <c r="K886">
        <v>22938</v>
      </c>
      <c r="L886">
        <v>288315</v>
      </c>
      <c r="M886">
        <v>0.55000000000000004</v>
      </c>
      <c r="N886">
        <v>2922</v>
      </c>
      <c r="O886">
        <v>5.9</v>
      </c>
      <c r="P886">
        <v>186</v>
      </c>
      <c r="Q886">
        <v>1.2</v>
      </c>
      <c r="R886">
        <v>0.22</v>
      </c>
      <c r="S886">
        <v>26400</v>
      </c>
      <c r="T886">
        <v>79.8</v>
      </c>
      <c r="U886">
        <v>82</v>
      </c>
      <c r="V886">
        <v>3964</v>
      </c>
      <c r="W886">
        <v>57.4</v>
      </c>
      <c r="X886">
        <v>48.37</v>
      </c>
      <c r="Y886">
        <v>0</v>
      </c>
    </row>
    <row r="887" spans="1:25" x14ac:dyDescent="0.25">
      <c r="A887" t="s">
        <v>53</v>
      </c>
      <c r="B887">
        <f>_xlfn.XLOOKUP(Table4[[#This Row],[country]],Table2[country],Table2[country_id],FALSE)</f>
        <v>19</v>
      </c>
      <c r="C887" t="s">
        <v>32</v>
      </c>
      <c r="D887">
        <v>2017</v>
      </c>
      <c r="E887">
        <f>_xlfn.XLOOKUP(Table4[[#This Row],[year]],Table1[year],Table1[year_id])</f>
        <v>8</v>
      </c>
      <c r="F887" t="s">
        <v>27</v>
      </c>
      <c r="G887" t="s">
        <v>28</v>
      </c>
      <c r="H887" cm="1">
        <f t="array" ref="H887">_xlfn.XLOOKUP(Table4[[#This Row],[vehicle_segment]]&amp;Table4[[#This Row],[powertrain_type]],Table3[vehicle_segment]&amp;Table3[powertrain_type],Table3[vehicle_id])</f>
        <v>1</v>
      </c>
      <c r="I887">
        <v>483</v>
      </c>
      <c r="J887">
        <v>111517</v>
      </c>
      <c r="K887">
        <v>74345</v>
      </c>
      <c r="L887">
        <v>186345</v>
      </c>
      <c r="M887">
        <v>0.26</v>
      </c>
      <c r="N887">
        <v>3895</v>
      </c>
      <c r="O887">
        <v>7.8</v>
      </c>
      <c r="P887">
        <v>225</v>
      </c>
      <c r="Q887">
        <v>1.2370000000000001</v>
      </c>
      <c r="R887">
        <v>0.216</v>
      </c>
      <c r="S887">
        <v>27770</v>
      </c>
      <c r="T887">
        <v>80.2</v>
      </c>
      <c r="U887">
        <v>83.6</v>
      </c>
      <c r="V887">
        <v>4460</v>
      </c>
      <c r="W887">
        <v>61.7</v>
      </c>
      <c r="X887">
        <v>110</v>
      </c>
      <c r="Y887">
        <v>0</v>
      </c>
    </row>
    <row r="888" spans="1:25" x14ac:dyDescent="0.25">
      <c r="A888" t="s">
        <v>53</v>
      </c>
      <c r="B888">
        <f>_xlfn.XLOOKUP(Table4[[#This Row],[country]],Table2[country],Table2[country_id],FALSE)</f>
        <v>19</v>
      </c>
      <c r="C888" t="s">
        <v>32</v>
      </c>
      <c r="D888">
        <v>2017</v>
      </c>
      <c r="E888">
        <f>_xlfn.XLOOKUP(Table4[[#This Row],[year]],Table1[year],Table1[year_id])</f>
        <v>8</v>
      </c>
      <c r="F888" t="s">
        <v>29</v>
      </c>
      <c r="G888" t="s">
        <v>28</v>
      </c>
      <c r="H888" cm="1">
        <f t="array" ref="H888">_xlfn.XLOOKUP(Table4[[#This Row],[vehicle_segment]]&amp;Table4[[#This Row],[powertrain_type]],Table3[vehicle_segment]&amp;Table3[powertrain_type],Table3[vehicle_id])</f>
        <v>2</v>
      </c>
      <c r="I888">
        <v>5682</v>
      </c>
      <c r="J888">
        <v>670676</v>
      </c>
      <c r="K888">
        <v>91456</v>
      </c>
      <c r="L888">
        <v>767814</v>
      </c>
      <c r="M888">
        <v>0.74</v>
      </c>
      <c r="N888">
        <v>3895</v>
      </c>
      <c r="O888">
        <v>7.8</v>
      </c>
      <c r="P888">
        <v>225</v>
      </c>
      <c r="Q888">
        <v>1.2370000000000001</v>
      </c>
      <c r="R888">
        <v>0.216</v>
      </c>
      <c r="S888">
        <v>27770</v>
      </c>
      <c r="T888">
        <v>80.2</v>
      </c>
      <c r="U888">
        <v>83.6</v>
      </c>
      <c r="V888">
        <v>4460</v>
      </c>
      <c r="W888">
        <v>61.7</v>
      </c>
      <c r="X888">
        <v>114.17</v>
      </c>
      <c r="Y888">
        <v>0</v>
      </c>
    </row>
    <row r="889" spans="1:25" x14ac:dyDescent="0.25">
      <c r="A889" t="s">
        <v>53</v>
      </c>
      <c r="B889">
        <f>_xlfn.XLOOKUP(Table4[[#This Row],[country]],Table2[country],Table2[country_id],FALSE)</f>
        <v>19</v>
      </c>
      <c r="C889" t="s">
        <v>32</v>
      </c>
      <c r="D889">
        <v>2017</v>
      </c>
      <c r="E889">
        <f>_xlfn.XLOOKUP(Table4[[#This Row],[year]],Table1[year],Table1[year_id])</f>
        <v>8</v>
      </c>
      <c r="F889" t="s">
        <v>30</v>
      </c>
      <c r="G889" t="s">
        <v>28</v>
      </c>
      <c r="H889" cm="1">
        <f t="array" ref="H889">_xlfn.XLOOKUP(Table4[[#This Row],[vehicle_segment]]&amp;Table4[[#This Row],[powertrain_type]],Table3[vehicle_segment]&amp;Table3[powertrain_type],Table3[vehicle_id])</f>
        <v>3</v>
      </c>
      <c r="I889">
        <v>3417</v>
      </c>
      <c r="J889">
        <v>289810</v>
      </c>
      <c r="K889">
        <v>25201</v>
      </c>
      <c r="L889">
        <v>318428</v>
      </c>
      <c r="M889">
        <v>1.07</v>
      </c>
      <c r="N889">
        <v>3895</v>
      </c>
      <c r="O889">
        <v>7.8</v>
      </c>
      <c r="P889">
        <v>225</v>
      </c>
      <c r="Q889">
        <v>1.2370000000000001</v>
      </c>
      <c r="R889">
        <v>0.216</v>
      </c>
      <c r="S889">
        <v>27770</v>
      </c>
      <c r="T889">
        <v>80.2</v>
      </c>
      <c r="U889">
        <v>83.6</v>
      </c>
      <c r="V889">
        <v>4460</v>
      </c>
      <c r="W889">
        <v>61.7</v>
      </c>
      <c r="X889">
        <v>115.04</v>
      </c>
      <c r="Y889">
        <v>0</v>
      </c>
    </row>
    <row r="890" spans="1:25" x14ac:dyDescent="0.25">
      <c r="A890" t="s">
        <v>53</v>
      </c>
      <c r="B890">
        <f>_xlfn.XLOOKUP(Table4[[#This Row],[country]],Table2[country],Table2[country_id],FALSE)</f>
        <v>19</v>
      </c>
      <c r="C890" t="s">
        <v>32</v>
      </c>
      <c r="D890">
        <v>2018</v>
      </c>
      <c r="E890">
        <f>_xlfn.XLOOKUP(Table4[[#This Row],[year]],Table1[year],Table1[year_id])</f>
        <v>9</v>
      </c>
      <c r="F890" t="s">
        <v>27</v>
      </c>
      <c r="G890" t="s">
        <v>28</v>
      </c>
      <c r="H890" cm="1">
        <f t="array" ref="H890">_xlfn.XLOOKUP(Table4[[#This Row],[vehicle_segment]]&amp;Table4[[#This Row],[powertrain_type]],Table3[vehicle_segment]&amp;Table3[powertrain_type],Table3[vehicle_id])</f>
        <v>1</v>
      </c>
      <c r="I890">
        <v>711</v>
      </c>
      <c r="J890">
        <v>112464</v>
      </c>
      <c r="K890">
        <v>74976</v>
      </c>
      <c r="L890">
        <v>188151</v>
      </c>
      <c r="M890">
        <v>0.38</v>
      </c>
      <c r="N890">
        <v>5672</v>
      </c>
      <c r="O890">
        <v>9.1</v>
      </c>
      <c r="P890">
        <v>262</v>
      </c>
      <c r="Q890">
        <v>1.2729999999999999</v>
      </c>
      <c r="R890">
        <v>0.217</v>
      </c>
      <c r="S890">
        <v>28848</v>
      </c>
      <c r="T890">
        <v>80.2</v>
      </c>
      <c r="U890">
        <v>83.7</v>
      </c>
      <c r="V890">
        <v>5013</v>
      </c>
      <c r="W890">
        <v>63.6</v>
      </c>
      <c r="X890">
        <v>47.2</v>
      </c>
      <c r="Y890">
        <v>0</v>
      </c>
    </row>
    <row r="891" spans="1:25" x14ac:dyDescent="0.25">
      <c r="A891" t="s">
        <v>53</v>
      </c>
      <c r="B891">
        <f>_xlfn.XLOOKUP(Table4[[#This Row],[country]],Table2[country],Table2[country_id],FALSE)</f>
        <v>19</v>
      </c>
      <c r="C891" t="s">
        <v>32</v>
      </c>
      <c r="D891">
        <v>2018</v>
      </c>
      <c r="E891">
        <f>_xlfn.XLOOKUP(Table4[[#This Row],[year]],Table1[year],Table1[year_id])</f>
        <v>9</v>
      </c>
      <c r="F891" t="s">
        <v>29</v>
      </c>
      <c r="G891" t="s">
        <v>28</v>
      </c>
      <c r="H891" cm="1">
        <f t="array" ref="H891">_xlfn.XLOOKUP(Table4[[#This Row],[vehicle_segment]]&amp;Table4[[#This Row],[powertrain_type]],Table3[vehicle_segment]&amp;Table3[powertrain_type],Table3[vehicle_id])</f>
        <v>2</v>
      </c>
      <c r="I891">
        <v>8223</v>
      </c>
      <c r="J891">
        <v>662790</v>
      </c>
      <c r="K891">
        <v>90380</v>
      </c>
      <c r="L891">
        <v>761393</v>
      </c>
      <c r="M891">
        <v>1.08</v>
      </c>
      <c r="N891">
        <v>5672</v>
      </c>
      <c r="O891">
        <v>9.1</v>
      </c>
      <c r="P891">
        <v>262</v>
      </c>
      <c r="Q891">
        <v>1.2729999999999999</v>
      </c>
      <c r="R891">
        <v>0.217</v>
      </c>
      <c r="S891">
        <v>28848</v>
      </c>
      <c r="T891">
        <v>80.2</v>
      </c>
      <c r="U891">
        <v>83.7</v>
      </c>
      <c r="V891">
        <v>5013</v>
      </c>
      <c r="W891">
        <v>63.6</v>
      </c>
      <c r="X891">
        <v>44.72</v>
      </c>
      <c r="Y891">
        <v>0</v>
      </c>
    </row>
    <row r="892" spans="1:25" x14ac:dyDescent="0.25">
      <c r="A892" t="s">
        <v>53</v>
      </c>
      <c r="B892">
        <f>_xlfn.XLOOKUP(Table4[[#This Row],[country]],Table2[country],Table2[country_id],FALSE)</f>
        <v>19</v>
      </c>
      <c r="C892" t="s">
        <v>32</v>
      </c>
      <c r="D892">
        <v>2018</v>
      </c>
      <c r="E892">
        <f>_xlfn.XLOOKUP(Table4[[#This Row],[year]],Table1[year],Table1[year_id])</f>
        <v>9</v>
      </c>
      <c r="F892" t="s">
        <v>30</v>
      </c>
      <c r="G892" t="s">
        <v>28</v>
      </c>
      <c r="H892" cm="1">
        <f t="array" ref="H892">_xlfn.XLOOKUP(Table4[[#This Row],[vehicle_segment]]&amp;Table4[[#This Row],[powertrain_type]],Table3[vehicle_segment]&amp;Table3[powertrain_type],Table3[vehicle_id])</f>
        <v>3</v>
      </c>
      <c r="I892">
        <v>4873</v>
      </c>
      <c r="J892">
        <v>281824</v>
      </c>
      <c r="K892">
        <v>24506</v>
      </c>
      <c r="L892">
        <v>311203</v>
      </c>
      <c r="M892">
        <v>1.57</v>
      </c>
      <c r="N892">
        <v>5672</v>
      </c>
      <c r="O892">
        <v>9.1</v>
      </c>
      <c r="P892">
        <v>262</v>
      </c>
      <c r="Q892">
        <v>1.2729999999999999</v>
      </c>
      <c r="R892">
        <v>0.217</v>
      </c>
      <c r="S892">
        <v>28848</v>
      </c>
      <c r="T892">
        <v>80.2</v>
      </c>
      <c r="U892">
        <v>83.7</v>
      </c>
      <c r="V892">
        <v>5013</v>
      </c>
      <c r="W892">
        <v>63.6</v>
      </c>
      <c r="X892">
        <v>42.61</v>
      </c>
      <c r="Y892">
        <v>0</v>
      </c>
    </row>
    <row r="893" spans="1:25" x14ac:dyDescent="0.25">
      <c r="A893" t="s">
        <v>53</v>
      </c>
      <c r="B893">
        <f>_xlfn.XLOOKUP(Table4[[#This Row],[country]],Table2[country],Table2[country_id],FALSE)</f>
        <v>19</v>
      </c>
      <c r="C893" t="s">
        <v>32</v>
      </c>
      <c r="D893">
        <v>2019</v>
      </c>
      <c r="E893">
        <f>_xlfn.XLOOKUP(Table4[[#This Row],[year]],Table1[year],Table1[year_id])</f>
        <v>10</v>
      </c>
      <c r="F893" t="s">
        <v>27</v>
      </c>
      <c r="G893" t="s">
        <v>28</v>
      </c>
      <c r="H893" cm="1">
        <f t="array" ref="H893">_xlfn.XLOOKUP(Table4[[#This Row],[vehicle_segment]]&amp;Table4[[#This Row],[powertrain_type]],Table3[vehicle_segment]&amp;Table3[powertrain_type],Table3[vehicle_id])</f>
        <v>1</v>
      </c>
      <c r="I893">
        <v>957</v>
      </c>
      <c r="J893">
        <v>110233</v>
      </c>
      <c r="K893">
        <v>73488</v>
      </c>
      <c r="L893">
        <v>184678</v>
      </c>
      <c r="M893">
        <v>0.52</v>
      </c>
      <c r="N893">
        <v>8112</v>
      </c>
      <c r="O893">
        <v>9.1999999999999993</v>
      </c>
      <c r="P893">
        <v>290</v>
      </c>
      <c r="Q893">
        <v>1.34</v>
      </c>
      <c r="R893">
        <v>0.219</v>
      </c>
      <c r="S893">
        <v>29815</v>
      </c>
      <c r="T893">
        <v>80.5</v>
      </c>
      <c r="U893">
        <v>79.099999999999994</v>
      </c>
      <c r="V893">
        <v>5540</v>
      </c>
      <c r="W893">
        <v>67.599999999999994</v>
      </c>
      <c r="X893">
        <v>34.6</v>
      </c>
      <c r="Y893">
        <v>0</v>
      </c>
    </row>
    <row r="894" spans="1:25" x14ac:dyDescent="0.25">
      <c r="A894" t="s">
        <v>53</v>
      </c>
      <c r="B894">
        <f>_xlfn.XLOOKUP(Table4[[#This Row],[country]],Table2[country],Table2[country_id],FALSE)</f>
        <v>19</v>
      </c>
      <c r="C894" t="s">
        <v>32</v>
      </c>
      <c r="D894">
        <v>2019</v>
      </c>
      <c r="E894">
        <f>_xlfn.XLOOKUP(Table4[[#This Row],[year]],Table1[year],Table1[year_id])</f>
        <v>10</v>
      </c>
      <c r="F894" t="s">
        <v>29</v>
      </c>
      <c r="G894" t="s">
        <v>28</v>
      </c>
      <c r="H894" cm="1">
        <f t="array" ref="H894">_xlfn.XLOOKUP(Table4[[#This Row],[vehicle_segment]]&amp;Table4[[#This Row],[powertrain_type]],Table3[vehicle_segment]&amp;Table3[powertrain_type],Table3[vehicle_id])</f>
        <v>2</v>
      </c>
      <c r="I894">
        <v>10973</v>
      </c>
      <c r="J894">
        <v>642819</v>
      </c>
      <c r="K894">
        <v>87657</v>
      </c>
      <c r="L894">
        <v>741449</v>
      </c>
      <c r="M894">
        <v>1.48</v>
      </c>
      <c r="N894">
        <v>8112</v>
      </c>
      <c r="O894">
        <v>9.1999999999999993</v>
      </c>
      <c r="P894">
        <v>290</v>
      </c>
      <c r="Q894">
        <v>1.34</v>
      </c>
      <c r="R894">
        <v>0.219</v>
      </c>
      <c r="S894">
        <v>29815</v>
      </c>
      <c r="T894">
        <v>80.5</v>
      </c>
      <c r="U894">
        <v>79.099999999999994</v>
      </c>
      <c r="V894">
        <v>5540</v>
      </c>
      <c r="W894">
        <v>67.599999999999994</v>
      </c>
      <c r="X894">
        <v>33.44</v>
      </c>
      <c r="Y894">
        <v>0</v>
      </c>
    </row>
    <row r="895" spans="1:25" x14ac:dyDescent="0.25">
      <c r="A895" t="s">
        <v>53</v>
      </c>
      <c r="B895">
        <f>_xlfn.XLOOKUP(Table4[[#This Row],[country]],Table2[country],Table2[country_id],FALSE)</f>
        <v>19</v>
      </c>
      <c r="C895" t="s">
        <v>32</v>
      </c>
      <c r="D895">
        <v>2019</v>
      </c>
      <c r="E895">
        <f>_xlfn.XLOOKUP(Table4[[#This Row],[year]],Table1[year],Table1[year_id])</f>
        <v>10</v>
      </c>
      <c r="F895" t="s">
        <v>30</v>
      </c>
      <c r="G895" t="s">
        <v>28</v>
      </c>
      <c r="H895" cm="1">
        <f t="array" ref="H895">_xlfn.XLOOKUP(Table4[[#This Row],[vehicle_segment]]&amp;Table4[[#This Row],[powertrain_type]],Table3[vehicle_segment]&amp;Table3[powertrain_type],Table3[vehicle_id])</f>
        <v>3</v>
      </c>
      <c r="I895">
        <v>6702</v>
      </c>
      <c r="J895">
        <v>281138</v>
      </c>
      <c r="K895">
        <v>24447</v>
      </c>
      <c r="L895">
        <v>312287</v>
      </c>
      <c r="M895">
        <v>2.15</v>
      </c>
      <c r="N895">
        <v>8112</v>
      </c>
      <c r="O895">
        <v>9.1999999999999993</v>
      </c>
      <c r="P895">
        <v>290</v>
      </c>
      <c r="Q895">
        <v>1.34</v>
      </c>
      <c r="R895">
        <v>0.219</v>
      </c>
      <c r="S895">
        <v>29815</v>
      </c>
      <c r="T895">
        <v>80.5</v>
      </c>
      <c r="U895">
        <v>79.099999999999994</v>
      </c>
      <c r="V895">
        <v>5540</v>
      </c>
      <c r="W895">
        <v>67.599999999999994</v>
      </c>
      <c r="X895">
        <v>37.53</v>
      </c>
      <c r="Y895">
        <v>0</v>
      </c>
    </row>
    <row r="896" spans="1:25" x14ac:dyDescent="0.25">
      <c r="A896" t="s">
        <v>53</v>
      </c>
      <c r="B896">
        <f>_xlfn.XLOOKUP(Table4[[#This Row],[country]],Table2[country],Table2[country_id],FALSE)</f>
        <v>19</v>
      </c>
      <c r="C896" t="s">
        <v>32</v>
      </c>
      <c r="D896">
        <v>2020</v>
      </c>
      <c r="E896">
        <f>_xlfn.XLOOKUP(Table4[[#This Row],[year]],Table1[year],Table1[year_id])</f>
        <v>11</v>
      </c>
      <c r="F896" t="s">
        <v>27</v>
      </c>
      <c r="G896" t="s">
        <v>28</v>
      </c>
      <c r="H896" cm="1">
        <f t="array" ref="H896">_xlfn.XLOOKUP(Table4[[#This Row],[vehicle_segment]]&amp;Table4[[#This Row],[powertrain_type]],Table3[vehicle_segment]&amp;Table3[powertrain_type],Table3[vehicle_id])</f>
        <v>1</v>
      </c>
      <c r="I896">
        <v>1863</v>
      </c>
      <c r="J896">
        <v>76196</v>
      </c>
      <c r="K896">
        <v>50798</v>
      </c>
      <c r="L896">
        <v>128857</v>
      </c>
      <c r="M896">
        <v>1.45</v>
      </c>
      <c r="N896">
        <v>10324</v>
      </c>
      <c r="O896">
        <v>12.5</v>
      </c>
      <c r="P896">
        <v>342</v>
      </c>
      <c r="Q896">
        <v>1.48</v>
      </c>
      <c r="R896">
        <v>0.24</v>
      </c>
      <c r="S896">
        <v>29562</v>
      </c>
      <c r="T896">
        <v>80.8</v>
      </c>
      <c r="U896">
        <v>75.2</v>
      </c>
      <c r="V896">
        <v>6020</v>
      </c>
      <c r="W896">
        <v>69.5</v>
      </c>
      <c r="X896">
        <v>94.67</v>
      </c>
      <c r="Y896">
        <v>0</v>
      </c>
    </row>
    <row r="897" spans="1:25" x14ac:dyDescent="0.25">
      <c r="A897" t="s">
        <v>53</v>
      </c>
      <c r="B897">
        <f>_xlfn.XLOOKUP(Table4[[#This Row],[country]],Table2[country],Table2[country_id],FALSE)</f>
        <v>19</v>
      </c>
      <c r="C897" t="s">
        <v>32</v>
      </c>
      <c r="D897">
        <v>2020</v>
      </c>
      <c r="E897">
        <f>_xlfn.XLOOKUP(Table4[[#This Row],[year]],Table1[year],Table1[year_id])</f>
        <v>11</v>
      </c>
      <c r="F897" t="s">
        <v>29</v>
      </c>
      <c r="G897" t="s">
        <v>28</v>
      </c>
      <c r="H897" cm="1">
        <f t="array" ref="H897">_xlfn.XLOOKUP(Table4[[#This Row],[vehicle_segment]]&amp;Table4[[#This Row],[powertrain_type]],Table3[vehicle_segment]&amp;Table3[powertrain_type],Table3[vehicle_id])</f>
        <v>2</v>
      </c>
      <c r="I897">
        <v>21262</v>
      </c>
      <c r="J897">
        <v>434320</v>
      </c>
      <c r="K897">
        <v>59225</v>
      </c>
      <c r="L897">
        <v>514807</v>
      </c>
      <c r="M897">
        <v>4.13</v>
      </c>
      <c r="N897">
        <v>10324</v>
      </c>
      <c r="O897">
        <v>12.5</v>
      </c>
      <c r="P897">
        <v>342</v>
      </c>
      <c r="Q897">
        <v>1.48</v>
      </c>
      <c r="R897">
        <v>0.24</v>
      </c>
      <c r="S897">
        <v>29562</v>
      </c>
      <c r="T897">
        <v>80.8</v>
      </c>
      <c r="U897">
        <v>75.2</v>
      </c>
      <c r="V897">
        <v>6020</v>
      </c>
      <c r="W897">
        <v>69.5</v>
      </c>
      <c r="X897">
        <v>93.77</v>
      </c>
      <c r="Y897">
        <v>0</v>
      </c>
    </row>
    <row r="898" spans="1:25" x14ac:dyDescent="0.25">
      <c r="A898" t="s">
        <v>53</v>
      </c>
      <c r="B898">
        <f>_xlfn.XLOOKUP(Table4[[#This Row],[country]],Table2[country],Table2[country_id],FALSE)</f>
        <v>19</v>
      </c>
      <c r="C898" t="s">
        <v>32</v>
      </c>
      <c r="D898">
        <v>2020</v>
      </c>
      <c r="E898">
        <f>_xlfn.XLOOKUP(Table4[[#This Row],[year]],Table1[year],Table1[year_id])</f>
        <v>11</v>
      </c>
      <c r="F898" t="s">
        <v>30</v>
      </c>
      <c r="G898" t="s">
        <v>28</v>
      </c>
      <c r="H898" cm="1">
        <f t="array" ref="H898">_xlfn.XLOOKUP(Table4[[#This Row],[vehicle_segment]]&amp;Table4[[#This Row],[powertrain_type]],Table3[vehicle_segment]&amp;Table3[powertrain_type],Table3[vehicle_id])</f>
        <v>3</v>
      </c>
      <c r="I898">
        <v>12601</v>
      </c>
      <c r="J898">
        <v>181987</v>
      </c>
      <c r="K898">
        <v>15825</v>
      </c>
      <c r="L898">
        <v>210413</v>
      </c>
      <c r="M898">
        <v>5.99</v>
      </c>
      <c r="N898">
        <v>10324</v>
      </c>
      <c r="O898">
        <v>12.5</v>
      </c>
      <c r="P898">
        <v>342</v>
      </c>
      <c r="Q898">
        <v>1.48</v>
      </c>
      <c r="R898">
        <v>0.24</v>
      </c>
      <c r="S898">
        <v>29562</v>
      </c>
      <c r="T898">
        <v>80.8</v>
      </c>
      <c r="U898">
        <v>75.2</v>
      </c>
      <c r="V898">
        <v>6020</v>
      </c>
      <c r="W898">
        <v>69.5</v>
      </c>
      <c r="X898">
        <v>88.02</v>
      </c>
      <c r="Y898">
        <v>0</v>
      </c>
    </row>
    <row r="899" spans="1:25" x14ac:dyDescent="0.25">
      <c r="A899" t="s">
        <v>53</v>
      </c>
      <c r="B899">
        <f>_xlfn.XLOOKUP(Table4[[#This Row],[country]],Table2[country],Table2[country_id],FALSE)</f>
        <v>19</v>
      </c>
      <c r="C899" t="s">
        <v>32</v>
      </c>
      <c r="D899">
        <v>2021</v>
      </c>
      <c r="E899">
        <f>_xlfn.XLOOKUP(Table4[[#This Row],[year]],Table1[year],Table1[year_id])</f>
        <v>12</v>
      </c>
      <c r="F899" t="s">
        <v>27</v>
      </c>
      <c r="G899" t="s">
        <v>28</v>
      </c>
      <c r="H899" cm="1">
        <f t="array" ref="H899">_xlfn.XLOOKUP(Table4[[#This Row],[vehicle_segment]]&amp;Table4[[#This Row],[powertrain_type]],Table3[vehicle_segment]&amp;Table3[powertrain_type],Table3[vehicle_id])</f>
        <v>1</v>
      </c>
      <c r="I899">
        <v>3409</v>
      </c>
      <c r="J899">
        <v>78002</v>
      </c>
      <c r="K899">
        <v>52001</v>
      </c>
      <c r="L899">
        <v>133412</v>
      </c>
      <c r="M899">
        <v>2.56</v>
      </c>
      <c r="N899">
        <v>15373</v>
      </c>
      <c r="O899">
        <v>14.9</v>
      </c>
      <c r="P899">
        <v>363</v>
      </c>
      <c r="Q899">
        <v>1.673</v>
      </c>
      <c r="R899">
        <v>0.28000000000000003</v>
      </c>
      <c r="S899">
        <v>30251</v>
      </c>
      <c r="T899">
        <v>81.2</v>
      </c>
      <c r="U899">
        <v>72</v>
      </c>
      <c r="V899">
        <v>6568</v>
      </c>
      <c r="W899">
        <v>72.8</v>
      </c>
      <c r="X899">
        <v>82.98</v>
      </c>
      <c r="Y899">
        <v>0</v>
      </c>
    </row>
    <row r="900" spans="1:25" x14ac:dyDescent="0.25">
      <c r="A900" t="s">
        <v>53</v>
      </c>
      <c r="B900">
        <f>_xlfn.XLOOKUP(Table4[[#This Row],[country]],Table2[country],Table2[country_id],FALSE)</f>
        <v>19</v>
      </c>
      <c r="C900" t="s">
        <v>32</v>
      </c>
      <c r="D900">
        <v>2021</v>
      </c>
      <c r="E900">
        <f>_xlfn.XLOOKUP(Table4[[#This Row],[year]],Table1[year],Table1[year_id])</f>
        <v>12</v>
      </c>
      <c r="F900" t="s">
        <v>29</v>
      </c>
      <c r="G900" t="s">
        <v>28</v>
      </c>
      <c r="H900" cm="1">
        <f t="array" ref="H900">_xlfn.XLOOKUP(Table4[[#This Row],[vehicle_segment]]&amp;Table4[[#This Row],[powertrain_type]],Table3[vehicle_segment]&amp;Table3[powertrain_type],Table3[vehicle_id])</f>
        <v>2</v>
      </c>
      <c r="I900">
        <v>38644</v>
      </c>
      <c r="J900">
        <v>431842</v>
      </c>
      <c r="K900">
        <v>58888</v>
      </c>
      <c r="L900">
        <v>529374</v>
      </c>
      <c r="M900">
        <v>7.3</v>
      </c>
      <c r="N900">
        <v>15373</v>
      </c>
      <c r="O900">
        <v>14.9</v>
      </c>
      <c r="P900">
        <v>363</v>
      </c>
      <c r="Q900">
        <v>1.673</v>
      </c>
      <c r="R900">
        <v>0.28000000000000003</v>
      </c>
      <c r="S900">
        <v>30251</v>
      </c>
      <c r="T900">
        <v>81.2</v>
      </c>
      <c r="U900">
        <v>72</v>
      </c>
      <c r="V900">
        <v>6568</v>
      </c>
      <c r="W900">
        <v>72.8</v>
      </c>
      <c r="X900">
        <v>81.75</v>
      </c>
      <c r="Y900">
        <v>0</v>
      </c>
    </row>
    <row r="901" spans="1:25" x14ac:dyDescent="0.25">
      <c r="A901" t="s">
        <v>53</v>
      </c>
      <c r="B901">
        <f>_xlfn.XLOOKUP(Table4[[#This Row],[country]],Table2[country],Table2[country_id],FALSE)</f>
        <v>19</v>
      </c>
      <c r="C901" t="s">
        <v>32</v>
      </c>
      <c r="D901">
        <v>2021</v>
      </c>
      <c r="E901">
        <f>_xlfn.XLOOKUP(Table4[[#This Row],[year]],Table1[year],Table1[year_id])</f>
        <v>12</v>
      </c>
      <c r="F901" t="s">
        <v>30</v>
      </c>
      <c r="G901" t="s">
        <v>28</v>
      </c>
      <c r="H901" cm="1">
        <f t="array" ref="H901">_xlfn.XLOOKUP(Table4[[#This Row],[vehicle_segment]]&amp;Table4[[#This Row],[powertrain_type]],Table3[vehicle_segment]&amp;Table3[powertrain_type],Table3[vehicle_id])</f>
        <v>3</v>
      </c>
      <c r="I901">
        <v>23271</v>
      </c>
      <c r="J901">
        <v>180855</v>
      </c>
      <c r="K901">
        <v>15726</v>
      </c>
      <c r="L901">
        <v>219852</v>
      </c>
      <c r="M901">
        <v>10.58</v>
      </c>
      <c r="N901">
        <v>15373</v>
      </c>
      <c r="O901">
        <v>14.9</v>
      </c>
      <c r="P901">
        <v>363</v>
      </c>
      <c r="Q901">
        <v>1.673</v>
      </c>
      <c r="R901">
        <v>0.28000000000000003</v>
      </c>
      <c r="S901">
        <v>30251</v>
      </c>
      <c r="T901">
        <v>81.2</v>
      </c>
      <c r="U901">
        <v>72</v>
      </c>
      <c r="V901">
        <v>6568</v>
      </c>
      <c r="W901">
        <v>72.8</v>
      </c>
      <c r="X901">
        <v>84.68</v>
      </c>
      <c r="Y901">
        <v>0</v>
      </c>
    </row>
    <row r="902" spans="1:25" x14ac:dyDescent="0.25">
      <c r="A902" t="s">
        <v>53</v>
      </c>
      <c r="B902">
        <f>_xlfn.XLOOKUP(Table4[[#This Row],[country]],Table2[country],Table2[country_id],FALSE)</f>
        <v>19</v>
      </c>
      <c r="C902" t="s">
        <v>32</v>
      </c>
      <c r="D902">
        <v>2022</v>
      </c>
      <c r="E902">
        <f>_xlfn.XLOOKUP(Table4[[#This Row],[year]],Table1[year],Table1[year_id])</f>
        <v>13</v>
      </c>
      <c r="F902" t="s">
        <v>27</v>
      </c>
      <c r="G902" t="s">
        <v>28</v>
      </c>
      <c r="H902" cm="1">
        <f t="array" ref="H902">_xlfn.XLOOKUP(Table4[[#This Row],[vehicle_segment]]&amp;Table4[[#This Row],[powertrain_type]],Table3[vehicle_segment]&amp;Table3[powertrain_type],Table3[vehicle_id])</f>
        <v>1</v>
      </c>
      <c r="I902">
        <v>3540</v>
      </c>
      <c r="J902">
        <v>71603</v>
      </c>
      <c r="K902">
        <v>47736</v>
      </c>
      <c r="L902">
        <v>122879</v>
      </c>
      <c r="M902">
        <v>2.88</v>
      </c>
      <c r="N902">
        <v>23376</v>
      </c>
      <c r="O902">
        <v>15.3</v>
      </c>
      <c r="P902">
        <v>398</v>
      </c>
      <c r="Q902">
        <v>1.7969999999999999</v>
      </c>
      <c r="R902">
        <v>0.307</v>
      </c>
      <c r="S902">
        <v>29259</v>
      </c>
      <c r="T902">
        <v>81.2</v>
      </c>
      <c r="U902">
        <v>75.2</v>
      </c>
      <c r="V902">
        <v>7044</v>
      </c>
      <c r="W902">
        <v>75.7</v>
      </c>
      <c r="X902">
        <v>3.84</v>
      </c>
      <c r="Y902">
        <v>0</v>
      </c>
    </row>
    <row r="903" spans="1:25" x14ac:dyDescent="0.25">
      <c r="A903" t="s">
        <v>53</v>
      </c>
      <c r="B903">
        <f>_xlfn.XLOOKUP(Table4[[#This Row],[country]],Table2[country],Table2[country_id],FALSE)</f>
        <v>19</v>
      </c>
      <c r="C903" t="s">
        <v>32</v>
      </c>
      <c r="D903">
        <v>2022</v>
      </c>
      <c r="E903">
        <f>_xlfn.XLOOKUP(Table4[[#This Row],[year]],Table1[year],Table1[year_id])</f>
        <v>13</v>
      </c>
      <c r="F903" t="s">
        <v>29</v>
      </c>
      <c r="G903" t="s">
        <v>28</v>
      </c>
      <c r="H903" cm="1">
        <f t="array" ref="H903">_xlfn.XLOOKUP(Table4[[#This Row],[vehicle_segment]]&amp;Table4[[#This Row],[powertrain_type]],Table3[vehicle_segment]&amp;Table3[powertrain_type],Table3[vehicle_id])</f>
        <v>2</v>
      </c>
      <c r="I903">
        <v>40060</v>
      </c>
      <c r="J903">
        <v>393097</v>
      </c>
      <c r="K903">
        <v>53604</v>
      </c>
      <c r="L903">
        <v>486761</v>
      </c>
      <c r="M903">
        <v>8.23</v>
      </c>
      <c r="N903">
        <v>23376</v>
      </c>
      <c r="O903">
        <v>15.3</v>
      </c>
      <c r="P903">
        <v>398</v>
      </c>
      <c r="Q903">
        <v>1.7969999999999999</v>
      </c>
      <c r="R903">
        <v>0.307</v>
      </c>
      <c r="S903">
        <v>29259</v>
      </c>
      <c r="T903">
        <v>81.2</v>
      </c>
      <c r="U903">
        <v>75.2</v>
      </c>
      <c r="V903">
        <v>7044</v>
      </c>
      <c r="W903">
        <v>75.7</v>
      </c>
      <c r="X903">
        <v>3.66</v>
      </c>
      <c r="Y903">
        <v>0</v>
      </c>
    </row>
    <row r="904" spans="1:25" x14ac:dyDescent="0.25">
      <c r="A904" t="s">
        <v>53</v>
      </c>
      <c r="B904">
        <f>_xlfn.XLOOKUP(Table4[[#This Row],[country]],Table2[country],Table2[country_id],FALSE)</f>
        <v>19</v>
      </c>
      <c r="C904" t="s">
        <v>32</v>
      </c>
      <c r="D904">
        <v>2022</v>
      </c>
      <c r="E904">
        <f>_xlfn.XLOOKUP(Table4[[#This Row],[year]],Table1[year],Table1[year_id])</f>
        <v>13</v>
      </c>
      <c r="F904" t="s">
        <v>30</v>
      </c>
      <c r="G904" t="s">
        <v>28</v>
      </c>
      <c r="H904" cm="1">
        <f t="array" ref="H904">_xlfn.XLOOKUP(Table4[[#This Row],[vehicle_segment]]&amp;Table4[[#This Row],[powertrain_type]],Table3[vehicle_segment]&amp;Table3[powertrain_type],Table3[vehicle_id])</f>
        <v>3</v>
      </c>
      <c r="I904">
        <v>24337</v>
      </c>
      <c r="J904">
        <v>165236</v>
      </c>
      <c r="K904">
        <v>14368</v>
      </c>
      <c r="L904">
        <v>203941</v>
      </c>
      <c r="M904">
        <v>11.93</v>
      </c>
      <c r="N904">
        <v>23376</v>
      </c>
      <c r="O904">
        <v>15.3</v>
      </c>
      <c r="P904">
        <v>398</v>
      </c>
      <c r="Q904">
        <v>1.7969999999999999</v>
      </c>
      <c r="R904">
        <v>0.307</v>
      </c>
      <c r="S904">
        <v>29259</v>
      </c>
      <c r="T904">
        <v>81.2</v>
      </c>
      <c r="U904">
        <v>75.2</v>
      </c>
      <c r="V904">
        <v>7044</v>
      </c>
      <c r="W904">
        <v>75.7</v>
      </c>
      <c r="X904">
        <v>4.58</v>
      </c>
      <c r="Y904">
        <v>0</v>
      </c>
    </row>
    <row r="905" spans="1:25" x14ac:dyDescent="0.25">
      <c r="A905" t="s">
        <v>53</v>
      </c>
      <c r="B905">
        <f>_xlfn.XLOOKUP(Table4[[#This Row],[country]],Table2[country],Table2[country_id],FALSE)</f>
        <v>19</v>
      </c>
      <c r="C905" t="s">
        <v>32</v>
      </c>
      <c r="D905">
        <v>2023</v>
      </c>
      <c r="E905">
        <f>_xlfn.XLOOKUP(Table4[[#This Row],[year]],Table1[year],Table1[year_id])</f>
        <v>14</v>
      </c>
      <c r="F905" t="s">
        <v>27</v>
      </c>
      <c r="G905" t="s">
        <v>28</v>
      </c>
      <c r="H905" cm="1">
        <f t="array" ref="H905">_xlfn.XLOOKUP(Table4[[#This Row],[vehicle_segment]]&amp;Table4[[#This Row],[powertrain_type]],Table3[vehicle_segment]&amp;Table3[powertrain_type],Table3[vehicle_id])</f>
        <v>1</v>
      </c>
      <c r="I905">
        <v>4203</v>
      </c>
      <c r="J905">
        <v>83449</v>
      </c>
      <c r="K905">
        <v>55632</v>
      </c>
      <c r="L905">
        <v>143284</v>
      </c>
      <c r="M905">
        <v>2.93</v>
      </c>
      <c r="N905">
        <v>32345</v>
      </c>
      <c r="O905">
        <v>17.5</v>
      </c>
      <c r="P905">
        <v>431</v>
      </c>
      <c r="Q905">
        <v>1.8129999999999999</v>
      </c>
      <c r="R905">
        <v>0.309</v>
      </c>
      <c r="S905">
        <v>32207</v>
      </c>
      <c r="T905">
        <v>81.2</v>
      </c>
      <c r="U905">
        <v>75.599999999999994</v>
      </c>
      <c r="V905">
        <v>7094</v>
      </c>
      <c r="W905">
        <v>78.400000000000006</v>
      </c>
      <c r="X905">
        <v>18.73</v>
      </c>
      <c r="Y905">
        <v>0</v>
      </c>
    </row>
    <row r="906" spans="1:25" x14ac:dyDescent="0.25">
      <c r="A906" t="s">
        <v>53</v>
      </c>
      <c r="B906">
        <f>_xlfn.XLOOKUP(Table4[[#This Row],[country]],Table2[country],Table2[country_id],FALSE)</f>
        <v>19</v>
      </c>
      <c r="C906" t="s">
        <v>32</v>
      </c>
      <c r="D906">
        <v>2023</v>
      </c>
      <c r="E906">
        <f>_xlfn.XLOOKUP(Table4[[#This Row],[year]],Table1[year],Table1[year_id])</f>
        <v>14</v>
      </c>
      <c r="F906" t="s">
        <v>29</v>
      </c>
      <c r="G906" t="s">
        <v>28</v>
      </c>
      <c r="H906" cm="1">
        <f t="array" ref="H906">_xlfn.XLOOKUP(Table4[[#This Row],[vehicle_segment]]&amp;Table4[[#This Row],[powertrain_type]],Table3[vehicle_segment]&amp;Table3[powertrain_type],Table3[vehicle_id])</f>
        <v>2</v>
      </c>
      <c r="I906">
        <v>48369</v>
      </c>
      <c r="J906">
        <v>465367</v>
      </c>
      <c r="K906">
        <v>63459</v>
      </c>
      <c r="L906">
        <v>577195</v>
      </c>
      <c r="M906">
        <v>8.3800000000000008</v>
      </c>
      <c r="N906">
        <v>32345</v>
      </c>
      <c r="O906">
        <v>17.5</v>
      </c>
      <c r="P906">
        <v>431</v>
      </c>
      <c r="Q906">
        <v>1.8129999999999999</v>
      </c>
      <c r="R906">
        <v>0.309</v>
      </c>
      <c r="S906">
        <v>32207</v>
      </c>
      <c r="T906">
        <v>81.2</v>
      </c>
      <c r="U906">
        <v>75.599999999999994</v>
      </c>
      <c r="V906">
        <v>7094</v>
      </c>
      <c r="W906">
        <v>78.400000000000006</v>
      </c>
      <c r="X906">
        <v>20.74</v>
      </c>
      <c r="Y906">
        <v>0</v>
      </c>
    </row>
    <row r="907" spans="1:25" x14ac:dyDescent="0.25">
      <c r="A907" t="s">
        <v>53</v>
      </c>
      <c r="B907">
        <f>_xlfn.XLOOKUP(Table4[[#This Row],[country]],Table2[country],Table2[country_id],FALSE)</f>
        <v>19</v>
      </c>
      <c r="C907" t="s">
        <v>32</v>
      </c>
      <c r="D907">
        <v>2023</v>
      </c>
      <c r="E907">
        <f>_xlfn.XLOOKUP(Table4[[#This Row],[year]],Table1[year],Table1[year_id])</f>
        <v>14</v>
      </c>
      <c r="F907" t="s">
        <v>30</v>
      </c>
      <c r="G907" t="s">
        <v>28</v>
      </c>
      <c r="H907" cm="1">
        <f t="array" ref="H907">_xlfn.XLOOKUP(Table4[[#This Row],[vehicle_segment]]&amp;Table4[[#This Row],[powertrain_type]],Table3[vehicle_segment]&amp;Table3[powertrain_type],Table3[vehicle_id])</f>
        <v>3</v>
      </c>
      <c r="I907">
        <v>29006</v>
      </c>
      <c r="J907">
        <v>192930</v>
      </c>
      <c r="K907">
        <v>16777</v>
      </c>
      <c r="L907">
        <v>238713</v>
      </c>
      <c r="M907">
        <v>12.15</v>
      </c>
      <c r="N907">
        <v>32345</v>
      </c>
      <c r="O907">
        <v>17.5</v>
      </c>
      <c r="P907">
        <v>431</v>
      </c>
      <c r="Q907">
        <v>1.8129999999999999</v>
      </c>
      <c r="R907">
        <v>0.309</v>
      </c>
      <c r="S907">
        <v>32207</v>
      </c>
      <c r="T907">
        <v>81.2</v>
      </c>
      <c r="U907">
        <v>75.599999999999994</v>
      </c>
      <c r="V907">
        <v>7094</v>
      </c>
      <c r="W907">
        <v>78.400000000000006</v>
      </c>
      <c r="X907">
        <v>19.18</v>
      </c>
      <c r="Y907">
        <v>0</v>
      </c>
    </row>
    <row r="908" spans="1:25" x14ac:dyDescent="0.25">
      <c r="A908" t="s">
        <v>53</v>
      </c>
      <c r="B908">
        <f>_xlfn.XLOOKUP(Table4[[#This Row],[country]],Table2[country],Table2[country_id],FALSE)</f>
        <v>19</v>
      </c>
      <c r="C908" t="s">
        <v>32</v>
      </c>
      <c r="D908">
        <v>2024</v>
      </c>
      <c r="E908">
        <f>_xlfn.XLOOKUP(Table4[[#This Row],[year]],Table1[year],Table1[year_id])</f>
        <v>15</v>
      </c>
      <c r="F908" t="s">
        <v>27</v>
      </c>
      <c r="G908" t="s">
        <v>28</v>
      </c>
      <c r="H908" cm="1">
        <f t="array" ref="H908">_xlfn.XLOOKUP(Table4[[#This Row],[vehicle_segment]]&amp;Table4[[#This Row],[powertrain_type]],Table3[vehicle_segment]&amp;Table3[powertrain_type],Table3[vehicle_id])</f>
        <v>1</v>
      </c>
      <c r="I908">
        <v>5138</v>
      </c>
      <c r="J908">
        <v>83531</v>
      </c>
      <c r="K908">
        <v>55687</v>
      </c>
      <c r="L908">
        <v>144356</v>
      </c>
      <c r="M908">
        <v>3.56</v>
      </c>
      <c r="N908">
        <v>42696</v>
      </c>
      <c r="O908">
        <v>20.6</v>
      </c>
      <c r="P908">
        <v>461</v>
      </c>
      <c r="Q908">
        <v>1.72</v>
      </c>
      <c r="R908">
        <v>0.28100000000000003</v>
      </c>
      <c r="S908">
        <v>33322</v>
      </c>
      <c r="T908">
        <v>81.3</v>
      </c>
      <c r="U908">
        <v>74.2</v>
      </c>
      <c r="V908">
        <v>7109</v>
      </c>
      <c r="W908">
        <v>80.099999999999994</v>
      </c>
      <c r="X908">
        <v>22.25</v>
      </c>
      <c r="Y908">
        <v>0</v>
      </c>
    </row>
    <row r="909" spans="1:25" x14ac:dyDescent="0.25">
      <c r="A909" t="s">
        <v>53</v>
      </c>
      <c r="B909">
        <f>_xlfn.XLOOKUP(Table4[[#This Row],[country]],Table2[country],Table2[country_id],FALSE)</f>
        <v>19</v>
      </c>
      <c r="C909" t="s">
        <v>32</v>
      </c>
      <c r="D909">
        <v>2024</v>
      </c>
      <c r="E909">
        <f>_xlfn.XLOOKUP(Table4[[#This Row],[year]],Table1[year],Table1[year_id])</f>
        <v>15</v>
      </c>
      <c r="F909" t="s">
        <v>29</v>
      </c>
      <c r="G909" t="s">
        <v>28</v>
      </c>
      <c r="H909" cm="1">
        <f t="array" ref="H909">_xlfn.XLOOKUP(Table4[[#This Row],[vehicle_segment]]&amp;Table4[[#This Row],[powertrain_type]],Table3[vehicle_segment]&amp;Table3[powertrain_type],Table3[vehicle_id])</f>
        <v>2</v>
      </c>
      <c r="I909">
        <v>60168</v>
      </c>
      <c r="J909">
        <v>467681</v>
      </c>
      <c r="K909">
        <v>63775</v>
      </c>
      <c r="L909">
        <v>591624</v>
      </c>
      <c r="M909">
        <v>10.17</v>
      </c>
      <c r="N909">
        <v>42696</v>
      </c>
      <c r="O909">
        <v>20.6</v>
      </c>
      <c r="P909">
        <v>461</v>
      </c>
      <c r="Q909">
        <v>1.72</v>
      </c>
      <c r="R909">
        <v>0.28100000000000003</v>
      </c>
      <c r="S909">
        <v>33322</v>
      </c>
      <c r="T909">
        <v>81.3</v>
      </c>
      <c r="U909">
        <v>74.2</v>
      </c>
      <c r="V909">
        <v>7109</v>
      </c>
      <c r="W909">
        <v>80.099999999999994</v>
      </c>
      <c r="X909">
        <v>24.39</v>
      </c>
      <c r="Y909">
        <v>0</v>
      </c>
    </row>
    <row r="910" spans="1:25" x14ac:dyDescent="0.25">
      <c r="A910" t="s">
        <v>53</v>
      </c>
      <c r="B910">
        <f>_xlfn.XLOOKUP(Table4[[#This Row],[country]],Table2[country],Table2[country_id],FALSE)</f>
        <v>19</v>
      </c>
      <c r="C910" t="s">
        <v>32</v>
      </c>
      <c r="D910">
        <v>2024</v>
      </c>
      <c r="E910">
        <f>_xlfn.XLOOKUP(Table4[[#This Row],[year]],Table1[year],Table1[year_id])</f>
        <v>15</v>
      </c>
      <c r="F910" t="s">
        <v>30</v>
      </c>
      <c r="G910" t="s">
        <v>28</v>
      </c>
      <c r="H910" cm="1">
        <f t="array" ref="H910">_xlfn.XLOOKUP(Table4[[#This Row],[vehicle_segment]]&amp;Table4[[#This Row],[powertrain_type]],Table3[vehicle_segment]&amp;Table3[powertrain_type],Table3[vehicle_id])</f>
        <v>3</v>
      </c>
      <c r="I910">
        <v>35282</v>
      </c>
      <c r="J910">
        <v>187658</v>
      </c>
      <c r="K910">
        <v>16318</v>
      </c>
      <c r="L910">
        <v>239258</v>
      </c>
      <c r="M910">
        <v>14.75</v>
      </c>
      <c r="N910">
        <v>42696</v>
      </c>
      <c r="O910">
        <v>20.6</v>
      </c>
      <c r="P910">
        <v>461</v>
      </c>
      <c r="Q910">
        <v>1.72</v>
      </c>
      <c r="R910">
        <v>0.28100000000000003</v>
      </c>
      <c r="S910">
        <v>33322</v>
      </c>
      <c r="T910">
        <v>81.3</v>
      </c>
      <c r="U910">
        <v>74.2</v>
      </c>
      <c r="V910">
        <v>7109</v>
      </c>
      <c r="W910">
        <v>80.099999999999994</v>
      </c>
      <c r="X910">
        <v>21.64</v>
      </c>
      <c r="Y910">
        <v>0</v>
      </c>
    </row>
    <row r="911" spans="1:25" x14ac:dyDescent="0.25">
      <c r="A911" t="s">
        <v>53</v>
      </c>
      <c r="B911">
        <f>_xlfn.XLOOKUP(Table4[[#This Row],[country]],Table2[country],Table2[country_id],FALSE)</f>
        <v>19</v>
      </c>
      <c r="C911" t="s">
        <v>32</v>
      </c>
      <c r="D911">
        <v>2025</v>
      </c>
      <c r="E911">
        <f>_xlfn.XLOOKUP(Table4[[#This Row],[year]],Table1[year],Table1[year_id])</f>
        <v>16</v>
      </c>
      <c r="F911" t="s">
        <v>27</v>
      </c>
      <c r="G911" t="s">
        <v>28</v>
      </c>
      <c r="H911" cm="1">
        <f t="array" ref="H911">_xlfn.XLOOKUP(Table4[[#This Row],[vehicle_segment]]&amp;Table4[[#This Row],[powertrain_type]],Table3[vehicle_segment]&amp;Table3[powertrain_type],Table3[vehicle_id])</f>
        <v>1</v>
      </c>
      <c r="I911">
        <v>6460</v>
      </c>
      <c r="J911">
        <v>89337</v>
      </c>
      <c r="K911">
        <v>59558</v>
      </c>
      <c r="L911">
        <v>155355</v>
      </c>
      <c r="M911">
        <v>4.16</v>
      </c>
      <c r="N911">
        <v>50087</v>
      </c>
      <c r="O911">
        <v>22.6</v>
      </c>
      <c r="P911">
        <v>477</v>
      </c>
      <c r="Q911">
        <v>1.59</v>
      </c>
      <c r="R911">
        <v>0.25600000000000001</v>
      </c>
      <c r="S911">
        <v>34583</v>
      </c>
      <c r="T911">
        <v>81.2</v>
      </c>
      <c r="U911">
        <v>70.5</v>
      </c>
      <c r="V911">
        <v>6986</v>
      </c>
      <c r="W911">
        <v>83.4</v>
      </c>
      <c r="X911">
        <v>25.73</v>
      </c>
      <c r="Y911">
        <v>0</v>
      </c>
    </row>
    <row r="912" spans="1:25" x14ac:dyDescent="0.25">
      <c r="A912" t="s">
        <v>53</v>
      </c>
      <c r="B912">
        <f>_xlfn.XLOOKUP(Table4[[#This Row],[country]],Table2[country],Table2[country_id],FALSE)</f>
        <v>19</v>
      </c>
      <c r="C912" t="s">
        <v>32</v>
      </c>
      <c r="D912">
        <v>2025</v>
      </c>
      <c r="E912">
        <f>_xlfn.XLOOKUP(Table4[[#This Row],[year]],Table1[year],Table1[year_id])</f>
        <v>16</v>
      </c>
      <c r="F912" t="s">
        <v>29</v>
      </c>
      <c r="G912" t="s">
        <v>28</v>
      </c>
      <c r="H912" cm="1">
        <f t="array" ref="H912">_xlfn.XLOOKUP(Table4[[#This Row],[vehicle_segment]]&amp;Table4[[#This Row],[powertrain_type]],Table3[vehicle_segment]&amp;Table3[powertrain_type],Table3[vehicle_id])</f>
        <v>2</v>
      </c>
      <c r="I912">
        <v>73568</v>
      </c>
      <c r="J912">
        <v>480205</v>
      </c>
      <c r="K912">
        <v>65483</v>
      </c>
      <c r="L912">
        <v>619256</v>
      </c>
      <c r="M912">
        <v>11.88</v>
      </c>
      <c r="N912">
        <v>50087</v>
      </c>
      <c r="O912">
        <v>22.6</v>
      </c>
      <c r="P912">
        <v>477</v>
      </c>
      <c r="Q912">
        <v>1.59</v>
      </c>
      <c r="R912">
        <v>0.25600000000000001</v>
      </c>
      <c r="S912">
        <v>34583</v>
      </c>
      <c r="T912">
        <v>81.2</v>
      </c>
      <c r="U912">
        <v>70.5</v>
      </c>
      <c r="V912">
        <v>6986</v>
      </c>
      <c r="W912">
        <v>83.4</v>
      </c>
      <c r="X912">
        <v>22.27</v>
      </c>
      <c r="Y912">
        <v>0</v>
      </c>
    </row>
    <row r="913" spans="1:25" x14ac:dyDescent="0.25">
      <c r="A913" t="s">
        <v>53</v>
      </c>
      <c r="B913">
        <f>_xlfn.XLOOKUP(Table4[[#This Row],[country]],Table2[country],Table2[country_id],FALSE)</f>
        <v>19</v>
      </c>
      <c r="C913" t="s">
        <v>32</v>
      </c>
      <c r="D913">
        <v>2025</v>
      </c>
      <c r="E913">
        <f>_xlfn.XLOOKUP(Table4[[#This Row],[year]],Table1[year],Table1[year_id])</f>
        <v>16</v>
      </c>
      <c r="F913" t="s">
        <v>30</v>
      </c>
      <c r="G913" t="s">
        <v>28</v>
      </c>
      <c r="H913" cm="1">
        <f t="array" ref="H913">_xlfn.XLOOKUP(Table4[[#This Row],[vehicle_segment]]&amp;Table4[[#This Row],[powertrain_type]],Table3[vehicle_segment]&amp;Table3[powertrain_type],Table3[vehicle_id])</f>
        <v>3</v>
      </c>
      <c r="I913">
        <v>43923</v>
      </c>
      <c r="J913">
        <v>194172</v>
      </c>
      <c r="K913">
        <v>16885</v>
      </c>
      <c r="L913">
        <v>254980</v>
      </c>
      <c r="M913">
        <v>17.23</v>
      </c>
      <c r="N913">
        <v>50087</v>
      </c>
      <c r="O913">
        <v>22.6</v>
      </c>
      <c r="P913">
        <v>477</v>
      </c>
      <c r="Q913">
        <v>1.59</v>
      </c>
      <c r="R913">
        <v>0.25600000000000001</v>
      </c>
      <c r="S913">
        <v>34583</v>
      </c>
      <c r="T913">
        <v>81.2</v>
      </c>
      <c r="U913">
        <v>70.5</v>
      </c>
      <c r="V913">
        <v>6986</v>
      </c>
      <c r="W913">
        <v>83.4</v>
      </c>
      <c r="X913">
        <v>24.49</v>
      </c>
      <c r="Y913">
        <v>0</v>
      </c>
    </row>
    <row r="914" spans="1:25" x14ac:dyDescent="0.25">
      <c r="A914" t="s">
        <v>54</v>
      </c>
      <c r="B914">
        <f>_xlfn.XLOOKUP(Table4[[#This Row],[country]],Table2[country],Table2[country_id],FALSE)</f>
        <v>20</v>
      </c>
      <c r="C914" t="s">
        <v>32</v>
      </c>
      <c r="D914">
        <v>2010</v>
      </c>
      <c r="E914">
        <f>_xlfn.XLOOKUP(Table4[[#This Row],[year]],Table1[year],Table1[year_id])</f>
        <v>1</v>
      </c>
      <c r="F914" t="s">
        <v>27</v>
      </c>
      <c r="G914" t="s">
        <v>28</v>
      </c>
      <c r="H914" cm="1">
        <f t="array" ref="H914">_xlfn.XLOOKUP(Table4[[#This Row],[vehicle_segment]]&amp;Table4[[#This Row],[powertrain_type]],Table3[vehicle_segment]&amp;Table3[powertrain_type],Table3[vehicle_id])</f>
        <v>1</v>
      </c>
      <c r="I914">
        <v>5</v>
      </c>
      <c r="J914">
        <v>27387</v>
      </c>
      <c r="K914">
        <v>18258</v>
      </c>
      <c r="L914">
        <v>45650</v>
      </c>
      <c r="M914">
        <v>0.01</v>
      </c>
      <c r="N914">
        <v>109</v>
      </c>
      <c r="O914">
        <v>2.9</v>
      </c>
      <c r="P914">
        <v>121</v>
      </c>
      <c r="Q914">
        <v>1.56</v>
      </c>
      <c r="R914">
        <v>0.13200000000000001</v>
      </c>
      <c r="S914">
        <v>52754</v>
      </c>
      <c r="T914">
        <v>85.1</v>
      </c>
      <c r="U914">
        <v>19.5</v>
      </c>
      <c r="V914">
        <v>0</v>
      </c>
      <c r="W914">
        <v>64.5</v>
      </c>
      <c r="X914">
        <v>0</v>
      </c>
      <c r="Y914">
        <v>0</v>
      </c>
    </row>
    <row r="915" spans="1:25" x14ac:dyDescent="0.25">
      <c r="A915" t="s">
        <v>54</v>
      </c>
      <c r="B915">
        <f>_xlfn.XLOOKUP(Table4[[#This Row],[country]],Table2[country],Table2[country_id],FALSE)</f>
        <v>20</v>
      </c>
      <c r="C915" t="s">
        <v>32</v>
      </c>
      <c r="D915">
        <v>2010</v>
      </c>
      <c r="E915">
        <f>_xlfn.XLOOKUP(Table4[[#This Row],[year]],Table1[year],Table1[year_id])</f>
        <v>1</v>
      </c>
      <c r="F915" t="s">
        <v>29</v>
      </c>
      <c r="G915" t="s">
        <v>28</v>
      </c>
      <c r="H915" cm="1">
        <f t="array" ref="H915">_xlfn.XLOOKUP(Table4[[#This Row],[vehicle_segment]]&amp;Table4[[#This Row],[powertrain_type]],Table3[vehicle_segment]&amp;Table3[powertrain_type],Table3[vehicle_id])</f>
        <v>2</v>
      </c>
      <c r="I915">
        <v>54</v>
      </c>
      <c r="J915">
        <v>157706</v>
      </c>
      <c r="K915">
        <v>21505</v>
      </c>
      <c r="L915">
        <v>179265</v>
      </c>
      <c r="M915">
        <v>0.03</v>
      </c>
      <c r="N915">
        <v>109</v>
      </c>
      <c r="O915">
        <v>2.9</v>
      </c>
      <c r="P915">
        <v>121</v>
      </c>
      <c r="Q915">
        <v>1.56</v>
      </c>
      <c r="R915">
        <v>0.13200000000000001</v>
      </c>
      <c r="S915">
        <v>52754</v>
      </c>
      <c r="T915">
        <v>85.1</v>
      </c>
      <c r="U915">
        <v>19.5</v>
      </c>
      <c r="V915">
        <v>0</v>
      </c>
      <c r="W915">
        <v>64.5</v>
      </c>
      <c r="X915">
        <v>0</v>
      </c>
      <c r="Y915">
        <v>0</v>
      </c>
    </row>
    <row r="916" spans="1:25" x14ac:dyDescent="0.25">
      <c r="A916" t="s">
        <v>54</v>
      </c>
      <c r="B916">
        <f>_xlfn.XLOOKUP(Table4[[#This Row],[country]],Table2[country],Table2[country_id],FALSE)</f>
        <v>20</v>
      </c>
      <c r="C916" t="s">
        <v>32</v>
      </c>
      <c r="D916">
        <v>2010</v>
      </c>
      <c r="E916">
        <f>_xlfn.XLOOKUP(Table4[[#This Row],[year]],Table1[year],Table1[year_id])</f>
        <v>1</v>
      </c>
      <c r="F916" t="s">
        <v>30</v>
      </c>
      <c r="G916" t="s">
        <v>28</v>
      </c>
      <c r="H916" cm="1">
        <f t="array" ref="H916">_xlfn.XLOOKUP(Table4[[#This Row],[vehicle_segment]]&amp;Table4[[#This Row],[powertrain_type]],Table3[vehicle_segment]&amp;Table3[powertrain_type],Table3[vehicle_id])</f>
        <v>3</v>
      </c>
      <c r="I916">
        <v>32</v>
      </c>
      <c r="J916">
        <v>67925</v>
      </c>
      <c r="K916">
        <v>5907</v>
      </c>
      <c r="L916">
        <v>73864</v>
      </c>
      <c r="M916">
        <v>0.04</v>
      </c>
      <c r="N916">
        <v>109</v>
      </c>
      <c r="O916">
        <v>2.9</v>
      </c>
      <c r="P916">
        <v>121</v>
      </c>
      <c r="Q916">
        <v>1.56</v>
      </c>
      <c r="R916">
        <v>0.13200000000000001</v>
      </c>
      <c r="S916">
        <v>52754</v>
      </c>
      <c r="T916">
        <v>85.1</v>
      </c>
      <c r="U916">
        <v>19.5</v>
      </c>
      <c r="V916">
        <v>0</v>
      </c>
      <c r="W916">
        <v>64.5</v>
      </c>
      <c r="X916">
        <v>0</v>
      </c>
      <c r="Y916">
        <v>0</v>
      </c>
    </row>
    <row r="917" spans="1:25" x14ac:dyDescent="0.25">
      <c r="A917" t="s">
        <v>54</v>
      </c>
      <c r="B917">
        <f>_xlfn.XLOOKUP(Table4[[#This Row],[country]],Table2[country],Table2[country_id],FALSE)</f>
        <v>20</v>
      </c>
      <c r="C917" t="s">
        <v>32</v>
      </c>
      <c r="D917">
        <v>2011</v>
      </c>
      <c r="E917">
        <f>_xlfn.XLOOKUP(Table4[[#This Row],[year]],Table1[year],Table1[year_id])</f>
        <v>2</v>
      </c>
      <c r="F917" t="s">
        <v>27</v>
      </c>
      <c r="G917" t="s">
        <v>28</v>
      </c>
      <c r="H917" cm="1">
        <f t="array" ref="H917">_xlfn.XLOOKUP(Table4[[#This Row],[vehicle_segment]]&amp;Table4[[#This Row],[powertrain_type]],Table3[vehicle_segment]&amp;Table3[powertrain_type],Table3[vehicle_id])</f>
        <v>1</v>
      </c>
      <c r="I917">
        <v>29</v>
      </c>
      <c r="J917">
        <v>25180</v>
      </c>
      <c r="K917">
        <v>16786</v>
      </c>
      <c r="L917">
        <v>41995</v>
      </c>
      <c r="M917">
        <v>7.0000000000000007E-2</v>
      </c>
      <c r="N917">
        <v>432</v>
      </c>
      <c r="O917">
        <v>4.8</v>
      </c>
      <c r="P917">
        <v>131</v>
      </c>
      <c r="Q917">
        <v>1.5129999999999999</v>
      </c>
      <c r="R917">
        <v>0.124</v>
      </c>
      <c r="S917">
        <v>51125</v>
      </c>
      <c r="T917">
        <v>84.7</v>
      </c>
      <c r="U917">
        <v>19.5</v>
      </c>
      <c r="V917">
        <v>2235</v>
      </c>
      <c r="W917">
        <v>66</v>
      </c>
      <c r="X917">
        <v>300</v>
      </c>
      <c r="Y917">
        <v>0</v>
      </c>
    </row>
    <row r="918" spans="1:25" x14ac:dyDescent="0.25">
      <c r="A918" t="s">
        <v>54</v>
      </c>
      <c r="B918">
        <f>_xlfn.XLOOKUP(Table4[[#This Row],[country]],Table2[country],Table2[country_id],FALSE)</f>
        <v>20</v>
      </c>
      <c r="C918" t="s">
        <v>32</v>
      </c>
      <c r="D918">
        <v>2011</v>
      </c>
      <c r="E918">
        <f>_xlfn.XLOOKUP(Table4[[#This Row],[year]],Table1[year],Table1[year_id])</f>
        <v>2</v>
      </c>
      <c r="F918" t="s">
        <v>29</v>
      </c>
      <c r="G918" t="s">
        <v>28</v>
      </c>
      <c r="H918" cm="1">
        <f t="array" ref="H918">_xlfn.XLOOKUP(Table4[[#This Row],[vehicle_segment]]&amp;Table4[[#This Row],[powertrain_type]],Table3[vehicle_segment]&amp;Table3[powertrain_type],Table3[vehicle_id])</f>
        <v>2</v>
      </c>
      <c r="I918">
        <v>336</v>
      </c>
      <c r="J918">
        <v>147374</v>
      </c>
      <c r="K918">
        <v>20096</v>
      </c>
      <c r="L918">
        <v>167806</v>
      </c>
      <c r="M918">
        <v>0.2</v>
      </c>
      <c r="N918">
        <v>432</v>
      </c>
      <c r="O918">
        <v>4.8</v>
      </c>
      <c r="P918">
        <v>131</v>
      </c>
      <c r="Q918">
        <v>1.5129999999999999</v>
      </c>
      <c r="R918">
        <v>0.124</v>
      </c>
      <c r="S918">
        <v>51125</v>
      </c>
      <c r="T918">
        <v>84.7</v>
      </c>
      <c r="U918">
        <v>19.5</v>
      </c>
      <c r="V918">
        <v>2235</v>
      </c>
      <c r="W918">
        <v>66</v>
      </c>
      <c r="X918">
        <v>300</v>
      </c>
      <c r="Y918">
        <v>0</v>
      </c>
    </row>
    <row r="919" spans="1:25" x14ac:dyDescent="0.25">
      <c r="A919" t="s">
        <v>54</v>
      </c>
      <c r="B919">
        <f>_xlfn.XLOOKUP(Table4[[#This Row],[country]],Table2[country],Table2[country_id],FALSE)</f>
        <v>20</v>
      </c>
      <c r="C919" t="s">
        <v>32</v>
      </c>
      <c r="D919">
        <v>2011</v>
      </c>
      <c r="E919">
        <f>_xlfn.XLOOKUP(Table4[[#This Row],[year]],Table1[year],Table1[year_id])</f>
        <v>2</v>
      </c>
      <c r="F919" t="s">
        <v>30</v>
      </c>
      <c r="G919" t="s">
        <v>28</v>
      </c>
      <c r="H919" cm="1">
        <f t="array" ref="H919">_xlfn.XLOOKUP(Table4[[#This Row],[vehicle_segment]]&amp;Table4[[#This Row],[powertrain_type]],Table3[vehicle_segment]&amp;Table3[powertrain_type],Table3[vehicle_id])</f>
        <v>3</v>
      </c>
      <c r="I919">
        <v>203</v>
      </c>
      <c r="J919">
        <v>64347</v>
      </c>
      <c r="K919">
        <v>5595</v>
      </c>
      <c r="L919">
        <v>70145</v>
      </c>
      <c r="M919">
        <v>0.28999999999999998</v>
      </c>
      <c r="N919">
        <v>432</v>
      </c>
      <c r="O919">
        <v>4.8</v>
      </c>
      <c r="P919">
        <v>131</v>
      </c>
      <c r="Q919">
        <v>1.5129999999999999</v>
      </c>
      <c r="R919">
        <v>0.124</v>
      </c>
      <c r="S919">
        <v>51125</v>
      </c>
      <c r="T919">
        <v>84.7</v>
      </c>
      <c r="U919">
        <v>19.5</v>
      </c>
      <c r="V919">
        <v>2235</v>
      </c>
      <c r="W919">
        <v>66</v>
      </c>
      <c r="X919">
        <v>300</v>
      </c>
      <c r="Y919">
        <v>0</v>
      </c>
    </row>
    <row r="920" spans="1:25" x14ac:dyDescent="0.25">
      <c r="A920" t="s">
        <v>54</v>
      </c>
      <c r="B920">
        <f>_xlfn.XLOOKUP(Table4[[#This Row],[country]],Table2[country],Table2[country_id],FALSE)</f>
        <v>20</v>
      </c>
      <c r="C920" t="s">
        <v>32</v>
      </c>
      <c r="D920">
        <v>2012</v>
      </c>
      <c r="E920">
        <f>_xlfn.XLOOKUP(Table4[[#This Row],[year]],Table1[year],Table1[year_id])</f>
        <v>3</v>
      </c>
      <c r="F920" t="s">
        <v>27</v>
      </c>
      <c r="G920" t="s">
        <v>28</v>
      </c>
      <c r="H920" cm="1">
        <f t="array" ref="H920">_xlfn.XLOOKUP(Table4[[#This Row],[vehicle_segment]]&amp;Table4[[#This Row],[powertrain_type]],Table3[vehicle_segment]&amp;Table3[powertrain_type],Table3[vehicle_id])</f>
        <v>1</v>
      </c>
      <c r="I920">
        <v>54</v>
      </c>
      <c r="J920">
        <v>24205</v>
      </c>
      <c r="K920">
        <v>16136</v>
      </c>
      <c r="L920">
        <v>40395</v>
      </c>
      <c r="M920">
        <v>0.13</v>
      </c>
      <c r="N920">
        <v>720</v>
      </c>
      <c r="O920">
        <v>6.9</v>
      </c>
      <c r="P920">
        <v>150</v>
      </c>
      <c r="Q920">
        <v>1.4830000000000001</v>
      </c>
      <c r="R920">
        <v>0.11700000000000001</v>
      </c>
      <c r="S920">
        <v>52345</v>
      </c>
      <c r="T920">
        <v>85.1</v>
      </c>
      <c r="U920">
        <v>19.399999999999999</v>
      </c>
      <c r="V920">
        <v>4560</v>
      </c>
      <c r="W920">
        <v>68.900000000000006</v>
      </c>
      <c r="X920">
        <v>228.63</v>
      </c>
      <c r="Y920">
        <v>0</v>
      </c>
    </row>
    <row r="921" spans="1:25" x14ac:dyDescent="0.25">
      <c r="A921" t="s">
        <v>54</v>
      </c>
      <c r="B921">
        <f>_xlfn.XLOOKUP(Table4[[#This Row],[country]],Table2[country],Table2[country_id],FALSE)</f>
        <v>20</v>
      </c>
      <c r="C921" t="s">
        <v>32</v>
      </c>
      <c r="D921">
        <v>2012</v>
      </c>
      <c r="E921">
        <f>_xlfn.XLOOKUP(Table4[[#This Row],[year]],Table1[year],Table1[year_id])</f>
        <v>3</v>
      </c>
      <c r="F921" t="s">
        <v>29</v>
      </c>
      <c r="G921" t="s">
        <v>28</v>
      </c>
      <c r="H921" cm="1">
        <f t="array" ref="H921">_xlfn.XLOOKUP(Table4[[#This Row],[vehicle_segment]]&amp;Table4[[#This Row],[powertrain_type]],Table3[vehicle_segment]&amp;Table3[powertrain_type],Table3[vehicle_id])</f>
        <v>2</v>
      </c>
      <c r="I921">
        <v>614</v>
      </c>
      <c r="J921">
        <v>141675</v>
      </c>
      <c r="K921">
        <v>19319</v>
      </c>
      <c r="L921">
        <v>161608</v>
      </c>
      <c r="M921">
        <v>0.38</v>
      </c>
      <c r="N921">
        <v>720</v>
      </c>
      <c r="O921">
        <v>6.9</v>
      </c>
      <c r="P921">
        <v>150</v>
      </c>
      <c r="Q921">
        <v>1.4830000000000001</v>
      </c>
      <c r="R921">
        <v>0.11700000000000001</v>
      </c>
      <c r="S921">
        <v>52345</v>
      </c>
      <c r="T921">
        <v>85.1</v>
      </c>
      <c r="U921">
        <v>19.399999999999999</v>
      </c>
      <c r="V921">
        <v>4560</v>
      </c>
      <c r="W921">
        <v>68.900000000000006</v>
      </c>
      <c r="X921">
        <v>82.74</v>
      </c>
      <c r="Y921">
        <v>0</v>
      </c>
    </row>
    <row r="922" spans="1:25" x14ac:dyDescent="0.25">
      <c r="A922" t="s">
        <v>54</v>
      </c>
      <c r="B922">
        <f>_xlfn.XLOOKUP(Table4[[#This Row],[country]],Table2[country],Table2[country_id],FALSE)</f>
        <v>20</v>
      </c>
      <c r="C922" t="s">
        <v>32</v>
      </c>
      <c r="D922">
        <v>2012</v>
      </c>
      <c r="E922">
        <f>_xlfn.XLOOKUP(Table4[[#This Row],[year]],Table1[year],Table1[year_id])</f>
        <v>3</v>
      </c>
      <c r="F922" t="s">
        <v>30</v>
      </c>
      <c r="G922" t="s">
        <v>28</v>
      </c>
      <c r="H922" cm="1">
        <f t="array" ref="H922">_xlfn.XLOOKUP(Table4[[#This Row],[vehicle_segment]]&amp;Table4[[#This Row],[powertrain_type]],Table3[vehicle_segment]&amp;Table3[powertrain_type],Table3[vehicle_id])</f>
        <v>3</v>
      </c>
      <c r="I922">
        <v>372</v>
      </c>
      <c r="J922">
        <v>61715</v>
      </c>
      <c r="K922">
        <v>5367</v>
      </c>
      <c r="L922">
        <v>67454</v>
      </c>
      <c r="M922">
        <v>0.55000000000000004</v>
      </c>
      <c r="N922">
        <v>720</v>
      </c>
      <c r="O922">
        <v>6.9</v>
      </c>
      <c r="P922">
        <v>150</v>
      </c>
      <c r="Q922">
        <v>1.4830000000000001</v>
      </c>
      <c r="R922">
        <v>0.11700000000000001</v>
      </c>
      <c r="S922">
        <v>52345</v>
      </c>
      <c r="T922">
        <v>85.1</v>
      </c>
      <c r="U922">
        <v>19.399999999999999</v>
      </c>
      <c r="V922">
        <v>4560</v>
      </c>
      <c r="W922">
        <v>68.900000000000006</v>
      </c>
      <c r="X922">
        <v>83.25</v>
      </c>
      <c r="Y922">
        <v>0</v>
      </c>
    </row>
    <row r="923" spans="1:25" x14ac:dyDescent="0.25">
      <c r="A923" t="s">
        <v>54</v>
      </c>
      <c r="B923">
        <f>_xlfn.XLOOKUP(Table4[[#This Row],[country]],Table2[country],Table2[country_id],FALSE)</f>
        <v>20</v>
      </c>
      <c r="C923" t="s">
        <v>32</v>
      </c>
      <c r="D923">
        <v>2013</v>
      </c>
      <c r="E923">
        <f>_xlfn.XLOOKUP(Table4[[#This Row],[year]],Table1[year],Table1[year_id])</f>
        <v>4</v>
      </c>
      <c r="F923" t="s">
        <v>27</v>
      </c>
      <c r="G923" t="s">
        <v>28</v>
      </c>
      <c r="H923" cm="1">
        <f t="array" ref="H923">_xlfn.XLOOKUP(Table4[[#This Row],[vehicle_segment]]&amp;Table4[[#This Row],[powertrain_type]],Table3[vehicle_segment]&amp;Table3[powertrain_type],Table3[vehicle_id])</f>
        <v>1</v>
      </c>
      <c r="I923">
        <v>131</v>
      </c>
      <c r="J923">
        <v>23731</v>
      </c>
      <c r="K923">
        <v>15820</v>
      </c>
      <c r="L923">
        <v>39682</v>
      </c>
      <c r="M923">
        <v>0.33</v>
      </c>
      <c r="N923">
        <v>974</v>
      </c>
      <c r="O923">
        <v>8.8000000000000007</v>
      </c>
      <c r="P923">
        <v>160</v>
      </c>
      <c r="Q923">
        <v>1.4470000000000001</v>
      </c>
      <c r="R923">
        <v>0.111</v>
      </c>
      <c r="S923">
        <v>52102</v>
      </c>
      <c r="T923">
        <v>85.5</v>
      </c>
      <c r="U923">
        <v>19.2</v>
      </c>
      <c r="V923">
        <v>4548</v>
      </c>
      <c r="W923">
        <v>71.8</v>
      </c>
      <c r="X923">
        <v>197.01</v>
      </c>
      <c r="Y923">
        <v>0</v>
      </c>
    </row>
    <row r="924" spans="1:25" x14ac:dyDescent="0.25">
      <c r="A924" t="s">
        <v>54</v>
      </c>
      <c r="B924">
        <f>_xlfn.XLOOKUP(Table4[[#This Row],[country]],Table2[country],Table2[country_id],FALSE)</f>
        <v>20</v>
      </c>
      <c r="C924" t="s">
        <v>32</v>
      </c>
      <c r="D924">
        <v>2013</v>
      </c>
      <c r="E924">
        <f>_xlfn.XLOOKUP(Table4[[#This Row],[year]],Table1[year],Table1[year_id])</f>
        <v>4</v>
      </c>
      <c r="F924" t="s">
        <v>29</v>
      </c>
      <c r="G924" t="s">
        <v>28</v>
      </c>
      <c r="H924" cm="1">
        <f t="array" ref="H924">_xlfn.XLOOKUP(Table4[[#This Row],[vehicle_segment]]&amp;Table4[[#This Row],[powertrain_type]],Table3[vehicle_segment]&amp;Table3[powertrain_type],Table3[vehicle_id])</f>
        <v>2</v>
      </c>
      <c r="I924">
        <v>1546</v>
      </c>
      <c r="J924">
        <v>143390</v>
      </c>
      <c r="K924">
        <v>19553</v>
      </c>
      <c r="L924">
        <v>164489</v>
      </c>
      <c r="M924">
        <v>0.94</v>
      </c>
      <c r="N924">
        <v>974</v>
      </c>
      <c r="O924">
        <v>8.8000000000000007</v>
      </c>
      <c r="P924">
        <v>160</v>
      </c>
      <c r="Q924">
        <v>1.4470000000000001</v>
      </c>
      <c r="R924">
        <v>0.111</v>
      </c>
      <c r="S924">
        <v>52102</v>
      </c>
      <c r="T924">
        <v>85.5</v>
      </c>
      <c r="U924">
        <v>19.2</v>
      </c>
      <c r="V924">
        <v>4548</v>
      </c>
      <c r="W924">
        <v>71.8</v>
      </c>
      <c r="X924">
        <v>151.79</v>
      </c>
      <c r="Y924">
        <v>0</v>
      </c>
    </row>
    <row r="925" spans="1:25" x14ac:dyDescent="0.25">
      <c r="A925" t="s">
        <v>54</v>
      </c>
      <c r="B925">
        <f>_xlfn.XLOOKUP(Table4[[#This Row],[country]],Table2[country],Table2[country_id],FALSE)</f>
        <v>20</v>
      </c>
      <c r="C925" t="s">
        <v>32</v>
      </c>
      <c r="D925">
        <v>2013</v>
      </c>
      <c r="E925">
        <f>_xlfn.XLOOKUP(Table4[[#This Row],[year]],Table1[year],Table1[year_id])</f>
        <v>4</v>
      </c>
      <c r="F925" t="s">
        <v>30</v>
      </c>
      <c r="G925" t="s">
        <v>28</v>
      </c>
      <c r="H925" cm="1">
        <f t="array" ref="H925">_xlfn.XLOOKUP(Table4[[#This Row],[vehicle_segment]]&amp;Table4[[#This Row],[powertrain_type]],Table3[vehicle_segment]&amp;Table3[powertrain_type],Table3[vehicle_id])</f>
        <v>3</v>
      </c>
      <c r="I925">
        <v>909</v>
      </c>
      <c r="J925">
        <v>60510</v>
      </c>
      <c r="K925">
        <v>5262</v>
      </c>
      <c r="L925">
        <v>66681</v>
      </c>
      <c r="M925">
        <v>1.36</v>
      </c>
      <c r="N925">
        <v>974</v>
      </c>
      <c r="O925">
        <v>8.8000000000000007</v>
      </c>
      <c r="P925">
        <v>160</v>
      </c>
      <c r="Q925">
        <v>1.4470000000000001</v>
      </c>
      <c r="R925">
        <v>0.111</v>
      </c>
      <c r="S925">
        <v>52102</v>
      </c>
      <c r="T925">
        <v>85.5</v>
      </c>
      <c r="U925">
        <v>19.2</v>
      </c>
      <c r="V925">
        <v>4548</v>
      </c>
      <c r="W925">
        <v>71.8</v>
      </c>
      <c r="X925">
        <v>144.35</v>
      </c>
      <c r="Y925">
        <v>0</v>
      </c>
    </row>
    <row r="926" spans="1:25" x14ac:dyDescent="0.25">
      <c r="A926" t="s">
        <v>54</v>
      </c>
      <c r="B926">
        <f>_xlfn.XLOOKUP(Table4[[#This Row],[country]],Table2[country],Table2[country_id],FALSE)</f>
        <v>20</v>
      </c>
      <c r="C926" t="s">
        <v>32</v>
      </c>
      <c r="D926">
        <v>2014</v>
      </c>
      <c r="E926">
        <f>_xlfn.XLOOKUP(Table4[[#This Row],[year]],Table1[year],Table1[year_id])</f>
        <v>5</v>
      </c>
      <c r="F926" t="s">
        <v>27</v>
      </c>
      <c r="G926" t="s">
        <v>28</v>
      </c>
      <c r="H926" cm="1">
        <f t="array" ref="H926">_xlfn.XLOOKUP(Table4[[#This Row],[vehicle_segment]]&amp;Table4[[#This Row],[powertrain_type]],Table3[vehicle_segment]&amp;Table3[powertrain_type],Table3[vehicle_id])</f>
        <v>1</v>
      </c>
      <c r="I926">
        <v>208</v>
      </c>
      <c r="J926">
        <v>27668</v>
      </c>
      <c r="K926">
        <v>18445</v>
      </c>
      <c r="L926">
        <v>46321</v>
      </c>
      <c r="M926">
        <v>0.45</v>
      </c>
      <c r="N926">
        <v>1843</v>
      </c>
      <c r="O926">
        <v>11.2</v>
      </c>
      <c r="P926">
        <v>154</v>
      </c>
      <c r="Q926">
        <v>1.4370000000000001</v>
      </c>
      <c r="R926">
        <v>0.106</v>
      </c>
      <c r="S926">
        <v>50923</v>
      </c>
      <c r="T926">
        <v>85.7</v>
      </c>
      <c r="U926">
        <v>19.100000000000001</v>
      </c>
      <c r="V926">
        <v>4539</v>
      </c>
      <c r="W926">
        <v>72.900000000000006</v>
      </c>
      <c r="X926">
        <v>58.78</v>
      </c>
      <c r="Y926">
        <v>0</v>
      </c>
    </row>
    <row r="927" spans="1:25" x14ac:dyDescent="0.25">
      <c r="A927" t="s">
        <v>54</v>
      </c>
      <c r="B927">
        <f>_xlfn.XLOOKUP(Table4[[#This Row],[country]],Table2[country],Table2[country_id],FALSE)</f>
        <v>20</v>
      </c>
      <c r="C927" t="s">
        <v>32</v>
      </c>
      <c r="D927">
        <v>2014</v>
      </c>
      <c r="E927">
        <f>_xlfn.XLOOKUP(Table4[[#This Row],[year]],Table1[year],Table1[year_id])</f>
        <v>5</v>
      </c>
      <c r="F927" t="s">
        <v>29</v>
      </c>
      <c r="G927" t="s">
        <v>28</v>
      </c>
      <c r="H927" cm="1">
        <f t="array" ref="H927">_xlfn.XLOOKUP(Table4[[#This Row],[vehicle_segment]]&amp;Table4[[#This Row],[powertrain_type]],Table3[vehicle_segment]&amp;Table3[powertrain_type],Table3[vehicle_id])</f>
        <v>2</v>
      </c>
      <c r="I927">
        <v>2394</v>
      </c>
      <c r="J927">
        <v>162453</v>
      </c>
      <c r="K927">
        <v>22153</v>
      </c>
      <c r="L927">
        <v>187000</v>
      </c>
      <c r="M927">
        <v>1.28</v>
      </c>
      <c r="N927">
        <v>1843</v>
      </c>
      <c r="O927">
        <v>11.2</v>
      </c>
      <c r="P927">
        <v>154</v>
      </c>
      <c r="Q927">
        <v>1.4370000000000001</v>
      </c>
      <c r="R927">
        <v>0.106</v>
      </c>
      <c r="S927">
        <v>50923</v>
      </c>
      <c r="T927">
        <v>85.7</v>
      </c>
      <c r="U927">
        <v>19.100000000000001</v>
      </c>
      <c r="V927">
        <v>4539</v>
      </c>
      <c r="W927">
        <v>72.900000000000006</v>
      </c>
      <c r="X927">
        <v>54.85</v>
      </c>
      <c r="Y927">
        <v>0</v>
      </c>
    </row>
    <row r="928" spans="1:25" x14ac:dyDescent="0.25">
      <c r="A928" t="s">
        <v>54</v>
      </c>
      <c r="B928">
        <f>_xlfn.XLOOKUP(Table4[[#This Row],[country]],Table2[country],Table2[country_id],FALSE)</f>
        <v>20</v>
      </c>
      <c r="C928" t="s">
        <v>32</v>
      </c>
      <c r="D928">
        <v>2014</v>
      </c>
      <c r="E928">
        <f>_xlfn.XLOOKUP(Table4[[#This Row],[year]],Table1[year],Table1[year_id])</f>
        <v>5</v>
      </c>
      <c r="F928" t="s">
        <v>30</v>
      </c>
      <c r="G928" t="s">
        <v>28</v>
      </c>
      <c r="H928" cm="1">
        <f t="array" ref="H928">_xlfn.XLOOKUP(Table4[[#This Row],[vehicle_segment]]&amp;Table4[[#This Row],[powertrain_type]],Table3[vehicle_segment]&amp;Table3[powertrain_type],Table3[vehicle_id])</f>
        <v>3</v>
      </c>
      <c r="I928">
        <v>1398</v>
      </c>
      <c r="J928">
        <v>68033</v>
      </c>
      <c r="K928">
        <v>5916</v>
      </c>
      <c r="L928">
        <v>75347</v>
      </c>
      <c r="M928">
        <v>1.86</v>
      </c>
      <c r="N928">
        <v>1843</v>
      </c>
      <c r="O928">
        <v>11.2</v>
      </c>
      <c r="P928">
        <v>154</v>
      </c>
      <c r="Q928">
        <v>1.4370000000000001</v>
      </c>
      <c r="R928">
        <v>0.106</v>
      </c>
      <c r="S928">
        <v>50923</v>
      </c>
      <c r="T928">
        <v>85.7</v>
      </c>
      <c r="U928">
        <v>19.100000000000001</v>
      </c>
      <c r="V928">
        <v>4539</v>
      </c>
      <c r="W928">
        <v>72.900000000000006</v>
      </c>
      <c r="X928">
        <v>53.8</v>
      </c>
      <c r="Y928">
        <v>0</v>
      </c>
    </row>
    <row r="929" spans="1:25" x14ac:dyDescent="0.25">
      <c r="A929" t="s">
        <v>54</v>
      </c>
      <c r="B929">
        <f>_xlfn.XLOOKUP(Table4[[#This Row],[country]],Table2[country],Table2[country_id],FALSE)</f>
        <v>20</v>
      </c>
      <c r="C929" t="s">
        <v>32</v>
      </c>
      <c r="D929">
        <v>2015</v>
      </c>
      <c r="E929">
        <f>_xlfn.XLOOKUP(Table4[[#This Row],[year]],Table1[year],Table1[year_id])</f>
        <v>6</v>
      </c>
      <c r="F929" t="s">
        <v>27</v>
      </c>
      <c r="G929" t="s">
        <v>28</v>
      </c>
      <c r="H929" cm="1">
        <f t="array" ref="H929">_xlfn.XLOOKUP(Table4[[#This Row],[vehicle_segment]]&amp;Table4[[#This Row],[powertrain_type]],Table3[vehicle_segment]&amp;Table3[powertrain_type],Table3[vehicle_id])</f>
        <v>1</v>
      </c>
      <c r="I929">
        <v>451</v>
      </c>
      <c r="J929">
        <v>31009</v>
      </c>
      <c r="K929">
        <v>20673</v>
      </c>
      <c r="L929">
        <v>52133</v>
      </c>
      <c r="M929">
        <v>0.87</v>
      </c>
      <c r="N929">
        <v>2970</v>
      </c>
      <c r="O929">
        <v>13</v>
      </c>
      <c r="P929">
        <v>177</v>
      </c>
      <c r="Q929">
        <v>1.43</v>
      </c>
      <c r="R929">
        <v>0.10199999999999999</v>
      </c>
      <c r="S929">
        <v>51149</v>
      </c>
      <c r="T929">
        <v>86.1</v>
      </c>
      <c r="U929">
        <v>19.2</v>
      </c>
      <c r="V929">
        <v>4442</v>
      </c>
      <c r="W929">
        <v>76.3</v>
      </c>
      <c r="X929">
        <v>116.83</v>
      </c>
      <c r="Y929">
        <v>0</v>
      </c>
    </row>
    <row r="930" spans="1:25" x14ac:dyDescent="0.25">
      <c r="A930" t="s">
        <v>54</v>
      </c>
      <c r="B930">
        <f>_xlfn.XLOOKUP(Table4[[#This Row],[country]],Table2[country],Table2[country_id],FALSE)</f>
        <v>20</v>
      </c>
      <c r="C930" t="s">
        <v>32</v>
      </c>
      <c r="D930">
        <v>2015</v>
      </c>
      <c r="E930">
        <f>_xlfn.XLOOKUP(Table4[[#This Row],[year]],Table1[year],Table1[year_id])</f>
        <v>6</v>
      </c>
      <c r="F930" t="s">
        <v>29</v>
      </c>
      <c r="G930" t="s">
        <v>28</v>
      </c>
      <c r="H930" cm="1">
        <f t="array" ref="H930">_xlfn.XLOOKUP(Table4[[#This Row],[vehicle_segment]]&amp;Table4[[#This Row],[powertrain_type]],Table3[vehicle_segment]&amp;Table3[powertrain_type],Table3[vehicle_id])</f>
        <v>2</v>
      </c>
      <c r="I930">
        <v>5040</v>
      </c>
      <c r="J930">
        <v>175132</v>
      </c>
      <c r="K930">
        <v>23882</v>
      </c>
      <c r="L930">
        <v>204054</v>
      </c>
      <c r="M930">
        <v>2.4700000000000002</v>
      </c>
      <c r="N930">
        <v>2970</v>
      </c>
      <c r="O930">
        <v>13</v>
      </c>
      <c r="P930">
        <v>177</v>
      </c>
      <c r="Q930">
        <v>1.43</v>
      </c>
      <c r="R930">
        <v>0.10199999999999999</v>
      </c>
      <c r="S930">
        <v>51149</v>
      </c>
      <c r="T930">
        <v>86.1</v>
      </c>
      <c r="U930">
        <v>19.2</v>
      </c>
      <c r="V930">
        <v>4442</v>
      </c>
      <c r="W930">
        <v>76.3</v>
      </c>
      <c r="X930">
        <v>110.53</v>
      </c>
      <c r="Y930">
        <v>0</v>
      </c>
    </row>
    <row r="931" spans="1:25" x14ac:dyDescent="0.25">
      <c r="A931" t="s">
        <v>54</v>
      </c>
      <c r="B931">
        <f>_xlfn.XLOOKUP(Table4[[#This Row],[country]],Table2[country],Table2[country_id],FALSE)</f>
        <v>20</v>
      </c>
      <c r="C931" t="s">
        <v>32</v>
      </c>
      <c r="D931">
        <v>2015</v>
      </c>
      <c r="E931">
        <f>_xlfn.XLOOKUP(Table4[[#This Row],[year]],Table1[year],Table1[year_id])</f>
        <v>6</v>
      </c>
      <c r="F931" t="s">
        <v>30</v>
      </c>
      <c r="G931" t="s">
        <v>28</v>
      </c>
      <c r="H931" cm="1">
        <f t="array" ref="H931">_xlfn.XLOOKUP(Table4[[#This Row],[vehicle_segment]]&amp;Table4[[#This Row],[powertrain_type]],Table3[vehicle_segment]&amp;Table3[powertrain_type],Table3[vehicle_id])</f>
        <v>3</v>
      </c>
      <c r="I931">
        <v>3079</v>
      </c>
      <c r="J931">
        <v>76271</v>
      </c>
      <c r="K931">
        <v>6632</v>
      </c>
      <c r="L931">
        <v>85982</v>
      </c>
      <c r="M931">
        <v>3.58</v>
      </c>
      <c r="N931">
        <v>2970</v>
      </c>
      <c r="O931">
        <v>13</v>
      </c>
      <c r="P931">
        <v>177</v>
      </c>
      <c r="Q931">
        <v>1.43</v>
      </c>
      <c r="R931">
        <v>0.10199999999999999</v>
      </c>
      <c r="S931">
        <v>51149</v>
      </c>
      <c r="T931">
        <v>86.1</v>
      </c>
      <c r="U931">
        <v>19.2</v>
      </c>
      <c r="V931">
        <v>4442</v>
      </c>
      <c r="W931">
        <v>76.3</v>
      </c>
      <c r="X931">
        <v>120.24</v>
      </c>
      <c r="Y931">
        <v>0</v>
      </c>
    </row>
    <row r="932" spans="1:25" x14ac:dyDescent="0.25">
      <c r="A932" t="s">
        <v>54</v>
      </c>
      <c r="B932">
        <f>_xlfn.XLOOKUP(Table4[[#This Row],[country]],Table2[country],Table2[country_id],FALSE)</f>
        <v>20</v>
      </c>
      <c r="C932" t="s">
        <v>32</v>
      </c>
      <c r="D932">
        <v>2016</v>
      </c>
      <c r="E932">
        <f>_xlfn.XLOOKUP(Table4[[#This Row],[year]],Table1[year],Table1[year_id])</f>
        <v>7</v>
      </c>
      <c r="F932" t="s">
        <v>27</v>
      </c>
      <c r="G932" t="s">
        <v>28</v>
      </c>
      <c r="H932" cm="1">
        <f t="array" ref="H932">_xlfn.XLOOKUP(Table4[[#This Row],[vehicle_segment]]&amp;Table4[[#This Row],[powertrain_type]],Table3[vehicle_segment]&amp;Table3[powertrain_type],Table3[vehicle_id])</f>
        <v>1</v>
      </c>
      <c r="I932">
        <v>663</v>
      </c>
      <c r="J932">
        <v>32090</v>
      </c>
      <c r="K932">
        <v>21393</v>
      </c>
      <c r="L932">
        <v>54146</v>
      </c>
      <c r="M932">
        <v>1.22</v>
      </c>
      <c r="N932">
        <v>4094</v>
      </c>
      <c r="O932">
        <v>14.3</v>
      </c>
      <c r="P932">
        <v>193</v>
      </c>
      <c r="Q932">
        <v>1.4370000000000001</v>
      </c>
      <c r="R932">
        <v>0.1</v>
      </c>
      <c r="S932">
        <v>51881</v>
      </c>
      <c r="T932">
        <v>86.3</v>
      </c>
      <c r="U932">
        <v>18.7</v>
      </c>
      <c r="V932">
        <v>4903</v>
      </c>
      <c r="W932">
        <v>77.3</v>
      </c>
      <c r="X932">
        <v>47.01</v>
      </c>
      <c r="Y932">
        <v>0</v>
      </c>
    </row>
    <row r="933" spans="1:25" x14ac:dyDescent="0.25">
      <c r="A933" t="s">
        <v>54</v>
      </c>
      <c r="B933">
        <f>_xlfn.XLOOKUP(Table4[[#This Row],[country]],Table2[country],Table2[country_id],FALSE)</f>
        <v>20</v>
      </c>
      <c r="C933" t="s">
        <v>32</v>
      </c>
      <c r="D933">
        <v>2016</v>
      </c>
      <c r="E933">
        <f>_xlfn.XLOOKUP(Table4[[#This Row],[year]],Table1[year],Table1[year_id])</f>
        <v>7</v>
      </c>
      <c r="F933" t="s">
        <v>29</v>
      </c>
      <c r="G933" t="s">
        <v>28</v>
      </c>
      <c r="H933" cm="1">
        <f t="array" ref="H933">_xlfn.XLOOKUP(Table4[[#This Row],[vehicle_segment]]&amp;Table4[[#This Row],[powertrain_type]],Table3[vehicle_segment]&amp;Table3[powertrain_type],Table3[vehicle_id])</f>
        <v>2</v>
      </c>
      <c r="I933">
        <v>7643</v>
      </c>
      <c r="J933">
        <v>185429</v>
      </c>
      <c r="K933">
        <v>25286</v>
      </c>
      <c r="L933">
        <v>218358</v>
      </c>
      <c r="M933">
        <v>3.5</v>
      </c>
      <c r="N933">
        <v>4094</v>
      </c>
      <c r="O933">
        <v>14.3</v>
      </c>
      <c r="P933">
        <v>193</v>
      </c>
      <c r="Q933">
        <v>1.4370000000000001</v>
      </c>
      <c r="R933">
        <v>0.1</v>
      </c>
      <c r="S933">
        <v>51881</v>
      </c>
      <c r="T933">
        <v>86.3</v>
      </c>
      <c r="U933">
        <v>18.7</v>
      </c>
      <c r="V933">
        <v>4903</v>
      </c>
      <c r="W933">
        <v>77.3</v>
      </c>
      <c r="X933">
        <v>51.65</v>
      </c>
      <c r="Y933">
        <v>0</v>
      </c>
    </row>
    <row r="934" spans="1:25" x14ac:dyDescent="0.25">
      <c r="A934" t="s">
        <v>54</v>
      </c>
      <c r="B934">
        <f>_xlfn.XLOOKUP(Table4[[#This Row],[country]],Table2[country],Table2[country_id],FALSE)</f>
        <v>20</v>
      </c>
      <c r="C934" t="s">
        <v>32</v>
      </c>
      <c r="D934">
        <v>2016</v>
      </c>
      <c r="E934">
        <f>_xlfn.XLOOKUP(Table4[[#This Row],[year]],Table1[year],Table1[year_id])</f>
        <v>7</v>
      </c>
      <c r="F934" t="s">
        <v>30</v>
      </c>
      <c r="G934" t="s">
        <v>28</v>
      </c>
      <c r="H934" cm="1">
        <f t="array" ref="H934">_xlfn.XLOOKUP(Table4[[#This Row],[vehicle_segment]]&amp;Table4[[#This Row],[powertrain_type]],Table3[vehicle_segment]&amp;Table3[powertrain_type],Table3[vehicle_id])</f>
        <v>3</v>
      </c>
      <c r="I934">
        <v>4600</v>
      </c>
      <c r="J934">
        <v>79155</v>
      </c>
      <c r="K934">
        <v>6883</v>
      </c>
      <c r="L934">
        <v>90638</v>
      </c>
      <c r="M934">
        <v>5.08</v>
      </c>
      <c r="N934">
        <v>4094</v>
      </c>
      <c r="O934">
        <v>14.3</v>
      </c>
      <c r="P934">
        <v>193</v>
      </c>
      <c r="Q934">
        <v>1.4370000000000001</v>
      </c>
      <c r="R934">
        <v>0.1</v>
      </c>
      <c r="S934">
        <v>51881</v>
      </c>
      <c r="T934">
        <v>86.3</v>
      </c>
      <c r="U934">
        <v>18.7</v>
      </c>
      <c r="V934">
        <v>4903</v>
      </c>
      <c r="W934">
        <v>77.3</v>
      </c>
      <c r="X934">
        <v>49.4</v>
      </c>
      <c r="Y934">
        <v>0</v>
      </c>
    </row>
    <row r="935" spans="1:25" x14ac:dyDescent="0.25">
      <c r="A935" t="s">
        <v>54</v>
      </c>
      <c r="B935">
        <f>_xlfn.XLOOKUP(Table4[[#This Row],[country]],Table2[country],Table2[country_id],FALSE)</f>
        <v>20</v>
      </c>
      <c r="C935" t="s">
        <v>32</v>
      </c>
      <c r="D935">
        <v>2017</v>
      </c>
      <c r="E935">
        <f>_xlfn.XLOOKUP(Table4[[#This Row],[year]],Table1[year],Table1[year_id])</f>
        <v>8</v>
      </c>
      <c r="F935" t="s">
        <v>27</v>
      </c>
      <c r="G935" t="s">
        <v>28</v>
      </c>
      <c r="H935" cm="1">
        <f t="array" ref="H935">_xlfn.XLOOKUP(Table4[[#This Row],[vehicle_segment]]&amp;Table4[[#This Row],[powertrain_type]],Table3[vehicle_segment]&amp;Table3[powertrain_type],Table3[vehicle_id])</f>
        <v>1</v>
      </c>
      <c r="I935">
        <v>1093</v>
      </c>
      <c r="J935">
        <v>32384</v>
      </c>
      <c r="K935">
        <v>21590</v>
      </c>
      <c r="L935">
        <v>55067</v>
      </c>
      <c r="M935">
        <v>1.98</v>
      </c>
      <c r="N935">
        <v>5258</v>
      </c>
      <c r="O935">
        <v>15.5</v>
      </c>
      <c r="P935">
        <v>229</v>
      </c>
      <c r="Q935">
        <v>1.4670000000000001</v>
      </c>
      <c r="R935">
        <v>0.1</v>
      </c>
      <c r="S935">
        <v>51106</v>
      </c>
      <c r="T935">
        <v>86.5</v>
      </c>
      <c r="U935">
        <v>18.5</v>
      </c>
      <c r="V935">
        <v>5281</v>
      </c>
      <c r="W935">
        <v>79.7</v>
      </c>
      <c r="X935">
        <v>64.86</v>
      </c>
      <c r="Y935">
        <v>0</v>
      </c>
    </row>
    <row r="936" spans="1:25" x14ac:dyDescent="0.25">
      <c r="A936" t="s">
        <v>54</v>
      </c>
      <c r="B936">
        <f>_xlfn.XLOOKUP(Table4[[#This Row],[country]],Table2[country],Table2[country_id],FALSE)</f>
        <v>20</v>
      </c>
      <c r="C936" t="s">
        <v>32</v>
      </c>
      <c r="D936">
        <v>2017</v>
      </c>
      <c r="E936">
        <f>_xlfn.XLOOKUP(Table4[[#This Row],[year]],Table1[year],Table1[year_id])</f>
        <v>8</v>
      </c>
      <c r="F936" t="s">
        <v>29</v>
      </c>
      <c r="G936" t="s">
        <v>28</v>
      </c>
      <c r="H936" cm="1">
        <f t="array" ref="H936">_xlfn.XLOOKUP(Table4[[#This Row],[vehicle_segment]]&amp;Table4[[#This Row],[powertrain_type]],Table3[vehicle_segment]&amp;Table3[powertrain_type],Table3[vehicle_id])</f>
        <v>2</v>
      </c>
      <c r="I936">
        <v>12432</v>
      </c>
      <c r="J936">
        <v>182010</v>
      </c>
      <c r="K936">
        <v>24820</v>
      </c>
      <c r="L936">
        <v>219262</v>
      </c>
      <c r="M936">
        <v>5.67</v>
      </c>
      <c r="N936">
        <v>5258</v>
      </c>
      <c r="O936">
        <v>15.5</v>
      </c>
      <c r="P936">
        <v>229</v>
      </c>
      <c r="Q936">
        <v>1.4670000000000001</v>
      </c>
      <c r="R936">
        <v>0.1</v>
      </c>
      <c r="S936">
        <v>51106</v>
      </c>
      <c r="T936">
        <v>86.5</v>
      </c>
      <c r="U936">
        <v>18.5</v>
      </c>
      <c r="V936">
        <v>5281</v>
      </c>
      <c r="W936">
        <v>79.7</v>
      </c>
      <c r="X936">
        <v>62.66</v>
      </c>
      <c r="Y936">
        <v>0</v>
      </c>
    </row>
    <row r="937" spans="1:25" x14ac:dyDescent="0.25">
      <c r="A937" t="s">
        <v>54</v>
      </c>
      <c r="B937">
        <f>_xlfn.XLOOKUP(Table4[[#This Row],[country]],Table2[country],Table2[country_id],FALSE)</f>
        <v>20</v>
      </c>
      <c r="C937" t="s">
        <v>32</v>
      </c>
      <c r="D937">
        <v>2017</v>
      </c>
      <c r="E937">
        <f>_xlfn.XLOOKUP(Table4[[#This Row],[year]],Table1[year],Table1[year_id])</f>
        <v>8</v>
      </c>
      <c r="F937" t="s">
        <v>30</v>
      </c>
      <c r="G937" t="s">
        <v>28</v>
      </c>
      <c r="H937" cm="1">
        <f t="array" ref="H937">_xlfn.XLOOKUP(Table4[[#This Row],[vehicle_segment]]&amp;Table4[[#This Row],[powertrain_type]],Table3[vehicle_segment]&amp;Table3[powertrain_type],Table3[vehicle_id])</f>
        <v>3</v>
      </c>
      <c r="I937">
        <v>7607</v>
      </c>
      <c r="J937">
        <v>78123</v>
      </c>
      <c r="K937">
        <v>6793</v>
      </c>
      <c r="L937">
        <v>92523</v>
      </c>
      <c r="M937">
        <v>8.2200000000000006</v>
      </c>
      <c r="N937">
        <v>5258</v>
      </c>
      <c r="O937">
        <v>15.5</v>
      </c>
      <c r="P937">
        <v>229</v>
      </c>
      <c r="Q937">
        <v>1.4670000000000001</v>
      </c>
      <c r="R937">
        <v>0.1</v>
      </c>
      <c r="S937">
        <v>51106</v>
      </c>
      <c r="T937">
        <v>86.5</v>
      </c>
      <c r="U937">
        <v>18.5</v>
      </c>
      <c r="V937">
        <v>5281</v>
      </c>
      <c r="W937">
        <v>79.7</v>
      </c>
      <c r="X937">
        <v>65.37</v>
      </c>
      <c r="Y937">
        <v>0</v>
      </c>
    </row>
    <row r="938" spans="1:25" x14ac:dyDescent="0.25">
      <c r="A938" t="s">
        <v>54</v>
      </c>
      <c r="B938">
        <f>_xlfn.XLOOKUP(Table4[[#This Row],[country]],Table2[country],Table2[country_id],FALSE)</f>
        <v>20</v>
      </c>
      <c r="C938" t="s">
        <v>32</v>
      </c>
      <c r="D938">
        <v>2018</v>
      </c>
      <c r="E938">
        <f>_xlfn.XLOOKUP(Table4[[#This Row],[year]],Table1[year],Table1[year_id])</f>
        <v>9</v>
      </c>
      <c r="F938" t="s">
        <v>27</v>
      </c>
      <c r="G938" t="s">
        <v>28</v>
      </c>
      <c r="H938" cm="1">
        <f t="array" ref="H938">_xlfn.XLOOKUP(Table4[[#This Row],[vehicle_segment]]&amp;Table4[[#This Row],[powertrain_type]],Table3[vehicle_segment]&amp;Table3[powertrain_type],Table3[vehicle_id])</f>
        <v>1</v>
      </c>
      <c r="I938">
        <v>1500</v>
      </c>
      <c r="J938">
        <v>33332</v>
      </c>
      <c r="K938">
        <v>22222</v>
      </c>
      <c r="L938">
        <v>57054</v>
      </c>
      <c r="M938">
        <v>2.63</v>
      </c>
      <c r="N938">
        <v>7633</v>
      </c>
      <c r="O938">
        <v>17.5</v>
      </c>
      <c r="P938">
        <v>262</v>
      </c>
      <c r="Q938">
        <v>1.4970000000000001</v>
      </c>
      <c r="R938">
        <v>0.10100000000000001</v>
      </c>
      <c r="S938">
        <v>51422</v>
      </c>
      <c r="T938">
        <v>87</v>
      </c>
      <c r="U938">
        <v>17.7</v>
      </c>
      <c r="V938">
        <v>5618</v>
      </c>
      <c r="W938">
        <v>83</v>
      </c>
      <c r="X938">
        <v>37.24</v>
      </c>
      <c r="Y938">
        <v>0</v>
      </c>
    </row>
    <row r="939" spans="1:25" x14ac:dyDescent="0.25">
      <c r="A939" t="s">
        <v>54</v>
      </c>
      <c r="B939">
        <f>_xlfn.XLOOKUP(Table4[[#This Row],[country]],Table2[country],Table2[country_id],FALSE)</f>
        <v>20</v>
      </c>
      <c r="C939" t="s">
        <v>32</v>
      </c>
      <c r="D939">
        <v>2018</v>
      </c>
      <c r="E939">
        <f>_xlfn.XLOOKUP(Table4[[#This Row],[year]],Table1[year],Table1[year_id])</f>
        <v>9</v>
      </c>
      <c r="F939" t="s">
        <v>29</v>
      </c>
      <c r="G939" t="s">
        <v>28</v>
      </c>
      <c r="H939" cm="1">
        <f t="array" ref="H939">_xlfn.XLOOKUP(Table4[[#This Row],[vehicle_segment]]&amp;Table4[[#This Row],[powertrain_type]],Table3[vehicle_segment]&amp;Table3[powertrain_type],Table3[vehicle_id])</f>
        <v>2</v>
      </c>
      <c r="I939">
        <v>16733</v>
      </c>
      <c r="J939">
        <v>181347</v>
      </c>
      <c r="K939">
        <v>24729</v>
      </c>
      <c r="L939">
        <v>222809</v>
      </c>
      <c r="M939">
        <v>7.51</v>
      </c>
      <c r="N939">
        <v>7633</v>
      </c>
      <c r="O939">
        <v>17.5</v>
      </c>
      <c r="P939">
        <v>262</v>
      </c>
      <c r="Q939">
        <v>1.4970000000000001</v>
      </c>
      <c r="R939">
        <v>0.10100000000000001</v>
      </c>
      <c r="S939">
        <v>51422</v>
      </c>
      <c r="T939">
        <v>87</v>
      </c>
      <c r="U939">
        <v>17.7</v>
      </c>
      <c r="V939">
        <v>5618</v>
      </c>
      <c r="W939">
        <v>83</v>
      </c>
      <c r="X939">
        <v>34.6</v>
      </c>
      <c r="Y939">
        <v>0</v>
      </c>
    </row>
    <row r="940" spans="1:25" x14ac:dyDescent="0.25">
      <c r="A940" t="s">
        <v>54</v>
      </c>
      <c r="B940">
        <f>_xlfn.XLOOKUP(Table4[[#This Row],[country]],Table2[country],Table2[country_id],FALSE)</f>
        <v>20</v>
      </c>
      <c r="C940" t="s">
        <v>32</v>
      </c>
      <c r="D940">
        <v>2018</v>
      </c>
      <c r="E940">
        <f>_xlfn.XLOOKUP(Table4[[#This Row],[year]],Table1[year],Table1[year_id])</f>
        <v>9</v>
      </c>
      <c r="F940" t="s">
        <v>30</v>
      </c>
      <c r="G940" t="s">
        <v>28</v>
      </c>
      <c r="H940" cm="1">
        <f t="array" ref="H940">_xlfn.XLOOKUP(Table4[[#This Row],[vehicle_segment]]&amp;Table4[[#This Row],[powertrain_type]],Table3[vehicle_segment]&amp;Table3[powertrain_type],Table3[vehicle_id])</f>
        <v>3</v>
      </c>
      <c r="I940">
        <v>10303</v>
      </c>
      <c r="J940">
        <v>77569</v>
      </c>
      <c r="K940">
        <v>6745</v>
      </c>
      <c r="L940">
        <v>94617</v>
      </c>
      <c r="M940">
        <v>10.89</v>
      </c>
      <c r="N940">
        <v>7633</v>
      </c>
      <c r="O940">
        <v>17.5</v>
      </c>
      <c r="P940">
        <v>262</v>
      </c>
      <c r="Q940">
        <v>1.4970000000000001</v>
      </c>
      <c r="R940">
        <v>0.10100000000000001</v>
      </c>
      <c r="S940">
        <v>51422</v>
      </c>
      <c r="T940">
        <v>87</v>
      </c>
      <c r="U940">
        <v>17.7</v>
      </c>
      <c r="V940">
        <v>5618</v>
      </c>
      <c r="W940">
        <v>83</v>
      </c>
      <c r="X940">
        <v>35.44</v>
      </c>
      <c r="Y940">
        <v>0</v>
      </c>
    </row>
    <row r="941" spans="1:25" x14ac:dyDescent="0.25">
      <c r="A941" t="s">
        <v>54</v>
      </c>
      <c r="B941">
        <f>_xlfn.XLOOKUP(Table4[[#This Row],[country]],Table2[country],Table2[country_id],FALSE)</f>
        <v>20</v>
      </c>
      <c r="C941" t="s">
        <v>32</v>
      </c>
      <c r="D941">
        <v>2019</v>
      </c>
      <c r="E941">
        <f>_xlfn.XLOOKUP(Table4[[#This Row],[year]],Table1[year],Table1[year_id])</f>
        <v>10</v>
      </c>
      <c r="F941" t="s">
        <v>27</v>
      </c>
      <c r="G941" t="s">
        <v>28</v>
      </c>
      <c r="H941" cm="1">
        <f t="array" ref="H941">_xlfn.XLOOKUP(Table4[[#This Row],[vehicle_segment]]&amp;Table4[[#This Row],[powertrain_type]],Table3[vehicle_segment]&amp;Table3[powertrain_type],Table3[vehicle_id])</f>
        <v>1</v>
      </c>
      <c r="I941">
        <v>2120</v>
      </c>
      <c r="J941">
        <v>30580</v>
      </c>
      <c r="K941">
        <v>20386</v>
      </c>
      <c r="L941">
        <v>53086</v>
      </c>
      <c r="M941">
        <v>3.99</v>
      </c>
      <c r="N941">
        <v>10289</v>
      </c>
      <c r="O941">
        <v>17.7</v>
      </c>
      <c r="P941">
        <v>307</v>
      </c>
      <c r="Q941">
        <v>1.617</v>
      </c>
      <c r="R941">
        <v>0.10100000000000001</v>
      </c>
      <c r="S941">
        <v>51731</v>
      </c>
      <c r="T941">
        <v>88</v>
      </c>
      <c r="U941">
        <v>17.100000000000001</v>
      </c>
      <c r="V941">
        <v>5894</v>
      </c>
      <c r="W941">
        <v>83.8</v>
      </c>
      <c r="X941">
        <v>41.33</v>
      </c>
      <c r="Y941">
        <v>0</v>
      </c>
    </row>
    <row r="942" spans="1:25" x14ac:dyDescent="0.25">
      <c r="A942" t="s">
        <v>54</v>
      </c>
      <c r="B942">
        <f>_xlfn.XLOOKUP(Table4[[#This Row],[country]],Table2[country],Table2[country_id],FALSE)</f>
        <v>20</v>
      </c>
      <c r="C942" t="s">
        <v>32</v>
      </c>
      <c r="D942">
        <v>2019</v>
      </c>
      <c r="E942">
        <f>_xlfn.XLOOKUP(Table4[[#This Row],[year]],Table1[year],Table1[year_id])</f>
        <v>10</v>
      </c>
      <c r="F942" t="s">
        <v>29</v>
      </c>
      <c r="G942" t="s">
        <v>28</v>
      </c>
      <c r="H942" cm="1">
        <f t="array" ref="H942">_xlfn.XLOOKUP(Table4[[#This Row],[vehicle_segment]]&amp;Table4[[#This Row],[powertrain_type]],Table3[vehicle_segment]&amp;Table3[powertrain_type],Table3[vehicle_id])</f>
        <v>2</v>
      </c>
      <c r="I942">
        <v>24617</v>
      </c>
      <c r="J942">
        <v>168195</v>
      </c>
      <c r="K942">
        <v>22936</v>
      </c>
      <c r="L942">
        <v>215748</v>
      </c>
      <c r="M942">
        <v>11.41</v>
      </c>
      <c r="N942">
        <v>10289</v>
      </c>
      <c r="O942">
        <v>17.7</v>
      </c>
      <c r="P942">
        <v>307</v>
      </c>
      <c r="Q942">
        <v>1.617</v>
      </c>
      <c r="R942">
        <v>0.10100000000000001</v>
      </c>
      <c r="S942">
        <v>51731</v>
      </c>
      <c r="T942">
        <v>88</v>
      </c>
      <c r="U942">
        <v>17.100000000000001</v>
      </c>
      <c r="V942">
        <v>5894</v>
      </c>
      <c r="W942">
        <v>83.8</v>
      </c>
      <c r="X942">
        <v>47.12</v>
      </c>
      <c r="Y942">
        <v>0</v>
      </c>
    </row>
    <row r="943" spans="1:25" x14ac:dyDescent="0.25">
      <c r="A943" t="s">
        <v>54</v>
      </c>
      <c r="B943">
        <f>_xlfn.XLOOKUP(Table4[[#This Row],[country]],Table2[country],Table2[country_id],FALSE)</f>
        <v>20</v>
      </c>
      <c r="C943" t="s">
        <v>32</v>
      </c>
      <c r="D943">
        <v>2019</v>
      </c>
      <c r="E943">
        <f>_xlfn.XLOOKUP(Table4[[#This Row],[year]],Table1[year],Table1[year_id])</f>
        <v>10</v>
      </c>
      <c r="F943" t="s">
        <v>30</v>
      </c>
      <c r="G943" t="s">
        <v>28</v>
      </c>
      <c r="H943" cm="1">
        <f t="array" ref="H943">_xlfn.XLOOKUP(Table4[[#This Row],[vehicle_segment]]&amp;Table4[[#This Row],[powertrain_type]],Table3[vehicle_segment]&amp;Table3[powertrain_type],Table3[vehicle_id])</f>
        <v>3</v>
      </c>
      <c r="I943">
        <v>14999</v>
      </c>
      <c r="J943">
        <v>69608</v>
      </c>
      <c r="K943">
        <v>6053</v>
      </c>
      <c r="L943">
        <v>90660</v>
      </c>
      <c r="M943">
        <v>16.54</v>
      </c>
      <c r="N943">
        <v>10289</v>
      </c>
      <c r="O943">
        <v>17.7</v>
      </c>
      <c r="P943">
        <v>307</v>
      </c>
      <c r="Q943">
        <v>1.617</v>
      </c>
      <c r="R943">
        <v>0.10100000000000001</v>
      </c>
      <c r="S943">
        <v>51731</v>
      </c>
      <c r="T943">
        <v>88</v>
      </c>
      <c r="U943">
        <v>17.100000000000001</v>
      </c>
      <c r="V943">
        <v>5894</v>
      </c>
      <c r="W943">
        <v>83.8</v>
      </c>
      <c r="X943">
        <v>45.58</v>
      </c>
      <c r="Y943">
        <v>0</v>
      </c>
    </row>
    <row r="944" spans="1:25" x14ac:dyDescent="0.25">
      <c r="A944" t="s">
        <v>54</v>
      </c>
      <c r="B944">
        <f>_xlfn.XLOOKUP(Table4[[#This Row],[country]],Table2[country],Table2[country_id],FALSE)</f>
        <v>20</v>
      </c>
      <c r="C944" t="s">
        <v>32</v>
      </c>
      <c r="D944">
        <v>2020</v>
      </c>
      <c r="E944">
        <f>_xlfn.XLOOKUP(Table4[[#This Row],[year]],Table1[year],Table1[year_id])</f>
        <v>11</v>
      </c>
      <c r="F944" t="s">
        <v>27</v>
      </c>
      <c r="G944" t="s">
        <v>28</v>
      </c>
      <c r="H944" cm="1">
        <f t="array" ref="H944">_xlfn.XLOOKUP(Table4[[#This Row],[vehicle_segment]]&amp;Table4[[#This Row],[powertrain_type]],Table3[vehicle_segment]&amp;Table3[powertrain_type],Table3[vehicle_id])</f>
        <v>1</v>
      </c>
      <c r="I944">
        <v>3595</v>
      </c>
      <c r="J944">
        <v>23507</v>
      </c>
      <c r="K944">
        <v>15672</v>
      </c>
      <c r="L944">
        <v>42774</v>
      </c>
      <c r="M944">
        <v>8.4</v>
      </c>
      <c r="N944">
        <v>14330</v>
      </c>
      <c r="O944">
        <v>18.8</v>
      </c>
      <c r="P944">
        <v>347</v>
      </c>
      <c r="Q944">
        <v>1.7569999999999999</v>
      </c>
      <c r="R944">
        <v>0.114</v>
      </c>
      <c r="S944">
        <v>53986</v>
      </c>
      <c r="T944">
        <v>88.7</v>
      </c>
      <c r="U944">
        <v>16.100000000000001</v>
      </c>
      <c r="V944">
        <v>5725</v>
      </c>
      <c r="W944">
        <v>89.3</v>
      </c>
      <c r="X944">
        <v>69.58</v>
      </c>
      <c r="Y944">
        <v>0</v>
      </c>
    </row>
    <row r="945" spans="1:25" x14ac:dyDescent="0.25">
      <c r="A945" t="s">
        <v>54</v>
      </c>
      <c r="B945">
        <f>_xlfn.XLOOKUP(Table4[[#This Row],[country]],Table2[country],Table2[country_id],FALSE)</f>
        <v>20</v>
      </c>
      <c r="C945" t="s">
        <v>32</v>
      </c>
      <c r="D945">
        <v>2020</v>
      </c>
      <c r="E945">
        <f>_xlfn.XLOOKUP(Table4[[#This Row],[year]],Table1[year],Table1[year_id])</f>
        <v>11</v>
      </c>
      <c r="F945" t="s">
        <v>29</v>
      </c>
      <c r="G945" t="s">
        <v>28</v>
      </c>
      <c r="H945" cm="1">
        <f t="array" ref="H945">_xlfn.XLOOKUP(Table4[[#This Row],[vehicle_segment]]&amp;Table4[[#This Row],[powertrain_type]],Table3[vehicle_segment]&amp;Table3[powertrain_type],Table3[vehicle_id])</f>
        <v>2</v>
      </c>
      <c r="I945">
        <v>41275</v>
      </c>
      <c r="J945">
        <v>114957</v>
      </c>
      <c r="K945">
        <v>15676</v>
      </c>
      <c r="L945">
        <v>171908</v>
      </c>
      <c r="M945">
        <v>24.01</v>
      </c>
      <c r="N945">
        <v>14330</v>
      </c>
      <c r="O945">
        <v>18.8</v>
      </c>
      <c r="P945">
        <v>347</v>
      </c>
      <c r="Q945">
        <v>1.7569999999999999</v>
      </c>
      <c r="R945">
        <v>0.114</v>
      </c>
      <c r="S945">
        <v>53986</v>
      </c>
      <c r="T945">
        <v>88.7</v>
      </c>
      <c r="U945">
        <v>16.100000000000001</v>
      </c>
      <c r="V945">
        <v>5725</v>
      </c>
      <c r="W945">
        <v>89.3</v>
      </c>
      <c r="X945">
        <v>67.67</v>
      </c>
      <c r="Y945">
        <v>0</v>
      </c>
    </row>
    <row r="946" spans="1:25" x14ac:dyDescent="0.25">
      <c r="A946" t="s">
        <v>54</v>
      </c>
      <c r="B946">
        <f>_xlfn.XLOOKUP(Table4[[#This Row],[country]],Table2[country],Table2[country_id],FALSE)</f>
        <v>20</v>
      </c>
      <c r="C946" t="s">
        <v>32</v>
      </c>
      <c r="D946">
        <v>2020</v>
      </c>
      <c r="E946">
        <f>_xlfn.XLOOKUP(Table4[[#This Row],[year]],Table1[year],Table1[year_id])</f>
        <v>11</v>
      </c>
      <c r="F946" t="s">
        <v>30</v>
      </c>
      <c r="G946" t="s">
        <v>28</v>
      </c>
      <c r="H946" cm="1">
        <f t="array" ref="H946">_xlfn.XLOOKUP(Table4[[#This Row],[vehicle_segment]]&amp;Table4[[#This Row],[powertrain_type]],Table3[vehicle_segment]&amp;Table3[powertrain_type],Table3[vehicle_id])</f>
        <v>3</v>
      </c>
      <c r="I946">
        <v>24658</v>
      </c>
      <c r="J946">
        <v>42475</v>
      </c>
      <c r="K946">
        <v>3694</v>
      </c>
      <c r="L946">
        <v>70827</v>
      </c>
      <c r="M946">
        <v>34.81</v>
      </c>
      <c r="N946">
        <v>14330</v>
      </c>
      <c r="O946">
        <v>18.8</v>
      </c>
      <c r="P946">
        <v>347</v>
      </c>
      <c r="Q946">
        <v>1.7569999999999999</v>
      </c>
      <c r="R946">
        <v>0.114</v>
      </c>
      <c r="S946">
        <v>53986</v>
      </c>
      <c r="T946">
        <v>88.7</v>
      </c>
      <c r="U946">
        <v>16.100000000000001</v>
      </c>
      <c r="V946">
        <v>5725</v>
      </c>
      <c r="W946">
        <v>89.3</v>
      </c>
      <c r="X946">
        <v>64.400000000000006</v>
      </c>
      <c r="Y946">
        <v>0</v>
      </c>
    </row>
    <row r="947" spans="1:25" x14ac:dyDescent="0.25">
      <c r="A947" t="s">
        <v>54</v>
      </c>
      <c r="B947">
        <f>_xlfn.XLOOKUP(Table4[[#This Row],[country]],Table2[country],Table2[country_id],FALSE)</f>
        <v>20</v>
      </c>
      <c r="C947" t="s">
        <v>32</v>
      </c>
      <c r="D947">
        <v>2021</v>
      </c>
      <c r="E947">
        <f>_xlfn.XLOOKUP(Table4[[#This Row],[year]],Table1[year],Table1[year_id])</f>
        <v>12</v>
      </c>
      <c r="F947" t="s">
        <v>27</v>
      </c>
      <c r="G947" t="s">
        <v>28</v>
      </c>
      <c r="H947" cm="1">
        <f t="array" ref="H947">_xlfn.XLOOKUP(Table4[[#This Row],[vehicle_segment]]&amp;Table4[[#This Row],[powertrain_type]],Table3[vehicle_segment]&amp;Table3[powertrain_type],Table3[vehicle_id])</f>
        <v>1</v>
      </c>
      <c r="I947">
        <v>6335</v>
      </c>
      <c r="J947">
        <v>23368</v>
      </c>
      <c r="K947">
        <v>15579</v>
      </c>
      <c r="L947">
        <v>45282</v>
      </c>
      <c r="M947">
        <v>13.99</v>
      </c>
      <c r="N947">
        <v>15476</v>
      </c>
      <c r="O947">
        <v>20.7</v>
      </c>
      <c r="P947">
        <v>378</v>
      </c>
      <c r="Q947">
        <v>1.9830000000000001</v>
      </c>
      <c r="R947">
        <v>0.14000000000000001</v>
      </c>
      <c r="S947">
        <v>54611</v>
      </c>
      <c r="T947">
        <v>88.6</v>
      </c>
      <c r="U947">
        <v>15.5</v>
      </c>
      <c r="V947">
        <v>5412</v>
      </c>
      <c r="W947">
        <v>89.8</v>
      </c>
      <c r="X947">
        <v>76.22</v>
      </c>
      <c r="Y947">
        <v>0</v>
      </c>
    </row>
    <row r="948" spans="1:25" x14ac:dyDescent="0.25">
      <c r="A948" t="s">
        <v>54</v>
      </c>
      <c r="B948">
        <f>_xlfn.XLOOKUP(Table4[[#This Row],[country]],Table2[country],Table2[country_id],FALSE)</f>
        <v>20</v>
      </c>
      <c r="C948" t="s">
        <v>32</v>
      </c>
      <c r="D948">
        <v>2021</v>
      </c>
      <c r="E948">
        <f>_xlfn.XLOOKUP(Table4[[#This Row],[year]],Table1[year],Table1[year_id])</f>
        <v>12</v>
      </c>
      <c r="F948" t="s">
        <v>29</v>
      </c>
      <c r="G948" t="s">
        <v>28</v>
      </c>
      <c r="H948" cm="1">
        <f t="array" ref="H948">_xlfn.XLOOKUP(Table4[[#This Row],[vehicle_segment]]&amp;Table4[[#This Row],[powertrain_type]],Table3[vehicle_segment]&amp;Table3[powertrain_type],Table3[vehicle_id])</f>
        <v>2</v>
      </c>
      <c r="I948">
        <v>73125</v>
      </c>
      <c r="J948">
        <v>96645</v>
      </c>
      <c r="K948">
        <v>13179</v>
      </c>
      <c r="L948">
        <v>182949</v>
      </c>
      <c r="M948">
        <v>39.97</v>
      </c>
      <c r="N948">
        <v>15476</v>
      </c>
      <c r="O948">
        <v>20.7</v>
      </c>
      <c r="P948">
        <v>378</v>
      </c>
      <c r="Q948">
        <v>1.9830000000000001</v>
      </c>
      <c r="R948">
        <v>0.14000000000000001</v>
      </c>
      <c r="S948">
        <v>54611</v>
      </c>
      <c r="T948">
        <v>88.6</v>
      </c>
      <c r="U948">
        <v>15.5</v>
      </c>
      <c r="V948">
        <v>5412</v>
      </c>
      <c r="W948">
        <v>89.8</v>
      </c>
      <c r="X948">
        <v>77.17</v>
      </c>
      <c r="Y948">
        <v>0</v>
      </c>
    </row>
    <row r="949" spans="1:25" x14ac:dyDescent="0.25">
      <c r="A949" t="s">
        <v>54</v>
      </c>
      <c r="B949">
        <f>_xlfn.XLOOKUP(Table4[[#This Row],[country]],Table2[country],Table2[country_id],FALSE)</f>
        <v>20</v>
      </c>
      <c r="C949" t="s">
        <v>32</v>
      </c>
      <c r="D949">
        <v>2021</v>
      </c>
      <c r="E949">
        <f>_xlfn.XLOOKUP(Table4[[#This Row],[year]],Table1[year],Table1[year_id])</f>
        <v>12</v>
      </c>
      <c r="F949" t="s">
        <v>30</v>
      </c>
      <c r="G949" t="s">
        <v>34</v>
      </c>
      <c r="H949" cm="1">
        <f t="array" ref="H949">_xlfn.XLOOKUP(Table4[[#This Row],[vehicle_segment]]&amp;Table4[[#This Row],[powertrain_type]],Table3[vehicle_segment]&amp;Table3[powertrain_type],Table3[vehicle_id])</f>
        <v>4</v>
      </c>
      <c r="I949">
        <v>44384</v>
      </c>
      <c r="J949">
        <v>29621</v>
      </c>
      <c r="K949">
        <v>2576</v>
      </c>
      <c r="L949">
        <v>76581</v>
      </c>
      <c r="M949">
        <v>57.96</v>
      </c>
      <c r="N949">
        <v>15476</v>
      </c>
      <c r="O949">
        <v>20.7</v>
      </c>
      <c r="P949">
        <v>378</v>
      </c>
      <c r="Q949">
        <v>1.9830000000000001</v>
      </c>
      <c r="R949">
        <v>0.14000000000000001</v>
      </c>
      <c r="S949">
        <v>54611</v>
      </c>
      <c r="T949">
        <v>88.6</v>
      </c>
      <c r="U949">
        <v>15.5</v>
      </c>
      <c r="V949">
        <v>5412</v>
      </c>
      <c r="W949">
        <v>89.8</v>
      </c>
      <c r="X949">
        <v>80</v>
      </c>
      <c r="Y949">
        <v>1</v>
      </c>
    </row>
    <row r="950" spans="1:25" x14ac:dyDescent="0.25">
      <c r="A950" t="s">
        <v>54</v>
      </c>
      <c r="B950">
        <f>_xlfn.XLOOKUP(Table4[[#This Row],[country]],Table2[country],Table2[country_id],FALSE)</f>
        <v>20</v>
      </c>
      <c r="C950" t="s">
        <v>32</v>
      </c>
      <c r="D950">
        <v>2022</v>
      </c>
      <c r="E950">
        <f>_xlfn.XLOOKUP(Table4[[#This Row],[year]],Table1[year],Table1[year_id])</f>
        <v>13</v>
      </c>
      <c r="F950" t="s">
        <v>27</v>
      </c>
      <c r="G950" t="s">
        <v>28</v>
      </c>
      <c r="H950" cm="1">
        <f t="array" ref="H950">_xlfn.XLOOKUP(Table4[[#This Row],[vehicle_segment]]&amp;Table4[[#This Row],[powertrain_type]],Table3[vehicle_segment]&amp;Table3[powertrain_type],Table3[vehicle_id])</f>
        <v>1</v>
      </c>
      <c r="I950">
        <v>7293</v>
      </c>
      <c r="J950">
        <v>20695</v>
      </c>
      <c r="K950">
        <v>13796</v>
      </c>
      <c r="L950">
        <v>41784</v>
      </c>
      <c r="M950">
        <v>17.45</v>
      </c>
      <c r="N950">
        <v>21283</v>
      </c>
      <c r="O950">
        <v>21.9</v>
      </c>
      <c r="P950">
        <v>408</v>
      </c>
      <c r="Q950">
        <v>2.093</v>
      </c>
      <c r="R950">
        <v>0.16400000000000001</v>
      </c>
      <c r="S950">
        <v>55893</v>
      </c>
      <c r="T950">
        <v>88.2</v>
      </c>
      <c r="U950">
        <v>14.7</v>
      </c>
      <c r="V950">
        <v>5061</v>
      </c>
      <c r="W950">
        <v>90.9</v>
      </c>
      <c r="X950">
        <v>15.12</v>
      </c>
      <c r="Y950">
        <v>0</v>
      </c>
    </row>
    <row r="951" spans="1:25" x14ac:dyDescent="0.25">
      <c r="A951" t="s">
        <v>54</v>
      </c>
      <c r="B951">
        <f>_xlfn.XLOOKUP(Table4[[#This Row],[country]],Table2[country],Table2[country_id],FALSE)</f>
        <v>20</v>
      </c>
      <c r="C951" t="s">
        <v>32</v>
      </c>
      <c r="D951">
        <v>2022</v>
      </c>
      <c r="E951">
        <f>_xlfn.XLOOKUP(Table4[[#This Row],[year]],Table1[year],Table1[year_id])</f>
        <v>13</v>
      </c>
      <c r="F951" t="s">
        <v>29</v>
      </c>
      <c r="G951" t="s">
        <v>34</v>
      </c>
      <c r="H951" cm="1">
        <f t="array" ref="H951">_xlfn.XLOOKUP(Table4[[#This Row],[vehicle_segment]]&amp;Table4[[#This Row],[powertrain_type]],Table3[vehicle_segment]&amp;Table3[powertrain_type],Table3[vehicle_id])</f>
        <v>5</v>
      </c>
      <c r="I951">
        <v>82922</v>
      </c>
      <c r="J951">
        <v>73352</v>
      </c>
      <c r="K951">
        <v>10003</v>
      </c>
      <c r="L951">
        <v>166277</v>
      </c>
      <c r="M951">
        <v>49.87</v>
      </c>
      <c r="N951">
        <v>21283</v>
      </c>
      <c r="O951">
        <v>21.9</v>
      </c>
      <c r="P951">
        <v>408</v>
      </c>
      <c r="Q951">
        <v>2.093</v>
      </c>
      <c r="R951">
        <v>0.16400000000000001</v>
      </c>
      <c r="S951">
        <v>55893</v>
      </c>
      <c r="T951">
        <v>88.2</v>
      </c>
      <c r="U951">
        <v>14.7</v>
      </c>
      <c r="V951">
        <v>5061</v>
      </c>
      <c r="W951">
        <v>90.9</v>
      </c>
      <c r="X951">
        <v>13.4</v>
      </c>
      <c r="Y951">
        <v>0</v>
      </c>
    </row>
    <row r="952" spans="1:25" x14ac:dyDescent="0.25">
      <c r="A952" t="s">
        <v>54</v>
      </c>
      <c r="B952">
        <f>_xlfn.XLOOKUP(Table4[[#This Row],[country]],Table2[country],Table2[country_id],FALSE)</f>
        <v>20</v>
      </c>
      <c r="C952" t="s">
        <v>32</v>
      </c>
      <c r="D952">
        <v>2022</v>
      </c>
      <c r="E952">
        <f>_xlfn.XLOOKUP(Table4[[#This Row],[year]],Table1[year],Table1[year_id])</f>
        <v>13</v>
      </c>
      <c r="F952" t="s">
        <v>30</v>
      </c>
      <c r="G952" t="s">
        <v>34</v>
      </c>
      <c r="H952" cm="1">
        <f t="array" ref="H952">_xlfn.XLOOKUP(Table4[[#This Row],[vehicle_segment]]&amp;Table4[[#This Row],[powertrain_type]],Table3[vehicle_segment]&amp;Table3[powertrain_type],Table3[vehicle_id])</f>
        <v>4</v>
      </c>
      <c r="I952">
        <v>50761</v>
      </c>
      <c r="J952">
        <v>17881</v>
      </c>
      <c r="K952">
        <v>1555</v>
      </c>
      <c r="L952">
        <v>70197</v>
      </c>
      <c r="M952">
        <v>72.31</v>
      </c>
      <c r="N952">
        <v>21283</v>
      </c>
      <c r="O952">
        <v>21.9</v>
      </c>
      <c r="P952">
        <v>408</v>
      </c>
      <c r="Q952">
        <v>2.093</v>
      </c>
      <c r="R952">
        <v>0.16400000000000001</v>
      </c>
      <c r="S952">
        <v>55893</v>
      </c>
      <c r="T952">
        <v>88.2</v>
      </c>
      <c r="U952">
        <v>14.7</v>
      </c>
      <c r="V952">
        <v>5061</v>
      </c>
      <c r="W952">
        <v>90.9</v>
      </c>
      <c r="X952">
        <v>14.37</v>
      </c>
      <c r="Y952">
        <v>1</v>
      </c>
    </row>
    <row r="953" spans="1:25" x14ac:dyDescent="0.25">
      <c r="A953" t="s">
        <v>54</v>
      </c>
      <c r="B953">
        <f>_xlfn.XLOOKUP(Table4[[#This Row],[country]],Table2[country],Table2[country_id],FALSE)</f>
        <v>20</v>
      </c>
      <c r="C953" t="s">
        <v>32</v>
      </c>
      <c r="D953">
        <v>2023</v>
      </c>
      <c r="E953">
        <f>_xlfn.XLOOKUP(Table4[[#This Row],[year]],Table1[year],Table1[year_id])</f>
        <v>14</v>
      </c>
      <c r="F953" t="s">
        <v>27</v>
      </c>
      <c r="G953" t="s">
        <v>28</v>
      </c>
      <c r="H953" cm="1">
        <f t="array" ref="H953">_xlfn.XLOOKUP(Table4[[#This Row],[vehicle_segment]]&amp;Table4[[#This Row],[powertrain_type]],Table3[vehicle_segment]&amp;Table3[powertrain_type],Table3[vehicle_id])</f>
        <v>1</v>
      </c>
      <c r="I953">
        <v>6977</v>
      </c>
      <c r="J953">
        <v>21754</v>
      </c>
      <c r="K953">
        <v>14503</v>
      </c>
      <c r="L953">
        <v>43234</v>
      </c>
      <c r="M953">
        <v>16.14</v>
      </c>
      <c r="N953">
        <v>29553</v>
      </c>
      <c r="O953">
        <v>25.3</v>
      </c>
      <c r="P953">
        <v>438</v>
      </c>
      <c r="Q953">
        <v>2.097</v>
      </c>
      <c r="R953">
        <v>0.16800000000000001</v>
      </c>
      <c r="S953">
        <v>56992</v>
      </c>
      <c r="T953">
        <v>88.4</v>
      </c>
      <c r="U953">
        <v>14.1</v>
      </c>
      <c r="V953">
        <v>2456</v>
      </c>
      <c r="W953">
        <v>91.6</v>
      </c>
      <c r="X953">
        <v>-4.33</v>
      </c>
      <c r="Y953">
        <v>0</v>
      </c>
    </row>
    <row r="954" spans="1:25" x14ac:dyDescent="0.25">
      <c r="A954" t="s">
        <v>54</v>
      </c>
      <c r="B954">
        <f>_xlfn.XLOOKUP(Table4[[#This Row],[country]],Table2[country],Table2[country_id],FALSE)</f>
        <v>20</v>
      </c>
      <c r="C954" t="s">
        <v>32</v>
      </c>
      <c r="D954">
        <v>2023</v>
      </c>
      <c r="E954">
        <f>_xlfn.XLOOKUP(Table4[[#This Row],[year]],Table1[year],Table1[year_id])</f>
        <v>14</v>
      </c>
      <c r="F954" t="s">
        <v>29</v>
      </c>
      <c r="G954" t="s">
        <v>34</v>
      </c>
      <c r="H954" cm="1">
        <f t="array" ref="H954">_xlfn.XLOOKUP(Table4[[#This Row],[vehicle_segment]]&amp;Table4[[#This Row],[powertrain_type]],Table3[vehicle_segment]&amp;Table3[powertrain_type],Table3[vehicle_id])</f>
        <v>5</v>
      </c>
      <c r="I954">
        <v>84170</v>
      </c>
      <c r="J954">
        <v>78590</v>
      </c>
      <c r="K954">
        <v>11253</v>
      </c>
      <c r="L954">
        <v>174013</v>
      </c>
      <c r="M954">
        <v>48.37</v>
      </c>
      <c r="N954">
        <v>29553</v>
      </c>
      <c r="O954">
        <v>25.3</v>
      </c>
      <c r="P954">
        <v>438</v>
      </c>
      <c r="Q954">
        <v>2.097</v>
      </c>
      <c r="R954">
        <v>0.16800000000000001</v>
      </c>
      <c r="S954">
        <v>56992</v>
      </c>
      <c r="T954">
        <v>88.4</v>
      </c>
      <c r="U954">
        <v>14.1</v>
      </c>
      <c r="V954">
        <v>2456</v>
      </c>
      <c r="W954">
        <v>91.6</v>
      </c>
      <c r="X954">
        <v>1.51</v>
      </c>
      <c r="Y954">
        <v>0</v>
      </c>
    </row>
    <row r="955" spans="1:25" x14ac:dyDescent="0.25">
      <c r="A955" t="s">
        <v>54</v>
      </c>
      <c r="B955">
        <f>_xlfn.XLOOKUP(Table4[[#This Row],[country]],Table2[country],Table2[country_id],FALSE)</f>
        <v>20</v>
      </c>
      <c r="C955" t="s">
        <v>32</v>
      </c>
      <c r="D955">
        <v>2023</v>
      </c>
      <c r="E955">
        <f>_xlfn.XLOOKUP(Table4[[#This Row],[year]],Table1[year],Table1[year_id])</f>
        <v>14</v>
      </c>
      <c r="F955" t="s">
        <v>30</v>
      </c>
      <c r="G955" t="s">
        <v>34</v>
      </c>
      <c r="H955" cm="1">
        <f t="array" ref="H955">_xlfn.XLOOKUP(Table4[[#This Row],[vehicle_segment]]&amp;Table4[[#This Row],[powertrain_type]],Table3[vehicle_segment]&amp;Table3[powertrain_type],Table3[vehicle_id])</f>
        <v>4</v>
      </c>
      <c r="I955">
        <v>51268</v>
      </c>
      <c r="J955">
        <v>19214</v>
      </c>
      <c r="K955">
        <v>1920</v>
      </c>
      <c r="L955">
        <v>72402</v>
      </c>
      <c r="M955">
        <v>70.81</v>
      </c>
      <c r="N955">
        <v>29553</v>
      </c>
      <c r="O955">
        <v>25.3</v>
      </c>
      <c r="P955">
        <v>438</v>
      </c>
      <c r="Q955">
        <v>2.097</v>
      </c>
      <c r="R955">
        <v>0.16800000000000001</v>
      </c>
      <c r="S955">
        <v>56992</v>
      </c>
      <c r="T955">
        <v>88.4</v>
      </c>
      <c r="U955">
        <v>14.1</v>
      </c>
      <c r="V955">
        <v>2456</v>
      </c>
      <c r="W955">
        <v>91.6</v>
      </c>
      <c r="X955">
        <v>1</v>
      </c>
      <c r="Y955">
        <v>1</v>
      </c>
    </row>
    <row r="956" spans="1:25" x14ac:dyDescent="0.25">
      <c r="A956" t="s">
        <v>54</v>
      </c>
      <c r="B956">
        <f>_xlfn.XLOOKUP(Table4[[#This Row],[country]],Table2[country],Table2[country_id],FALSE)</f>
        <v>20</v>
      </c>
      <c r="C956" t="s">
        <v>32</v>
      </c>
      <c r="D956">
        <v>2024</v>
      </c>
      <c r="E956">
        <f>_xlfn.XLOOKUP(Table4[[#This Row],[year]],Table1[year],Table1[year_id])</f>
        <v>15</v>
      </c>
      <c r="F956" t="s">
        <v>27</v>
      </c>
      <c r="G956" t="s">
        <v>28</v>
      </c>
      <c r="H956" cm="1">
        <f t="array" ref="H956">_xlfn.XLOOKUP(Table4[[#This Row],[vehicle_segment]]&amp;Table4[[#This Row],[powertrain_type]],Table3[vehicle_segment]&amp;Table3[powertrain_type],Table3[vehicle_id])</f>
        <v>1</v>
      </c>
      <c r="I956">
        <v>7746</v>
      </c>
      <c r="J956">
        <v>21616</v>
      </c>
      <c r="K956">
        <v>14411</v>
      </c>
      <c r="L956">
        <v>43773</v>
      </c>
      <c r="M956">
        <v>17.7</v>
      </c>
      <c r="N956">
        <v>35576</v>
      </c>
      <c r="O956">
        <v>26.7</v>
      </c>
      <c r="P956">
        <v>466</v>
      </c>
      <c r="Q956">
        <v>2</v>
      </c>
      <c r="R956">
        <v>0.155</v>
      </c>
      <c r="S956">
        <v>57305</v>
      </c>
      <c r="T956">
        <v>88.8</v>
      </c>
      <c r="U956">
        <v>13.2</v>
      </c>
      <c r="V956">
        <v>0</v>
      </c>
      <c r="W956">
        <v>92.7</v>
      </c>
      <c r="X956">
        <v>11.02</v>
      </c>
      <c r="Y956">
        <v>0</v>
      </c>
    </row>
    <row r="957" spans="1:25" x14ac:dyDescent="0.25">
      <c r="A957" t="s">
        <v>54</v>
      </c>
      <c r="B957">
        <f>_xlfn.XLOOKUP(Table4[[#This Row],[country]],Table2[country],Table2[country_id],FALSE)</f>
        <v>20</v>
      </c>
      <c r="C957" t="s">
        <v>32</v>
      </c>
      <c r="D957">
        <v>2024</v>
      </c>
      <c r="E957">
        <f>_xlfn.XLOOKUP(Table4[[#This Row],[year]],Table1[year],Table1[year_id])</f>
        <v>15</v>
      </c>
      <c r="F957" t="s">
        <v>29</v>
      </c>
      <c r="G957" t="s">
        <v>34</v>
      </c>
      <c r="H957" cm="1">
        <f t="array" ref="H957">_xlfn.XLOOKUP(Table4[[#This Row],[vehicle_segment]]&amp;Table4[[#This Row],[powertrain_type]],Table3[vehicle_segment]&amp;Table3[powertrain_type],Table3[vehicle_id])</f>
        <v>5</v>
      </c>
      <c r="I957">
        <v>88121</v>
      </c>
      <c r="J957">
        <v>75829</v>
      </c>
      <c r="K957">
        <v>10340</v>
      </c>
      <c r="L957">
        <v>174290</v>
      </c>
      <c r="M957">
        <v>50.56</v>
      </c>
      <c r="N957">
        <v>35576</v>
      </c>
      <c r="O957">
        <v>26.7</v>
      </c>
      <c r="P957">
        <v>466</v>
      </c>
      <c r="Q957">
        <v>2</v>
      </c>
      <c r="R957">
        <v>0.155</v>
      </c>
      <c r="S957">
        <v>57305</v>
      </c>
      <c r="T957">
        <v>88.8</v>
      </c>
      <c r="U957">
        <v>13.2</v>
      </c>
      <c r="V957">
        <v>0</v>
      </c>
      <c r="W957">
        <v>92.7</v>
      </c>
      <c r="X957">
        <v>4.6900000000000004</v>
      </c>
      <c r="Y957">
        <v>1</v>
      </c>
    </row>
    <row r="958" spans="1:25" x14ac:dyDescent="0.25">
      <c r="A958" t="s">
        <v>54</v>
      </c>
      <c r="B958">
        <f>_xlfn.XLOOKUP(Table4[[#This Row],[country]],Table2[country],Table2[country_id],FALSE)</f>
        <v>20</v>
      </c>
      <c r="C958" t="s">
        <v>32</v>
      </c>
      <c r="D958">
        <v>2024</v>
      </c>
      <c r="E958">
        <f>_xlfn.XLOOKUP(Table4[[#This Row],[year]],Table1[year],Table1[year_id])</f>
        <v>15</v>
      </c>
      <c r="F958" t="s">
        <v>30</v>
      </c>
      <c r="G958" t="s">
        <v>34</v>
      </c>
      <c r="H958" cm="1">
        <f t="array" ref="H958">_xlfn.XLOOKUP(Table4[[#This Row],[vehicle_segment]]&amp;Table4[[#This Row],[powertrain_type]],Table3[vehicle_segment]&amp;Table3[powertrain_type],Table3[vehicle_id])</f>
        <v>4</v>
      </c>
      <c r="I958">
        <v>54057</v>
      </c>
      <c r="J958">
        <v>18104</v>
      </c>
      <c r="K958">
        <v>1574</v>
      </c>
      <c r="L958">
        <v>73735</v>
      </c>
      <c r="M958">
        <v>73.31</v>
      </c>
      <c r="N958">
        <v>35576</v>
      </c>
      <c r="O958">
        <v>26.7</v>
      </c>
      <c r="P958">
        <v>466</v>
      </c>
      <c r="Q958">
        <v>2</v>
      </c>
      <c r="R958">
        <v>0.155</v>
      </c>
      <c r="S958">
        <v>57305</v>
      </c>
      <c r="T958">
        <v>88.8</v>
      </c>
      <c r="U958">
        <v>13.2</v>
      </c>
      <c r="V958">
        <v>0</v>
      </c>
      <c r="W958">
        <v>92.7</v>
      </c>
      <c r="X958">
        <v>5.44</v>
      </c>
      <c r="Y958">
        <v>1</v>
      </c>
    </row>
    <row r="959" spans="1:25" x14ac:dyDescent="0.25">
      <c r="A959" t="s">
        <v>54</v>
      </c>
      <c r="B959">
        <f>_xlfn.XLOOKUP(Table4[[#This Row],[country]],Table2[country],Table2[country_id],FALSE)</f>
        <v>20</v>
      </c>
      <c r="C959" t="s">
        <v>32</v>
      </c>
      <c r="D959">
        <v>2025</v>
      </c>
      <c r="E959">
        <f>_xlfn.XLOOKUP(Table4[[#This Row],[year]],Table1[year],Table1[year_id])</f>
        <v>16</v>
      </c>
      <c r="F959" t="s">
        <v>27</v>
      </c>
      <c r="G959" t="s">
        <v>28</v>
      </c>
      <c r="H959" cm="1">
        <f t="array" ref="H959">_xlfn.XLOOKUP(Table4[[#This Row],[vehicle_segment]]&amp;Table4[[#This Row],[powertrain_type]],Table3[vehicle_segment]&amp;Table3[powertrain_type],Table3[vehicle_id])</f>
        <v>1</v>
      </c>
      <c r="I959">
        <v>8259</v>
      </c>
      <c r="J959">
        <v>22172</v>
      </c>
      <c r="K959">
        <v>14781</v>
      </c>
      <c r="L959">
        <v>45212</v>
      </c>
      <c r="M959">
        <v>18.27</v>
      </c>
      <c r="N959">
        <v>45844</v>
      </c>
      <c r="O959">
        <v>26.6</v>
      </c>
      <c r="P959">
        <v>486</v>
      </c>
      <c r="Q959">
        <v>1.93</v>
      </c>
      <c r="R959">
        <v>0.14099999999999999</v>
      </c>
      <c r="S959">
        <v>61242</v>
      </c>
      <c r="T959">
        <v>89</v>
      </c>
      <c r="U959">
        <v>12.2</v>
      </c>
      <c r="V959">
        <v>0</v>
      </c>
      <c r="W959">
        <v>95.602000000000004</v>
      </c>
      <c r="X959">
        <v>6.62</v>
      </c>
      <c r="Y959">
        <v>0</v>
      </c>
    </row>
    <row r="960" spans="1:25" x14ac:dyDescent="0.25">
      <c r="A960" t="s">
        <v>54</v>
      </c>
      <c r="B960">
        <f>_xlfn.XLOOKUP(Table4[[#This Row],[country]],Table2[country],Table2[country_id],FALSE)</f>
        <v>20</v>
      </c>
      <c r="C960" t="s">
        <v>32</v>
      </c>
      <c r="D960">
        <v>2025</v>
      </c>
      <c r="E960">
        <f>_xlfn.XLOOKUP(Table4[[#This Row],[year]],Table1[year],Table1[year_id])</f>
        <v>16</v>
      </c>
      <c r="F960" t="s">
        <v>29</v>
      </c>
      <c r="G960" t="s">
        <v>34</v>
      </c>
      <c r="H960" cm="1">
        <f t="array" ref="H960">_xlfn.XLOOKUP(Table4[[#This Row],[vehicle_segment]]&amp;Table4[[#This Row],[powertrain_type]],Table3[vehicle_segment]&amp;Table3[powertrain_type],Table3[vehicle_id])</f>
        <v>5</v>
      </c>
      <c r="I960">
        <v>95051</v>
      </c>
      <c r="J960">
        <v>76624</v>
      </c>
      <c r="K960">
        <v>10449</v>
      </c>
      <c r="L960">
        <v>182124</v>
      </c>
      <c r="M960">
        <v>52.19</v>
      </c>
      <c r="N960">
        <v>45844</v>
      </c>
      <c r="O960">
        <v>26.6</v>
      </c>
      <c r="P960">
        <v>486</v>
      </c>
      <c r="Q960">
        <v>1.93</v>
      </c>
      <c r="R960">
        <v>0.14099999999999999</v>
      </c>
      <c r="S960">
        <v>61242</v>
      </c>
      <c r="T960">
        <v>89</v>
      </c>
      <c r="U960">
        <v>12.2</v>
      </c>
      <c r="V960">
        <v>0</v>
      </c>
      <c r="W960">
        <v>95.602000000000004</v>
      </c>
      <c r="X960">
        <v>7.86</v>
      </c>
      <c r="Y960">
        <v>1</v>
      </c>
    </row>
    <row r="961" spans="1:25" x14ac:dyDescent="0.25">
      <c r="A961" t="s">
        <v>54</v>
      </c>
      <c r="B961">
        <f>_xlfn.XLOOKUP(Table4[[#This Row],[country]],Table2[country],Table2[country_id],FALSE)</f>
        <v>20</v>
      </c>
      <c r="C961" t="s">
        <v>32</v>
      </c>
      <c r="D961">
        <v>2025</v>
      </c>
      <c r="E961">
        <f>_xlfn.XLOOKUP(Table4[[#This Row],[year]],Table1[year],Table1[year_id])</f>
        <v>16</v>
      </c>
      <c r="F961" t="s">
        <v>30</v>
      </c>
      <c r="G961" t="s">
        <v>34</v>
      </c>
      <c r="H961" cm="1">
        <f t="array" ref="H961">_xlfn.XLOOKUP(Table4[[#This Row],[vehicle_segment]]&amp;Table4[[#This Row],[powertrain_type]],Table3[vehicle_segment]&amp;Table3[powertrain_type],Table3[vehicle_id])</f>
        <v>4</v>
      </c>
      <c r="I961">
        <v>57311</v>
      </c>
      <c r="J961">
        <v>16948</v>
      </c>
      <c r="K961">
        <v>1474</v>
      </c>
      <c r="L961">
        <v>75733</v>
      </c>
      <c r="M961">
        <v>75.680000000000007</v>
      </c>
      <c r="N961">
        <v>45844</v>
      </c>
      <c r="O961">
        <v>26.6</v>
      </c>
      <c r="P961">
        <v>486</v>
      </c>
      <c r="Q961">
        <v>1.93</v>
      </c>
      <c r="R961">
        <v>0.14099999999999999</v>
      </c>
      <c r="S961">
        <v>61242</v>
      </c>
      <c r="T961">
        <v>89</v>
      </c>
      <c r="U961">
        <v>12.2</v>
      </c>
      <c r="V961">
        <v>0</v>
      </c>
      <c r="W961">
        <v>95.602000000000004</v>
      </c>
      <c r="X961">
        <v>6.02</v>
      </c>
      <c r="Y961">
        <v>1</v>
      </c>
    </row>
    <row r="962" spans="1:25" x14ac:dyDescent="0.25">
      <c r="A962" t="s">
        <v>55</v>
      </c>
      <c r="B962">
        <f>_xlfn.XLOOKUP(Table4[[#This Row],[country]],Table2[country],Table2[country_id],FALSE)</f>
        <v>21</v>
      </c>
      <c r="C962" t="s">
        <v>32</v>
      </c>
      <c r="D962">
        <v>2010</v>
      </c>
      <c r="E962">
        <f>_xlfn.XLOOKUP(Table4[[#This Row],[year]],Table1[year],Table1[year_id])</f>
        <v>1</v>
      </c>
      <c r="F962" t="s">
        <v>27</v>
      </c>
      <c r="G962" t="s">
        <v>28</v>
      </c>
      <c r="H962" cm="1">
        <f t="array" ref="H962">_xlfn.XLOOKUP(Table4[[#This Row],[vehicle_segment]]&amp;Table4[[#This Row],[powertrain_type]],Table3[vehicle_segment]&amp;Table3[powertrain_type],Table3[vehicle_id])</f>
        <v>1</v>
      </c>
      <c r="I962">
        <v>5</v>
      </c>
      <c r="J962">
        <v>25876</v>
      </c>
      <c r="K962">
        <v>17250</v>
      </c>
      <c r="L962">
        <v>43131</v>
      </c>
      <c r="M962">
        <v>0.01</v>
      </c>
      <c r="N962">
        <v>98</v>
      </c>
      <c r="O962">
        <v>2.9</v>
      </c>
      <c r="P962">
        <v>130</v>
      </c>
      <c r="Q962">
        <v>1.4</v>
      </c>
      <c r="R962">
        <v>0.158</v>
      </c>
      <c r="S962">
        <v>74958</v>
      </c>
      <c r="T962">
        <v>73.099999999999994</v>
      </c>
      <c r="U962">
        <v>16.100000000000001</v>
      </c>
      <c r="V962">
        <v>0</v>
      </c>
      <c r="W962">
        <v>58.1</v>
      </c>
      <c r="X962">
        <v>0</v>
      </c>
      <c r="Y962">
        <v>0</v>
      </c>
    </row>
    <row r="963" spans="1:25" x14ac:dyDescent="0.25">
      <c r="A963" t="s">
        <v>55</v>
      </c>
      <c r="B963">
        <f>_xlfn.XLOOKUP(Table4[[#This Row],[country]],Table2[country],Table2[country_id],FALSE)</f>
        <v>21</v>
      </c>
      <c r="C963" t="s">
        <v>32</v>
      </c>
      <c r="D963">
        <v>2010</v>
      </c>
      <c r="E963">
        <f>_xlfn.XLOOKUP(Table4[[#This Row],[year]],Table1[year],Table1[year_id])</f>
        <v>1</v>
      </c>
      <c r="F963" t="s">
        <v>29</v>
      </c>
      <c r="G963" t="s">
        <v>28</v>
      </c>
      <c r="H963" cm="1">
        <f t="array" ref="H963">_xlfn.XLOOKUP(Table4[[#This Row],[vehicle_segment]]&amp;Table4[[#This Row],[powertrain_type]],Table3[vehicle_segment]&amp;Table3[powertrain_type],Table3[vehicle_id])</f>
        <v>2</v>
      </c>
      <c r="I963">
        <v>51</v>
      </c>
      <c r="J963">
        <v>150107</v>
      </c>
      <c r="K963">
        <v>20469</v>
      </c>
      <c r="L963">
        <v>170627</v>
      </c>
      <c r="M963">
        <v>0.03</v>
      </c>
      <c r="N963">
        <v>98</v>
      </c>
      <c r="O963">
        <v>2.9</v>
      </c>
      <c r="P963">
        <v>130</v>
      </c>
      <c r="Q963">
        <v>1.4</v>
      </c>
      <c r="R963">
        <v>0.158</v>
      </c>
      <c r="S963">
        <v>74958</v>
      </c>
      <c r="T963">
        <v>73.099999999999994</v>
      </c>
      <c r="U963">
        <v>16.100000000000001</v>
      </c>
      <c r="V963">
        <v>0</v>
      </c>
      <c r="W963">
        <v>58.1</v>
      </c>
      <c r="X963">
        <v>0</v>
      </c>
      <c r="Y963">
        <v>0</v>
      </c>
    </row>
    <row r="964" spans="1:25" x14ac:dyDescent="0.25">
      <c r="A964" t="s">
        <v>55</v>
      </c>
      <c r="B964">
        <f>_xlfn.XLOOKUP(Table4[[#This Row],[country]],Table2[country],Table2[country_id],FALSE)</f>
        <v>21</v>
      </c>
      <c r="C964" t="s">
        <v>32</v>
      </c>
      <c r="D964">
        <v>2010</v>
      </c>
      <c r="E964">
        <f>_xlfn.XLOOKUP(Table4[[#This Row],[year]],Table1[year],Table1[year_id])</f>
        <v>1</v>
      </c>
      <c r="F964" t="s">
        <v>30</v>
      </c>
      <c r="G964" t="s">
        <v>28</v>
      </c>
      <c r="H964" cm="1">
        <f t="array" ref="H964">_xlfn.XLOOKUP(Table4[[#This Row],[vehicle_segment]]&amp;Table4[[#This Row],[powertrain_type]],Table3[vehicle_segment]&amp;Table3[powertrain_type],Table3[vehicle_id])</f>
        <v>3</v>
      </c>
      <c r="I964">
        <v>31</v>
      </c>
      <c r="J964">
        <v>65942</v>
      </c>
      <c r="K964">
        <v>5734</v>
      </c>
      <c r="L964">
        <v>71707</v>
      </c>
      <c r="M964">
        <v>0.04</v>
      </c>
      <c r="N964">
        <v>98</v>
      </c>
      <c r="O964">
        <v>2.9</v>
      </c>
      <c r="P964">
        <v>130</v>
      </c>
      <c r="Q964">
        <v>1.4</v>
      </c>
      <c r="R964">
        <v>0.158</v>
      </c>
      <c r="S964">
        <v>74958</v>
      </c>
      <c r="T964">
        <v>73.099999999999994</v>
      </c>
      <c r="U964">
        <v>16.100000000000001</v>
      </c>
      <c r="V964">
        <v>0</v>
      </c>
      <c r="W964">
        <v>58.1</v>
      </c>
      <c r="X964">
        <v>0</v>
      </c>
      <c r="Y964">
        <v>0</v>
      </c>
    </row>
    <row r="965" spans="1:25" x14ac:dyDescent="0.25">
      <c r="A965" t="s">
        <v>55</v>
      </c>
      <c r="B965">
        <f>_xlfn.XLOOKUP(Table4[[#This Row],[country]],Table2[country],Table2[country_id],FALSE)</f>
        <v>21</v>
      </c>
      <c r="C965" t="s">
        <v>32</v>
      </c>
      <c r="D965">
        <v>2011</v>
      </c>
      <c r="E965">
        <f>_xlfn.XLOOKUP(Table4[[#This Row],[year]],Table1[year],Table1[year_id])</f>
        <v>2</v>
      </c>
      <c r="F965" t="s">
        <v>27</v>
      </c>
      <c r="G965" t="s">
        <v>28</v>
      </c>
      <c r="H965" cm="1">
        <f t="array" ref="H965">_xlfn.XLOOKUP(Table4[[#This Row],[vehicle_segment]]&amp;Table4[[#This Row],[powertrain_type]],Table3[vehicle_segment]&amp;Table3[powertrain_type],Table3[vehicle_id])</f>
        <v>1</v>
      </c>
      <c r="I965">
        <v>12</v>
      </c>
      <c r="J965">
        <v>25262</v>
      </c>
      <c r="K965">
        <v>16842</v>
      </c>
      <c r="L965">
        <v>42116</v>
      </c>
      <c r="M965">
        <v>0.03</v>
      </c>
      <c r="N965">
        <v>230</v>
      </c>
      <c r="O965">
        <v>4.2</v>
      </c>
      <c r="P965">
        <v>134</v>
      </c>
      <c r="Q965">
        <v>1.417</v>
      </c>
      <c r="R965">
        <v>0.16200000000000001</v>
      </c>
      <c r="S965">
        <v>75673</v>
      </c>
      <c r="T965">
        <v>73.599999999999994</v>
      </c>
      <c r="U965">
        <v>16.2</v>
      </c>
      <c r="V965">
        <v>0</v>
      </c>
      <c r="W965">
        <v>59.4</v>
      </c>
      <c r="X965">
        <v>140</v>
      </c>
      <c r="Y965">
        <v>0</v>
      </c>
    </row>
    <row r="966" spans="1:25" x14ac:dyDescent="0.25">
      <c r="A966" t="s">
        <v>55</v>
      </c>
      <c r="B966">
        <f>_xlfn.XLOOKUP(Table4[[#This Row],[country]],Table2[country],Table2[country_id],FALSE)</f>
        <v>21</v>
      </c>
      <c r="C966" t="s">
        <v>32</v>
      </c>
      <c r="D966">
        <v>2011</v>
      </c>
      <c r="E966">
        <f>_xlfn.XLOOKUP(Table4[[#This Row],[year]],Table1[year],Table1[year_id])</f>
        <v>2</v>
      </c>
      <c r="F966" t="s">
        <v>29</v>
      </c>
      <c r="G966" t="s">
        <v>28</v>
      </c>
      <c r="H966" cm="1">
        <f t="array" ref="H966">_xlfn.XLOOKUP(Table4[[#This Row],[vehicle_segment]]&amp;Table4[[#This Row],[powertrain_type]],Table3[vehicle_segment]&amp;Table3[powertrain_type],Table3[vehicle_id])</f>
        <v>2</v>
      </c>
      <c r="I966">
        <v>132</v>
      </c>
      <c r="J966">
        <v>145420</v>
      </c>
      <c r="K966">
        <v>19830</v>
      </c>
      <c r="L966">
        <v>165382</v>
      </c>
      <c r="M966">
        <v>0.08</v>
      </c>
      <c r="N966">
        <v>230</v>
      </c>
      <c r="O966">
        <v>4.2</v>
      </c>
      <c r="P966">
        <v>134</v>
      </c>
      <c r="Q966">
        <v>1.417</v>
      </c>
      <c r="R966">
        <v>0.16200000000000001</v>
      </c>
      <c r="S966">
        <v>75673</v>
      </c>
      <c r="T966">
        <v>73.599999999999994</v>
      </c>
      <c r="U966">
        <v>16.2</v>
      </c>
      <c r="V966">
        <v>0</v>
      </c>
      <c r="W966">
        <v>59.4</v>
      </c>
      <c r="X966">
        <v>158.82</v>
      </c>
      <c r="Y966">
        <v>0</v>
      </c>
    </row>
    <row r="967" spans="1:25" x14ac:dyDescent="0.25">
      <c r="A967" t="s">
        <v>55</v>
      </c>
      <c r="B967">
        <f>_xlfn.XLOOKUP(Table4[[#This Row],[country]],Table2[country],Table2[country_id],FALSE)</f>
        <v>21</v>
      </c>
      <c r="C967" t="s">
        <v>32</v>
      </c>
      <c r="D967">
        <v>2011</v>
      </c>
      <c r="E967">
        <f>_xlfn.XLOOKUP(Table4[[#This Row],[year]],Table1[year],Table1[year_id])</f>
        <v>2</v>
      </c>
      <c r="F967" t="s">
        <v>30</v>
      </c>
      <c r="G967" t="s">
        <v>28</v>
      </c>
      <c r="H967" cm="1">
        <f t="array" ref="H967">_xlfn.XLOOKUP(Table4[[#This Row],[vehicle_segment]]&amp;Table4[[#This Row],[powertrain_type]],Table3[vehicle_segment]&amp;Table3[powertrain_type],Table3[vehicle_id])</f>
        <v>3</v>
      </c>
      <c r="I967">
        <v>80</v>
      </c>
      <c r="J967">
        <v>62999</v>
      </c>
      <c r="K967">
        <v>5478</v>
      </c>
      <c r="L967">
        <v>68557</v>
      </c>
      <c r="M967">
        <v>0.12</v>
      </c>
      <c r="N967">
        <v>230</v>
      </c>
      <c r="O967">
        <v>4.2</v>
      </c>
      <c r="P967">
        <v>134</v>
      </c>
      <c r="Q967">
        <v>1.417</v>
      </c>
      <c r="R967">
        <v>0.16200000000000001</v>
      </c>
      <c r="S967">
        <v>75673</v>
      </c>
      <c r="T967">
        <v>73.599999999999994</v>
      </c>
      <c r="U967">
        <v>16.2</v>
      </c>
      <c r="V967">
        <v>0</v>
      </c>
      <c r="W967">
        <v>59.4</v>
      </c>
      <c r="X967">
        <v>158.06</v>
      </c>
      <c r="Y967">
        <v>0</v>
      </c>
    </row>
    <row r="968" spans="1:25" x14ac:dyDescent="0.25">
      <c r="A968" t="s">
        <v>55</v>
      </c>
      <c r="B968">
        <f>_xlfn.XLOOKUP(Table4[[#This Row],[country]],Table2[country],Table2[country_id],FALSE)</f>
        <v>21</v>
      </c>
      <c r="C968" t="s">
        <v>32</v>
      </c>
      <c r="D968">
        <v>2012</v>
      </c>
      <c r="E968">
        <f>_xlfn.XLOOKUP(Table4[[#This Row],[year]],Table1[year],Table1[year_id])</f>
        <v>3</v>
      </c>
      <c r="F968" t="s">
        <v>27</v>
      </c>
      <c r="G968" t="s">
        <v>28</v>
      </c>
      <c r="H968" cm="1">
        <f t="array" ref="H968">_xlfn.XLOOKUP(Table4[[#This Row],[vehicle_segment]]&amp;Table4[[#This Row],[powertrain_type]],Table3[vehicle_segment]&amp;Table3[powertrain_type],Table3[vehicle_id])</f>
        <v>1</v>
      </c>
      <c r="I968">
        <v>21</v>
      </c>
      <c r="J968">
        <v>27242</v>
      </c>
      <c r="K968">
        <v>18162</v>
      </c>
      <c r="L968">
        <v>45425</v>
      </c>
      <c r="M968">
        <v>0.05</v>
      </c>
      <c r="N968">
        <v>361</v>
      </c>
      <c r="O968">
        <v>5.9</v>
      </c>
      <c r="P968">
        <v>149</v>
      </c>
      <c r="Q968">
        <v>1.407</v>
      </c>
      <c r="R968">
        <v>0.16700000000000001</v>
      </c>
      <c r="S968">
        <v>77325</v>
      </c>
      <c r="T968">
        <v>73.599999999999994</v>
      </c>
      <c r="U968">
        <v>15.9</v>
      </c>
      <c r="V968">
        <v>0</v>
      </c>
      <c r="W968">
        <v>61.1</v>
      </c>
      <c r="X968">
        <v>104.94</v>
      </c>
      <c r="Y968">
        <v>0</v>
      </c>
    </row>
    <row r="969" spans="1:25" x14ac:dyDescent="0.25">
      <c r="A969" t="s">
        <v>55</v>
      </c>
      <c r="B969">
        <f>_xlfn.XLOOKUP(Table4[[#This Row],[country]],Table2[country],Table2[country_id],FALSE)</f>
        <v>21</v>
      </c>
      <c r="C969" t="s">
        <v>32</v>
      </c>
      <c r="D969">
        <v>2012</v>
      </c>
      <c r="E969">
        <f>_xlfn.XLOOKUP(Table4[[#This Row],[year]],Table1[year],Table1[year_id])</f>
        <v>3</v>
      </c>
      <c r="F969" t="s">
        <v>29</v>
      </c>
      <c r="G969" t="s">
        <v>28</v>
      </c>
      <c r="H969" cm="1">
        <f t="array" ref="H969">_xlfn.XLOOKUP(Table4[[#This Row],[vehicle_segment]]&amp;Table4[[#This Row],[powertrain_type]],Table3[vehicle_segment]&amp;Table3[powertrain_type],Table3[vehicle_id])</f>
        <v>2</v>
      </c>
      <c r="I969">
        <v>226</v>
      </c>
      <c r="J969">
        <v>152449</v>
      </c>
      <c r="K969">
        <v>20789</v>
      </c>
      <c r="L969">
        <v>173464</v>
      </c>
      <c r="M969">
        <v>0.13</v>
      </c>
      <c r="N969">
        <v>361</v>
      </c>
      <c r="O969">
        <v>5.9</v>
      </c>
      <c r="P969">
        <v>149</v>
      </c>
      <c r="Q969">
        <v>1.407</v>
      </c>
      <c r="R969">
        <v>0.16700000000000001</v>
      </c>
      <c r="S969">
        <v>77325</v>
      </c>
      <c r="T969">
        <v>73.599999999999994</v>
      </c>
      <c r="U969">
        <v>15.9</v>
      </c>
      <c r="V969">
        <v>0</v>
      </c>
      <c r="W969">
        <v>61.1</v>
      </c>
      <c r="X969">
        <v>71.209999999999994</v>
      </c>
      <c r="Y969">
        <v>0</v>
      </c>
    </row>
    <row r="970" spans="1:25" x14ac:dyDescent="0.25">
      <c r="A970" t="s">
        <v>55</v>
      </c>
      <c r="B970">
        <f>_xlfn.XLOOKUP(Table4[[#This Row],[country]],Table2[country],Table2[country_id],FALSE)</f>
        <v>21</v>
      </c>
      <c r="C970" t="s">
        <v>32</v>
      </c>
      <c r="D970">
        <v>2012</v>
      </c>
      <c r="E970">
        <f>_xlfn.XLOOKUP(Table4[[#This Row],[year]],Table1[year],Table1[year_id])</f>
        <v>3</v>
      </c>
      <c r="F970" t="s">
        <v>30</v>
      </c>
      <c r="G970" t="s">
        <v>28</v>
      </c>
      <c r="H970" cm="1">
        <f t="array" ref="H970">_xlfn.XLOOKUP(Table4[[#This Row],[vehicle_segment]]&amp;Table4[[#This Row],[powertrain_type]],Table3[vehicle_segment]&amp;Table3[powertrain_type],Table3[vehicle_id])</f>
        <v>3</v>
      </c>
      <c r="I970">
        <v>140</v>
      </c>
      <c r="J970">
        <v>68093</v>
      </c>
      <c r="K970">
        <v>5921</v>
      </c>
      <c r="L970">
        <v>74154</v>
      </c>
      <c r="M970">
        <v>0.19</v>
      </c>
      <c r="N970">
        <v>361</v>
      </c>
      <c r="O970">
        <v>5.9</v>
      </c>
      <c r="P970">
        <v>149</v>
      </c>
      <c r="Q970">
        <v>1.407</v>
      </c>
      <c r="R970">
        <v>0.16700000000000001</v>
      </c>
      <c r="S970">
        <v>77325</v>
      </c>
      <c r="T970">
        <v>73.599999999999994</v>
      </c>
      <c r="U970">
        <v>15.9</v>
      </c>
      <c r="V970">
        <v>0</v>
      </c>
      <c r="W970">
        <v>61.1</v>
      </c>
      <c r="X970">
        <v>112.51</v>
      </c>
      <c r="Y970">
        <v>0</v>
      </c>
    </row>
    <row r="971" spans="1:25" x14ac:dyDescent="0.25">
      <c r="A971" t="s">
        <v>55</v>
      </c>
      <c r="B971">
        <f>_xlfn.XLOOKUP(Table4[[#This Row],[country]],Table2[country],Table2[country_id],FALSE)</f>
        <v>21</v>
      </c>
      <c r="C971" t="s">
        <v>32</v>
      </c>
      <c r="D971">
        <v>2013</v>
      </c>
      <c r="E971">
        <f>_xlfn.XLOOKUP(Table4[[#This Row],[year]],Table1[year],Table1[year_id])</f>
        <v>4</v>
      </c>
      <c r="F971" t="s">
        <v>27</v>
      </c>
      <c r="G971" t="s">
        <v>28</v>
      </c>
      <c r="H971" cm="1">
        <f t="array" ref="H971">_xlfn.XLOOKUP(Table4[[#This Row],[vehicle_segment]]&amp;Table4[[#This Row],[powertrain_type]],Table3[vehicle_segment]&amp;Table3[powertrain_type],Table3[vehicle_id])</f>
        <v>1</v>
      </c>
      <c r="I971">
        <v>25</v>
      </c>
      <c r="J971">
        <v>26645</v>
      </c>
      <c r="K971">
        <v>17763</v>
      </c>
      <c r="L971">
        <v>44433</v>
      </c>
      <c r="M971">
        <v>0.06</v>
      </c>
      <c r="N971">
        <v>468</v>
      </c>
      <c r="O971">
        <v>6.8</v>
      </c>
      <c r="P971">
        <v>144</v>
      </c>
      <c r="Q971">
        <v>1.373</v>
      </c>
      <c r="R971">
        <v>0.17199999999999999</v>
      </c>
      <c r="S971">
        <v>79469</v>
      </c>
      <c r="T971">
        <v>73.7</v>
      </c>
      <c r="U971">
        <v>15.9</v>
      </c>
      <c r="V971">
        <v>0</v>
      </c>
      <c r="W971">
        <v>64</v>
      </c>
      <c r="X971">
        <v>71</v>
      </c>
      <c r="Y971">
        <v>0</v>
      </c>
    </row>
    <row r="972" spans="1:25" x14ac:dyDescent="0.25">
      <c r="A972" t="s">
        <v>55</v>
      </c>
      <c r="B972">
        <f>_xlfn.XLOOKUP(Table4[[#This Row],[country]],Table2[country],Table2[country_id],FALSE)</f>
        <v>21</v>
      </c>
      <c r="C972" t="s">
        <v>32</v>
      </c>
      <c r="D972">
        <v>2013</v>
      </c>
      <c r="E972">
        <f>_xlfn.XLOOKUP(Table4[[#This Row],[year]],Table1[year],Table1[year_id])</f>
        <v>4</v>
      </c>
      <c r="F972" t="s">
        <v>29</v>
      </c>
      <c r="G972" t="s">
        <v>28</v>
      </c>
      <c r="H972" cm="1">
        <f t="array" ref="H972">_xlfn.XLOOKUP(Table4[[#This Row],[vehicle_segment]]&amp;Table4[[#This Row],[powertrain_type]],Table3[vehicle_segment]&amp;Table3[powertrain_type],Table3[vehicle_id])</f>
        <v>2</v>
      </c>
      <c r="I972">
        <v>287</v>
      </c>
      <c r="J972">
        <v>157620</v>
      </c>
      <c r="K972">
        <v>21494</v>
      </c>
      <c r="L972">
        <v>179401</v>
      </c>
      <c r="M972">
        <v>0.16</v>
      </c>
      <c r="N972">
        <v>468</v>
      </c>
      <c r="O972">
        <v>6.8</v>
      </c>
      <c r="P972">
        <v>144</v>
      </c>
      <c r="Q972">
        <v>1.373</v>
      </c>
      <c r="R972">
        <v>0.17199999999999999</v>
      </c>
      <c r="S972">
        <v>79469</v>
      </c>
      <c r="T972">
        <v>73.7</v>
      </c>
      <c r="U972">
        <v>15.9</v>
      </c>
      <c r="V972">
        <v>0</v>
      </c>
      <c r="W972">
        <v>64</v>
      </c>
      <c r="X972">
        <v>26.99</v>
      </c>
      <c r="Y972">
        <v>0</v>
      </c>
    </row>
    <row r="973" spans="1:25" x14ac:dyDescent="0.25">
      <c r="A973" t="s">
        <v>55</v>
      </c>
      <c r="B973">
        <f>_xlfn.XLOOKUP(Table4[[#This Row],[country]],Table2[country],Table2[country_id],FALSE)</f>
        <v>21</v>
      </c>
      <c r="C973" t="s">
        <v>32</v>
      </c>
      <c r="D973">
        <v>2013</v>
      </c>
      <c r="E973">
        <f>_xlfn.XLOOKUP(Table4[[#This Row],[year]],Table1[year],Table1[year_id])</f>
        <v>4</v>
      </c>
      <c r="F973" t="s">
        <v>30</v>
      </c>
      <c r="G973" t="s">
        <v>28</v>
      </c>
      <c r="H973" cm="1">
        <f t="array" ref="H973">_xlfn.XLOOKUP(Table4[[#This Row],[vehicle_segment]]&amp;Table4[[#This Row],[powertrain_type]],Table3[vehicle_segment]&amp;Table3[powertrain_type],Table3[vehicle_id])</f>
        <v>3</v>
      </c>
      <c r="I973">
        <v>172</v>
      </c>
      <c r="J973">
        <v>68096</v>
      </c>
      <c r="K973">
        <v>5921</v>
      </c>
      <c r="L973">
        <v>74189</v>
      </c>
      <c r="M973">
        <v>0.23</v>
      </c>
      <c r="N973">
        <v>468</v>
      </c>
      <c r="O973">
        <v>6.8</v>
      </c>
      <c r="P973">
        <v>144</v>
      </c>
      <c r="Q973">
        <v>1.373</v>
      </c>
      <c r="R973">
        <v>0.17199999999999999</v>
      </c>
      <c r="S973">
        <v>79469</v>
      </c>
      <c r="T973">
        <v>73.7</v>
      </c>
      <c r="U973">
        <v>15.9</v>
      </c>
      <c r="V973">
        <v>0</v>
      </c>
      <c r="W973">
        <v>64</v>
      </c>
      <c r="X973">
        <v>22.86</v>
      </c>
      <c r="Y973">
        <v>0</v>
      </c>
    </row>
    <row r="974" spans="1:25" x14ac:dyDescent="0.25">
      <c r="A974" t="s">
        <v>55</v>
      </c>
      <c r="B974">
        <f>_xlfn.XLOOKUP(Table4[[#This Row],[country]],Table2[country],Table2[country_id],FALSE)</f>
        <v>21</v>
      </c>
      <c r="C974" t="s">
        <v>32</v>
      </c>
      <c r="D974">
        <v>2014</v>
      </c>
      <c r="E974">
        <f>_xlfn.XLOOKUP(Table4[[#This Row],[year]],Table1[year],Table1[year_id])</f>
        <v>5</v>
      </c>
      <c r="F974" t="s">
        <v>27</v>
      </c>
      <c r="G974" t="s">
        <v>28</v>
      </c>
      <c r="H974" cm="1">
        <f t="array" ref="H974">_xlfn.XLOOKUP(Table4[[#This Row],[vehicle_segment]]&amp;Table4[[#This Row],[powertrain_type]],Table3[vehicle_segment]&amp;Table3[powertrain_type],Table3[vehicle_id])</f>
        <v>1</v>
      </c>
      <c r="I974">
        <v>121</v>
      </c>
      <c r="J974">
        <v>28420</v>
      </c>
      <c r="K974">
        <v>18947</v>
      </c>
      <c r="L974">
        <v>47488</v>
      </c>
      <c r="M974">
        <v>0.25</v>
      </c>
      <c r="N974">
        <v>1271</v>
      </c>
      <c r="O974">
        <v>8.1999999999999993</v>
      </c>
      <c r="P974">
        <v>156</v>
      </c>
      <c r="Q974">
        <v>1.347</v>
      </c>
      <c r="R974">
        <v>0.17699999999999999</v>
      </c>
      <c r="S974">
        <v>79105</v>
      </c>
      <c r="T974">
        <v>73.7</v>
      </c>
      <c r="U974">
        <v>15.8</v>
      </c>
      <c r="V974">
        <v>0</v>
      </c>
      <c r="W974">
        <v>66.7</v>
      </c>
      <c r="X974">
        <v>116.04</v>
      </c>
      <c r="Y974">
        <v>0</v>
      </c>
    </row>
    <row r="975" spans="1:25" x14ac:dyDescent="0.25">
      <c r="A975" t="s">
        <v>55</v>
      </c>
      <c r="B975">
        <f>_xlfn.XLOOKUP(Table4[[#This Row],[country]],Table2[country],Table2[country_id],FALSE)</f>
        <v>21</v>
      </c>
      <c r="C975" t="s">
        <v>32</v>
      </c>
      <c r="D975">
        <v>2014</v>
      </c>
      <c r="E975">
        <f>_xlfn.XLOOKUP(Table4[[#This Row],[year]],Table1[year],Table1[year_id])</f>
        <v>5</v>
      </c>
      <c r="F975" t="s">
        <v>29</v>
      </c>
      <c r="G975" t="s">
        <v>28</v>
      </c>
      <c r="H975" cm="1">
        <f t="array" ref="H975">_xlfn.XLOOKUP(Table4[[#This Row],[vehicle_segment]]&amp;Table4[[#This Row],[powertrain_type]],Table3[vehicle_segment]&amp;Table3[powertrain_type],Table3[vehicle_id])</f>
        <v>2</v>
      </c>
      <c r="I975">
        <v>1378</v>
      </c>
      <c r="J975">
        <v>164924</v>
      </c>
      <c r="K975">
        <v>22490</v>
      </c>
      <c r="L975">
        <v>188792</v>
      </c>
      <c r="M975">
        <v>0.73</v>
      </c>
      <c r="N975">
        <v>1271</v>
      </c>
      <c r="O975">
        <v>8.1999999999999993</v>
      </c>
      <c r="P975">
        <v>156</v>
      </c>
      <c r="Q975">
        <v>1.347</v>
      </c>
      <c r="R975">
        <v>0.17699999999999999</v>
      </c>
      <c r="S975">
        <v>79105</v>
      </c>
      <c r="T975">
        <v>73.7</v>
      </c>
      <c r="U975">
        <v>15.8</v>
      </c>
      <c r="V975">
        <v>0</v>
      </c>
      <c r="W975">
        <v>66.7</v>
      </c>
      <c r="X975">
        <v>300</v>
      </c>
      <c r="Y975">
        <v>0</v>
      </c>
    </row>
    <row r="976" spans="1:25" x14ac:dyDescent="0.25">
      <c r="A976" t="s">
        <v>55</v>
      </c>
      <c r="B976">
        <f>_xlfn.XLOOKUP(Table4[[#This Row],[country]],Table2[country],Table2[country_id],FALSE)</f>
        <v>21</v>
      </c>
      <c r="C976" t="s">
        <v>32</v>
      </c>
      <c r="D976">
        <v>2014</v>
      </c>
      <c r="E976">
        <f>_xlfn.XLOOKUP(Table4[[#This Row],[year]],Table1[year],Table1[year_id])</f>
        <v>5</v>
      </c>
      <c r="F976" t="s">
        <v>30</v>
      </c>
      <c r="G976" t="s">
        <v>28</v>
      </c>
      <c r="H976" cm="1">
        <f t="array" ref="H976">_xlfn.XLOOKUP(Table4[[#This Row],[vehicle_segment]]&amp;Table4[[#This Row],[powertrain_type]],Table3[vehicle_segment]&amp;Table3[powertrain_type],Table3[vehicle_id])</f>
        <v>3</v>
      </c>
      <c r="I976">
        <v>837</v>
      </c>
      <c r="J976">
        <v>72005</v>
      </c>
      <c r="K976">
        <v>6261</v>
      </c>
      <c r="L976">
        <v>79103</v>
      </c>
      <c r="M976">
        <v>1.06</v>
      </c>
      <c r="N976">
        <v>1271</v>
      </c>
      <c r="O976">
        <v>8.1999999999999993</v>
      </c>
      <c r="P976">
        <v>156</v>
      </c>
      <c r="Q976">
        <v>1.347</v>
      </c>
      <c r="R976">
        <v>0.17699999999999999</v>
      </c>
      <c r="S976">
        <v>79105</v>
      </c>
      <c r="T976">
        <v>73.7</v>
      </c>
      <c r="U976">
        <v>15.8</v>
      </c>
      <c r="V976">
        <v>0</v>
      </c>
      <c r="W976">
        <v>66.7</v>
      </c>
      <c r="X976">
        <v>300</v>
      </c>
      <c r="Y976">
        <v>0</v>
      </c>
    </row>
    <row r="977" spans="1:25" x14ac:dyDescent="0.25">
      <c r="A977" t="s">
        <v>55</v>
      </c>
      <c r="B977">
        <f>_xlfn.XLOOKUP(Table4[[#This Row],[country]],Table2[country],Table2[country_id],FALSE)</f>
        <v>21</v>
      </c>
      <c r="C977" t="s">
        <v>32</v>
      </c>
      <c r="D977">
        <v>2015</v>
      </c>
      <c r="E977">
        <f>_xlfn.XLOOKUP(Table4[[#This Row],[year]],Table1[year],Table1[year_id])</f>
        <v>6</v>
      </c>
      <c r="F977" t="s">
        <v>27</v>
      </c>
      <c r="G977" t="s">
        <v>28</v>
      </c>
      <c r="H977" cm="1">
        <f t="array" ref="H977">_xlfn.XLOOKUP(Table4[[#This Row],[vehicle_segment]]&amp;Table4[[#This Row],[powertrain_type]],Table3[vehicle_segment]&amp;Table3[powertrain_type],Table3[vehicle_id])</f>
        <v>1</v>
      </c>
      <c r="I977">
        <v>201</v>
      </c>
      <c r="J977">
        <v>28646</v>
      </c>
      <c r="K977">
        <v>19098</v>
      </c>
      <c r="L977">
        <v>47945</v>
      </c>
      <c r="M977">
        <v>0.42</v>
      </c>
      <c r="N977">
        <v>2022</v>
      </c>
      <c r="O977">
        <v>10</v>
      </c>
      <c r="P977">
        <v>175</v>
      </c>
      <c r="Q977">
        <v>1.343</v>
      </c>
      <c r="R977">
        <v>0.17899999999999999</v>
      </c>
      <c r="S977">
        <v>82996</v>
      </c>
      <c r="T977">
        <v>73.5</v>
      </c>
      <c r="U977">
        <v>15.9</v>
      </c>
      <c r="V977">
        <v>0</v>
      </c>
      <c r="W977">
        <v>67.5</v>
      </c>
      <c r="X977">
        <v>66.12</v>
      </c>
      <c r="Y977">
        <v>0</v>
      </c>
    </row>
    <row r="978" spans="1:25" x14ac:dyDescent="0.25">
      <c r="A978" t="s">
        <v>55</v>
      </c>
      <c r="B978">
        <f>_xlfn.XLOOKUP(Table4[[#This Row],[country]],Table2[country],Table2[country_id],FALSE)</f>
        <v>21</v>
      </c>
      <c r="C978" t="s">
        <v>32</v>
      </c>
      <c r="D978">
        <v>2015</v>
      </c>
      <c r="E978">
        <f>_xlfn.XLOOKUP(Table4[[#This Row],[year]],Table1[year],Table1[year_id])</f>
        <v>6</v>
      </c>
      <c r="F978" t="s">
        <v>29</v>
      </c>
      <c r="G978" t="s">
        <v>28</v>
      </c>
      <c r="H978" cm="1">
        <f t="array" ref="H978">_xlfn.XLOOKUP(Table4[[#This Row],[vehicle_segment]]&amp;Table4[[#This Row],[powertrain_type]],Table3[vehicle_segment]&amp;Table3[powertrain_type],Table3[vehicle_id])</f>
        <v>2</v>
      </c>
      <c r="I978">
        <v>2342</v>
      </c>
      <c r="J978">
        <v>169677</v>
      </c>
      <c r="K978">
        <v>23138</v>
      </c>
      <c r="L978">
        <v>195157</v>
      </c>
      <c r="M978">
        <v>1.2</v>
      </c>
      <c r="N978">
        <v>2022</v>
      </c>
      <c r="O978">
        <v>10</v>
      </c>
      <c r="P978">
        <v>175</v>
      </c>
      <c r="Q978">
        <v>1.343</v>
      </c>
      <c r="R978">
        <v>0.17899999999999999</v>
      </c>
      <c r="S978">
        <v>82996</v>
      </c>
      <c r="T978">
        <v>73.5</v>
      </c>
      <c r="U978">
        <v>15.9</v>
      </c>
      <c r="V978">
        <v>0</v>
      </c>
      <c r="W978">
        <v>67.5</v>
      </c>
      <c r="X978">
        <v>69.959999999999994</v>
      </c>
      <c r="Y978">
        <v>0</v>
      </c>
    </row>
    <row r="979" spans="1:25" x14ac:dyDescent="0.25">
      <c r="A979" t="s">
        <v>55</v>
      </c>
      <c r="B979">
        <f>_xlfn.XLOOKUP(Table4[[#This Row],[country]],Table2[country],Table2[country_id],FALSE)</f>
        <v>21</v>
      </c>
      <c r="C979" t="s">
        <v>32</v>
      </c>
      <c r="D979">
        <v>2015</v>
      </c>
      <c r="E979">
        <f>_xlfn.XLOOKUP(Table4[[#This Row],[year]],Table1[year],Table1[year_id])</f>
        <v>6</v>
      </c>
      <c r="F979" t="s">
        <v>30</v>
      </c>
      <c r="G979" t="s">
        <v>28</v>
      </c>
      <c r="H979" cm="1">
        <f t="array" ref="H979">_xlfn.XLOOKUP(Table4[[#This Row],[vehicle_segment]]&amp;Table4[[#This Row],[powertrain_type]],Table3[vehicle_segment]&amp;Table3[powertrain_type],Table3[vehicle_id])</f>
        <v>3</v>
      </c>
      <c r="I979">
        <v>1399</v>
      </c>
      <c r="J979">
        <v>72659</v>
      </c>
      <c r="K979">
        <v>6318</v>
      </c>
      <c r="L979">
        <v>80376</v>
      </c>
      <c r="M979">
        <v>1.74</v>
      </c>
      <c r="N979">
        <v>2022</v>
      </c>
      <c r="O979">
        <v>10</v>
      </c>
      <c r="P979">
        <v>175</v>
      </c>
      <c r="Q979">
        <v>1.343</v>
      </c>
      <c r="R979">
        <v>0.17899999999999999</v>
      </c>
      <c r="S979">
        <v>82996</v>
      </c>
      <c r="T979">
        <v>73.5</v>
      </c>
      <c r="U979">
        <v>15.9</v>
      </c>
      <c r="V979">
        <v>0</v>
      </c>
      <c r="W979">
        <v>67.5</v>
      </c>
      <c r="X979">
        <v>67.14</v>
      </c>
      <c r="Y979">
        <v>0</v>
      </c>
    </row>
    <row r="980" spans="1:25" x14ac:dyDescent="0.25">
      <c r="A980" t="s">
        <v>55</v>
      </c>
      <c r="B980">
        <f>_xlfn.XLOOKUP(Table4[[#This Row],[country]],Table2[country],Table2[country_id],FALSE)</f>
        <v>21</v>
      </c>
      <c r="C980" t="s">
        <v>32</v>
      </c>
      <c r="D980">
        <v>2016</v>
      </c>
      <c r="E980">
        <f>_xlfn.XLOOKUP(Table4[[#This Row],[year]],Table1[year],Table1[year_id])</f>
        <v>7</v>
      </c>
      <c r="F980" t="s">
        <v>27</v>
      </c>
      <c r="G980" t="s">
        <v>28</v>
      </c>
      <c r="H980" cm="1">
        <f t="array" ref="H980">_xlfn.XLOOKUP(Table4[[#This Row],[vehicle_segment]]&amp;Table4[[#This Row],[powertrain_type]],Table3[vehicle_segment]&amp;Table3[powertrain_type],Table3[vehicle_id])</f>
        <v>1</v>
      </c>
      <c r="I980">
        <v>266</v>
      </c>
      <c r="J980">
        <v>29057</v>
      </c>
      <c r="K980">
        <v>19371</v>
      </c>
      <c r="L980">
        <v>48694</v>
      </c>
      <c r="M980">
        <v>0.55000000000000004</v>
      </c>
      <c r="N980">
        <v>2937</v>
      </c>
      <c r="O980">
        <v>12.1</v>
      </c>
      <c r="P980">
        <v>197</v>
      </c>
      <c r="Q980">
        <v>1.387</v>
      </c>
      <c r="R980">
        <v>0.18099999999999999</v>
      </c>
      <c r="S980">
        <v>82128</v>
      </c>
      <c r="T980">
        <v>74.099999999999994</v>
      </c>
      <c r="U980">
        <v>15.7</v>
      </c>
      <c r="V980">
        <v>0</v>
      </c>
      <c r="W980">
        <v>71.2</v>
      </c>
      <c r="X980">
        <v>32.340000000000003</v>
      </c>
      <c r="Y980">
        <v>0</v>
      </c>
    </row>
    <row r="981" spans="1:25" x14ac:dyDescent="0.25">
      <c r="A981" t="s">
        <v>55</v>
      </c>
      <c r="B981">
        <f>_xlfn.XLOOKUP(Table4[[#This Row],[country]],Table2[country],Table2[country_id],FALSE)</f>
        <v>21</v>
      </c>
      <c r="C981" t="s">
        <v>32</v>
      </c>
      <c r="D981">
        <v>2016</v>
      </c>
      <c r="E981">
        <f>_xlfn.XLOOKUP(Table4[[#This Row],[year]],Table1[year],Table1[year_id])</f>
        <v>7</v>
      </c>
      <c r="F981" t="s">
        <v>29</v>
      </c>
      <c r="G981" t="s">
        <v>28</v>
      </c>
      <c r="H981" cm="1">
        <f t="array" ref="H981">_xlfn.XLOOKUP(Table4[[#This Row],[vehicle_segment]]&amp;Table4[[#This Row],[powertrain_type]],Table3[vehicle_segment]&amp;Table3[powertrain_type],Table3[vehicle_id])</f>
        <v>2</v>
      </c>
      <c r="I981">
        <v>3011</v>
      </c>
      <c r="J981">
        <v>167228</v>
      </c>
      <c r="K981">
        <v>22804</v>
      </c>
      <c r="L981">
        <v>193043</v>
      </c>
      <c r="M981">
        <v>1.56</v>
      </c>
      <c r="N981">
        <v>2937</v>
      </c>
      <c r="O981">
        <v>12.1</v>
      </c>
      <c r="P981">
        <v>197</v>
      </c>
      <c r="Q981">
        <v>1.387</v>
      </c>
      <c r="R981">
        <v>0.18099999999999999</v>
      </c>
      <c r="S981">
        <v>82128</v>
      </c>
      <c r="T981">
        <v>74.099999999999994</v>
      </c>
      <c r="U981">
        <v>15.7</v>
      </c>
      <c r="V981">
        <v>0</v>
      </c>
      <c r="W981">
        <v>71.2</v>
      </c>
      <c r="X981">
        <v>28.57</v>
      </c>
      <c r="Y981">
        <v>0</v>
      </c>
    </row>
    <row r="982" spans="1:25" x14ac:dyDescent="0.25">
      <c r="A982" t="s">
        <v>55</v>
      </c>
      <c r="B982">
        <f>_xlfn.XLOOKUP(Table4[[#This Row],[country]],Table2[country],Table2[country_id],FALSE)</f>
        <v>21</v>
      </c>
      <c r="C982" t="s">
        <v>32</v>
      </c>
      <c r="D982">
        <v>2016</v>
      </c>
      <c r="E982">
        <f>_xlfn.XLOOKUP(Table4[[#This Row],[year]],Table1[year],Table1[year_id])</f>
        <v>7</v>
      </c>
      <c r="F982" t="s">
        <v>30</v>
      </c>
      <c r="G982" t="s">
        <v>28</v>
      </c>
      <c r="H982" cm="1">
        <f t="array" ref="H982">_xlfn.XLOOKUP(Table4[[#This Row],[vehicle_segment]]&amp;Table4[[#This Row],[powertrain_type]],Table3[vehicle_segment]&amp;Table3[powertrain_type],Table3[vehicle_id])</f>
        <v>3</v>
      </c>
      <c r="I982">
        <v>1836</v>
      </c>
      <c r="J982">
        <v>73003</v>
      </c>
      <c r="K982">
        <v>6348</v>
      </c>
      <c r="L982">
        <v>81187</v>
      </c>
      <c r="M982">
        <v>2.2599999999999998</v>
      </c>
      <c r="N982">
        <v>2937</v>
      </c>
      <c r="O982">
        <v>12.1</v>
      </c>
      <c r="P982">
        <v>197</v>
      </c>
      <c r="Q982">
        <v>1.387</v>
      </c>
      <c r="R982">
        <v>0.18099999999999999</v>
      </c>
      <c r="S982">
        <v>82128</v>
      </c>
      <c r="T982">
        <v>74.099999999999994</v>
      </c>
      <c r="U982">
        <v>15.7</v>
      </c>
      <c r="V982">
        <v>0</v>
      </c>
      <c r="W982">
        <v>71.2</v>
      </c>
      <c r="X982">
        <v>31.24</v>
      </c>
      <c r="Y982">
        <v>0</v>
      </c>
    </row>
    <row r="983" spans="1:25" x14ac:dyDescent="0.25">
      <c r="A983" t="s">
        <v>55</v>
      </c>
      <c r="B983">
        <f>_xlfn.XLOOKUP(Table4[[#This Row],[country]],Table2[country],Table2[country_id],FALSE)</f>
        <v>21</v>
      </c>
      <c r="C983" t="s">
        <v>32</v>
      </c>
      <c r="D983">
        <v>2017</v>
      </c>
      <c r="E983">
        <f>_xlfn.XLOOKUP(Table4[[#This Row],[year]],Table1[year],Table1[year_id])</f>
        <v>8</v>
      </c>
      <c r="F983" t="s">
        <v>27</v>
      </c>
      <c r="G983" t="s">
        <v>28</v>
      </c>
      <c r="H983" cm="1">
        <f t="array" ref="H983">_xlfn.XLOOKUP(Table4[[#This Row],[vehicle_segment]]&amp;Table4[[#This Row],[powertrain_type]],Table3[vehicle_segment]&amp;Table3[powertrain_type],Table3[vehicle_id])</f>
        <v>1</v>
      </c>
      <c r="I983">
        <v>314</v>
      </c>
      <c r="J983">
        <v>27889</v>
      </c>
      <c r="K983">
        <v>18593</v>
      </c>
      <c r="L983">
        <v>46796</v>
      </c>
      <c r="M983">
        <v>0.67</v>
      </c>
      <c r="N983">
        <v>3886</v>
      </c>
      <c r="O983">
        <v>13.6</v>
      </c>
      <c r="P983">
        <v>226</v>
      </c>
      <c r="Q983">
        <v>1.427</v>
      </c>
      <c r="R983">
        <v>0.183</v>
      </c>
      <c r="S983">
        <v>83563</v>
      </c>
      <c r="T983">
        <v>74.099999999999994</v>
      </c>
      <c r="U983">
        <v>15.5</v>
      </c>
      <c r="V983">
        <v>0</v>
      </c>
      <c r="W983">
        <v>74.5</v>
      </c>
      <c r="X983">
        <v>18.05</v>
      </c>
      <c r="Y983">
        <v>0</v>
      </c>
    </row>
    <row r="984" spans="1:25" x14ac:dyDescent="0.25">
      <c r="A984" t="s">
        <v>55</v>
      </c>
      <c r="B984">
        <f>_xlfn.XLOOKUP(Table4[[#This Row],[country]],Table2[country],Table2[country_id],FALSE)</f>
        <v>21</v>
      </c>
      <c r="C984" t="s">
        <v>32</v>
      </c>
      <c r="D984">
        <v>2017</v>
      </c>
      <c r="E984">
        <f>_xlfn.XLOOKUP(Table4[[#This Row],[year]],Table1[year],Table1[year_id])</f>
        <v>8</v>
      </c>
      <c r="F984" t="s">
        <v>29</v>
      </c>
      <c r="G984" t="s">
        <v>28</v>
      </c>
      <c r="H984" cm="1">
        <f t="array" ref="H984">_xlfn.XLOOKUP(Table4[[#This Row],[vehicle_segment]]&amp;Table4[[#This Row],[powertrain_type]],Table3[vehicle_segment]&amp;Table3[powertrain_type],Table3[vehicle_id])</f>
        <v>2</v>
      </c>
      <c r="I984">
        <v>3582</v>
      </c>
      <c r="J984">
        <v>161008</v>
      </c>
      <c r="K984">
        <v>21956</v>
      </c>
      <c r="L984">
        <v>186546</v>
      </c>
      <c r="M984">
        <v>1.92</v>
      </c>
      <c r="N984">
        <v>3886</v>
      </c>
      <c r="O984">
        <v>13.6</v>
      </c>
      <c r="P984">
        <v>226</v>
      </c>
      <c r="Q984">
        <v>1.427</v>
      </c>
      <c r="R984">
        <v>0.183</v>
      </c>
      <c r="S984">
        <v>83563</v>
      </c>
      <c r="T984">
        <v>74.099999999999994</v>
      </c>
      <c r="U984">
        <v>15.5</v>
      </c>
      <c r="V984">
        <v>0</v>
      </c>
      <c r="W984">
        <v>74.5</v>
      </c>
      <c r="X984">
        <v>18.96</v>
      </c>
      <c r="Y984">
        <v>0</v>
      </c>
    </row>
    <row r="985" spans="1:25" x14ac:dyDescent="0.25">
      <c r="A985" t="s">
        <v>55</v>
      </c>
      <c r="B985">
        <f>_xlfn.XLOOKUP(Table4[[#This Row],[country]],Table2[country],Table2[country_id],FALSE)</f>
        <v>21</v>
      </c>
      <c r="C985" t="s">
        <v>32</v>
      </c>
      <c r="D985">
        <v>2017</v>
      </c>
      <c r="E985">
        <f>_xlfn.XLOOKUP(Table4[[#This Row],[year]],Table1[year],Table1[year_id])</f>
        <v>8</v>
      </c>
      <c r="F985" t="s">
        <v>30</v>
      </c>
      <c r="G985" t="s">
        <v>28</v>
      </c>
      <c r="H985" cm="1">
        <f t="array" ref="H985">_xlfn.XLOOKUP(Table4[[#This Row],[vehicle_segment]]&amp;Table4[[#This Row],[powertrain_type]],Table3[vehicle_segment]&amp;Table3[powertrain_type],Table3[vehicle_id])</f>
        <v>3</v>
      </c>
      <c r="I985">
        <v>2153</v>
      </c>
      <c r="J985">
        <v>69173</v>
      </c>
      <c r="K985">
        <v>6015</v>
      </c>
      <c r="L985">
        <v>77341</v>
      </c>
      <c r="M985">
        <v>2.78</v>
      </c>
      <c r="N985">
        <v>3886</v>
      </c>
      <c r="O985">
        <v>13.6</v>
      </c>
      <c r="P985">
        <v>226</v>
      </c>
      <c r="Q985">
        <v>1.427</v>
      </c>
      <c r="R985">
        <v>0.183</v>
      </c>
      <c r="S985">
        <v>83563</v>
      </c>
      <c r="T985">
        <v>74.099999999999994</v>
      </c>
      <c r="U985">
        <v>15.5</v>
      </c>
      <c r="V985">
        <v>0</v>
      </c>
      <c r="W985">
        <v>74.5</v>
      </c>
      <c r="X985">
        <v>17.27</v>
      </c>
      <c r="Y985">
        <v>0</v>
      </c>
    </row>
    <row r="986" spans="1:25" x14ac:dyDescent="0.25">
      <c r="A986" t="s">
        <v>55</v>
      </c>
      <c r="B986">
        <f>_xlfn.XLOOKUP(Table4[[#This Row],[country]],Table2[country],Table2[country_id],FALSE)</f>
        <v>21</v>
      </c>
      <c r="C986" t="s">
        <v>32</v>
      </c>
      <c r="D986">
        <v>2018</v>
      </c>
      <c r="E986">
        <f>_xlfn.XLOOKUP(Table4[[#This Row],[year]],Table1[year],Table1[year_id])</f>
        <v>9</v>
      </c>
      <c r="F986" t="s">
        <v>27</v>
      </c>
      <c r="G986" t="s">
        <v>28</v>
      </c>
      <c r="H986" cm="1">
        <f t="array" ref="H986">_xlfn.XLOOKUP(Table4[[#This Row],[vehicle_segment]]&amp;Table4[[#This Row],[powertrain_type]],Table3[vehicle_segment]&amp;Table3[powertrain_type],Table3[vehicle_id])</f>
        <v>1</v>
      </c>
      <c r="I986">
        <v>471</v>
      </c>
      <c r="J986">
        <v>27455</v>
      </c>
      <c r="K986">
        <v>18304</v>
      </c>
      <c r="L986">
        <v>46230</v>
      </c>
      <c r="M986">
        <v>1.02</v>
      </c>
      <c r="N986">
        <v>5609</v>
      </c>
      <c r="O986">
        <v>15.4</v>
      </c>
      <c r="P986">
        <v>268</v>
      </c>
      <c r="Q986">
        <v>1.47</v>
      </c>
      <c r="R986">
        <v>0.189</v>
      </c>
      <c r="S986">
        <v>83171</v>
      </c>
      <c r="T986">
        <v>73.599999999999994</v>
      </c>
      <c r="U986">
        <v>15.4</v>
      </c>
      <c r="V986">
        <v>0</v>
      </c>
      <c r="W986">
        <v>77.5</v>
      </c>
      <c r="X986">
        <v>50</v>
      </c>
      <c r="Y986">
        <v>0</v>
      </c>
    </row>
    <row r="987" spans="1:25" x14ac:dyDescent="0.25">
      <c r="A987" t="s">
        <v>55</v>
      </c>
      <c r="B987">
        <f>_xlfn.XLOOKUP(Table4[[#This Row],[country]],Table2[country],Table2[country_id],FALSE)</f>
        <v>21</v>
      </c>
      <c r="C987" t="s">
        <v>32</v>
      </c>
      <c r="D987">
        <v>2018</v>
      </c>
      <c r="E987">
        <f>_xlfn.XLOOKUP(Table4[[#This Row],[year]],Table1[year],Table1[year_id])</f>
        <v>9</v>
      </c>
      <c r="F987" t="s">
        <v>29</v>
      </c>
      <c r="G987" t="s">
        <v>28</v>
      </c>
      <c r="H987" cm="1">
        <f t="array" ref="H987">_xlfn.XLOOKUP(Table4[[#This Row],[vehicle_segment]]&amp;Table4[[#This Row],[powertrain_type]],Table3[vehicle_segment]&amp;Table3[powertrain_type],Table3[vehicle_id])</f>
        <v>2</v>
      </c>
      <c r="I987">
        <v>5483</v>
      </c>
      <c r="J987">
        <v>160987</v>
      </c>
      <c r="K987">
        <v>21953</v>
      </c>
      <c r="L987">
        <v>188423</v>
      </c>
      <c r="M987">
        <v>2.91</v>
      </c>
      <c r="N987">
        <v>5609</v>
      </c>
      <c r="O987">
        <v>15.4</v>
      </c>
      <c r="P987">
        <v>268</v>
      </c>
      <c r="Q987">
        <v>1.47</v>
      </c>
      <c r="R987">
        <v>0.189</v>
      </c>
      <c r="S987">
        <v>83171</v>
      </c>
      <c r="T987">
        <v>73.599999999999994</v>
      </c>
      <c r="U987">
        <v>15.4</v>
      </c>
      <c r="V987">
        <v>0</v>
      </c>
      <c r="W987">
        <v>77.5</v>
      </c>
      <c r="X987">
        <v>53.07</v>
      </c>
      <c r="Y987">
        <v>0</v>
      </c>
    </row>
    <row r="988" spans="1:25" x14ac:dyDescent="0.25">
      <c r="A988" t="s">
        <v>55</v>
      </c>
      <c r="B988">
        <f>_xlfn.XLOOKUP(Table4[[#This Row],[country]],Table2[country],Table2[country_id],FALSE)</f>
        <v>21</v>
      </c>
      <c r="C988" t="s">
        <v>32</v>
      </c>
      <c r="D988">
        <v>2018</v>
      </c>
      <c r="E988">
        <f>_xlfn.XLOOKUP(Table4[[#This Row],[year]],Table1[year],Table1[year_id])</f>
        <v>9</v>
      </c>
      <c r="F988" t="s">
        <v>30</v>
      </c>
      <c r="G988" t="s">
        <v>28</v>
      </c>
      <c r="H988" cm="1">
        <f t="array" ref="H988">_xlfn.XLOOKUP(Table4[[#This Row],[vehicle_segment]]&amp;Table4[[#This Row],[powertrain_type]],Table3[vehicle_segment]&amp;Table3[powertrain_type],Table3[vehicle_id])</f>
        <v>3</v>
      </c>
      <c r="I988">
        <v>3295</v>
      </c>
      <c r="J988">
        <v>68804</v>
      </c>
      <c r="K988">
        <v>5983</v>
      </c>
      <c r="L988">
        <v>78082</v>
      </c>
      <c r="M988">
        <v>4.22</v>
      </c>
      <c r="N988">
        <v>5609</v>
      </c>
      <c r="O988">
        <v>15.4</v>
      </c>
      <c r="P988">
        <v>268</v>
      </c>
      <c r="Q988">
        <v>1.47</v>
      </c>
      <c r="R988">
        <v>0.189</v>
      </c>
      <c r="S988">
        <v>83171</v>
      </c>
      <c r="T988">
        <v>73.599999999999994</v>
      </c>
      <c r="U988">
        <v>15.4</v>
      </c>
      <c r="V988">
        <v>0</v>
      </c>
      <c r="W988">
        <v>77.5</v>
      </c>
      <c r="X988">
        <v>53.04</v>
      </c>
      <c r="Y988">
        <v>0</v>
      </c>
    </row>
    <row r="989" spans="1:25" x14ac:dyDescent="0.25">
      <c r="A989" t="s">
        <v>55</v>
      </c>
      <c r="B989">
        <f>_xlfn.XLOOKUP(Table4[[#This Row],[country]],Table2[country],Table2[country_id],FALSE)</f>
        <v>21</v>
      </c>
      <c r="C989" t="s">
        <v>32</v>
      </c>
      <c r="D989">
        <v>2019</v>
      </c>
      <c r="E989">
        <f>_xlfn.XLOOKUP(Table4[[#This Row],[year]],Table1[year],Table1[year_id])</f>
        <v>10</v>
      </c>
      <c r="F989" t="s">
        <v>27</v>
      </c>
      <c r="G989" t="s">
        <v>28</v>
      </c>
      <c r="H989" cm="1">
        <f t="array" ref="H989">_xlfn.XLOOKUP(Table4[[#This Row],[vehicle_segment]]&amp;Table4[[#This Row],[powertrain_type]],Table3[vehicle_segment]&amp;Table3[powertrain_type],Table3[vehicle_id])</f>
        <v>1</v>
      </c>
      <c r="I989">
        <v>678</v>
      </c>
      <c r="J989">
        <v>27316</v>
      </c>
      <c r="K989">
        <v>18211</v>
      </c>
      <c r="L989">
        <v>46205</v>
      </c>
      <c r="M989">
        <v>1.47</v>
      </c>
      <c r="N989">
        <v>6779</v>
      </c>
      <c r="O989">
        <v>16</v>
      </c>
      <c r="P989">
        <v>310</v>
      </c>
      <c r="Q989">
        <v>1.5269999999999999</v>
      </c>
      <c r="R989">
        <v>0.192</v>
      </c>
      <c r="S989">
        <v>83108</v>
      </c>
      <c r="T989">
        <v>74</v>
      </c>
      <c r="U989">
        <v>14.5</v>
      </c>
      <c r="V989">
        <v>0</v>
      </c>
      <c r="W989">
        <v>78.3</v>
      </c>
      <c r="X989">
        <v>43.95</v>
      </c>
      <c r="Y989">
        <v>0</v>
      </c>
    </row>
    <row r="990" spans="1:25" x14ac:dyDescent="0.25">
      <c r="A990" t="s">
        <v>55</v>
      </c>
      <c r="B990">
        <f>_xlfn.XLOOKUP(Table4[[#This Row],[country]],Table2[country],Table2[country_id],FALSE)</f>
        <v>21</v>
      </c>
      <c r="C990" t="s">
        <v>32</v>
      </c>
      <c r="D990">
        <v>2019</v>
      </c>
      <c r="E990">
        <f>_xlfn.XLOOKUP(Table4[[#This Row],[year]],Table1[year],Table1[year_id])</f>
        <v>10</v>
      </c>
      <c r="F990" t="s">
        <v>29</v>
      </c>
      <c r="G990" t="s">
        <v>28</v>
      </c>
      <c r="H990" cm="1">
        <f t="array" ref="H990">_xlfn.XLOOKUP(Table4[[#This Row],[vehicle_segment]]&amp;Table4[[#This Row],[powertrain_type]],Table3[vehicle_segment]&amp;Table3[powertrain_type],Table3[vehicle_id])</f>
        <v>2</v>
      </c>
      <c r="I990">
        <v>7735</v>
      </c>
      <c r="J990">
        <v>155643</v>
      </c>
      <c r="K990">
        <v>21224</v>
      </c>
      <c r="L990">
        <v>184602</v>
      </c>
      <c r="M990">
        <v>4.1900000000000004</v>
      </c>
      <c r="N990">
        <v>6779</v>
      </c>
      <c r="O990">
        <v>16</v>
      </c>
      <c r="P990">
        <v>310</v>
      </c>
      <c r="Q990">
        <v>1.5269999999999999</v>
      </c>
      <c r="R990">
        <v>0.192</v>
      </c>
      <c r="S990">
        <v>83108</v>
      </c>
      <c r="T990">
        <v>74</v>
      </c>
      <c r="U990">
        <v>14.5</v>
      </c>
      <c r="V990">
        <v>0</v>
      </c>
      <c r="W990">
        <v>78.3</v>
      </c>
      <c r="X990">
        <v>41.07</v>
      </c>
      <c r="Y990">
        <v>0</v>
      </c>
    </row>
    <row r="991" spans="1:25" x14ac:dyDescent="0.25">
      <c r="A991" t="s">
        <v>55</v>
      </c>
      <c r="B991">
        <f>_xlfn.XLOOKUP(Table4[[#This Row],[country]],Table2[country],Table2[country_id],FALSE)</f>
        <v>21</v>
      </c>
      <c r="C991" t="s">
        <v>32</v>
      </c>
      <c r="D991">
        <v>2019</v>
      </c>
      <c r="E991">
        <f>_xlfn.XLOOKUP(Table4[[#This Row],[year]],Table1[year],Table1[year_id])</f>
        <v>10</v>
      </c>
      <c r="F991" t="s">
        <v>30</v>
      </c>
      <c r="G991" t="s">
        <v>28</v>
      </c>
      <c r="H991" cm="1">
        <f t="array" ref="H991">_xlfn.XLOOKUP(Table4[[#This Row],[vehicle_segment]]&amp;Table4[[#This Row],[powertrain_type]],Table3[vehicle_segment]&amp;Table3[powertrain_type],Table3[vehicle_id])</f>
        <v>3</v>
      </c>
      <c r="I991">
        <v>4659</v>
      </c>
      <c r="J991">
        <v>66262</v>
      </c>
      <c r="K991">
        <v>5762</v>
      </c>
      <c r="L991">
        <v>76683</v>
      </c>
      <c r="M991">
        <v>6.08</v>
      </c>
      <c r="N991">
        <v>6779</v>
      </c>
      <c r="O991">
        <v>16</v>
      </c>
      <c r="P991">
        <v>310</v>
      </c>
      <c r="Q991">
        <v>1.5269999999999999</v>
      </c>
      <c r="R991">
        <v>0.192</v>
      </c>
      <c r="S991">
        <v>83108</v>
      </c>
      <c r="T991">
        <v>74</v>
      </c>
      <c r="U991">
        <v>14.5</v>
      </c>
      <c r="V991">
        <v>0</v>
      </c>
      <c r="W991">
        <v>78.3</v>
      </c>
      <c r="X991">
        <v>41.4</v>
      </c>
      <c r="Y991">
        <v>0</v>
      </c>
    </row>
    <row r="992" spans="1:25" x14ac:dyDescent="0.25">
      <c r="A992" t="s">
        <v>55</v>
      </c>
      <c r="B992">
        <f>_xlfn.XLOOKUP(Table4[[#This Row],[country]],Table2[country],Table2[country_id],FALSE)</f>
        <v>21</v>
      </c>
      <c r="C992" t="s">
        <v>32</v>
      </c>
      <c r="D992">
        <v>2020</v>
      </c>
      <c r="E992">
        <f>_xlfn.XLOOKUP(Table4[[#This Row],[year]],Table1[year],Table1[year_id])</f>
        <v>11</v>
      </c>
      <c r="F992" t="s">
        <v>27</v>
      </c>
      <c r="G992" t="s">
        <v>28</v>
      </c>
      <c r="H992" cm="1">
        <f t="array" ref="H992">_xlfn.XLOOKUP(Table4[[#This Row],[vehicle_segment]]&amp;Table4[[#This Row],[powertrain_type]],Table3[vehicle_segment]&amp;Table3[powertrain_type],Table3[vehicle_id])</f>
        <v>1</v>
      </c>
      <c r="I992">
        <v>1304</v>
      </c>
      <c r="J992">
        <v>20696</v>
      </c>
      <c r="K992">
        <v>13798</v>
      </c>
      <c r="L992">
        <v>35798</v>
      </c>
      <c r="M992">
        <v>3.64</v>
      </c>
      <c r="N992">
        <v>9057</v>
      </c>
      <c r="O992">
        <v>17</v>
      </c>
      <c r="P992">
        <v>347</v>
      </c>
      <c r="Q992">
        <v>1.653</v>
      </c>
      <c r="R992">
        <v>0.19800000000000001</v>
      </c>
      <c r="S992">
        <v>87934</v>
      </c>
      <c r="T992">
        <v>74.2</v>
      </c>
      <c r="U992">
        <v>13.7</v>
      </c>
      <c r="V992">
        <v>0</v>
      </c>
      <c r="W992">
        <v>82</v>
      </c>
      <c r="X992">
        <v>92.33</v>
      </c>
      <c r="Y992">
        <v>0</v>
      </c>
    </row>
    <row r="993" spans="1:25" x14ac:dyDescent="0.25">
      <c r="A993" t="s">
        <v>55</v>
      </c>
      <c r="B993">
        <f>_xlfn.XLOOKUP(Table4[[#This Row],[country]],Table2[country],Table2[country_id],FALSE)</f>
        <v>21</v>
      </c>
      <c r="C993" t="s">
        <v>32</v>
      </c>
      <c r="D993">
        <v>2020</v>
      </c>
      <c r="E993">
        <f>_xlfn.XLOOKUP(Table4[[#This Row],[year]],Table1[year],Table1[year_id])</f>
        <v>11</v>
      </c>
      <c r="F993" t="s">
        <v>29</v>
      </c>
      <c r="G993" t="s">
        <v>28</v>
      </c>
      <c r="H993" cm="1">
        <f t="array" ref="H993">_xlfn.XLOOKUP(Table4[[#This Row],[vehicle_segment]]&amp;Table4[[#This Row],[powertrain_type]],Table3[vehicle_segment]&amp;Table3[powertrain_type],Table3[vehicle_id])</f>
        <v>2</v>
      </c>
      <c r="I993">
        <v>14913</v>
      </c>
      <c r="J993">
        <v>112939</v>
      </c>
      <c r="K993">
        <v>15401</v>
      </c>
      <c r="L993">
        <v>143253</v>
      </c>
      <c r="M993">
        <v>10.41</v>
      </c>
      <c r="N993">
        <v>9057</v>
      </c>
      <c r="O993">
        <v>17</v>
      </c>
      <c r="P993">
        <v>347</v>
      </c>
      <c r="Q993">
        <v>1.653</v>
      </c>
      <c r="R993">
        <v>0.19800000000000001</v>
      </c>
      <c r="S993">
        <v>87934</v>
      </c>
      <c r="T993">
        <v>74.2</v>
      </c>
      <c r="U993">
        <v>13.7</v>
      </c>
      <c r="V993">
        <v>0</v>
      </c>
      <c r="W993">
        <v>82</v>
      </c>
      <c r="X993">
        <v>92.8</v>
      </c>
      <c r="Y993">
        <v>0</v>
      </c>
    </row>
    <row r="994" spans="1:25" x14ac:dyDescent="0.25">
      <c r="A994" t="s">
        <v>55</v>
      </c>
      <c r="B994">
        <f>_xlfn.XLOOKUP(Table4[[#This Row],[country]],Table2[country],Table2[country_id],FALSE)</f>
        <v>21</v>
      </c>
      <c r="C994" t="s">
        <v>32</v>
      </c>
      <c r="D994">
        <v>2020</v>
      </c>
      <c r="E994">
        <f>_xlfn.XLOOKUP(Table4[[#This Row],[year]],Table1[year],Table1[year_id])</f>
        <v>11</v>
      </c>
      <c r="F994" t="s">
        <v>30</v>
      </c>
      <c r="G994" t="s">
        <v>28</v>
      </c>
      <c r="H994" cm="1">
        <f t="array" ref="H994">_xlfn.XLOOKUP(Table4[[#This Row],[vehicle_segment]]&amp;Table4[[#This Row],[powertrain_type]],Table3[vehicle_segment]&amp;Table3[powertrain_type],Table3[vehicle_id])</f>
        <v>3</v>
      </c>
      <c r="I994">
        <v>8956</v>
      </c>
      <c r="J994">
        <v>46346</v>
      </c>
      <c r="K994">
        <v>4030</v>
      </c>
      <c r="L994">
        <v>59332</v>
      </c>
      <c r="M994">
        <v>15.09</v>
      </c>
      <c r="N994">
        <v>9057</v>
      </c>
      <c r="O994">
        <v>17</v>
      </c>
      <c r="P994">
        <v>347</v>
      </c>
      <c r="Q994">
        <v>1.653</v>
      </c>
      <c r="R994">
        <v>0.19800000000000001</v>
      </c>
      <c r="S994">
        <v>87934</v>
      </c>
      <c r="T994">
        <v>74.2</v>
      </c>
      <c r="U994">
        <v>13.7</v>
      </c>
      <c r="V994">
        <v>0</v>
      </c>
      <c r="W994">
        <v>82</v>
      </c>
      <c r="X994">
        <v>92.23</v>
      </c>
      <c r="Y994">
        <v>0</v>
      </c>
    </row>
    <row r="995" spans="1:25" x14ac:dyDescent="0.25">
      <c r="A995" t="s">
        <v>55</v>
      </c>
      <c r="B995">
        <f>_xlfn.XLOOKUP(Table4[[#This Row],[country]],Table2[country],Table2[country_id],FALSE)</f>
        <v>21</v>
      </c>
      <c r="C995" t="s">
        <v>32</v>
      </c>
      <c r="D995">
        <v>2021</v>
      </c>
      <c r="E995">
        <f>_xlfn.XLOOKUP(Table4[[#This Row],[year]],Table1[year],Table1[year_id])</f>
        <v>12</v>
      </c>
      <c r="F995" t="s">
        <v>27</v>
      </c>
      <c r="G995" t="s">
        <v>28</v>
      </c>
      <c r="H995" cm="1">
        <f t="array" ref="H995">_xlfn.XLOOKUP(Table4[[#This Row],[vehicle_segment]]&amp;Table4[[#This Row],[powertrain_type]],Table3[vehicle_segment]&amp;Table3[powertrain_type],Table3[vehicle_id])</f>
        <v>1</v>
      </c>
      <c r="I995">
        <v>2189</v>
      </c>
      <c r="J995">
        <v>19672</v>
      </c>
      <c r="K995">
        <v>13114</v>
      </c>
      <c r="L995">
        <v>34975</v>
      </c>
      <c r="M995">
        <v>6.26</v>
      </c>
      <c r="N995">
        <v>12084</v>
      </c>
      <c r="O995">
        <v>18.2</v>
      </c>
      <c r="P995">
        <v>386</v>
      </c>
      <c r="Q995">
        <v>1.8169999999999999</v>
      </c>
      <c r="R995">
        <v>0.20200000000000001</v>
      </c>
      <c r="S995">
        <v>90562</v>
      </c>
      <c r="T995">
        <v>73.599999999999994</v>
      </c>
      <c r="U995">
        <v>13.1</v>
      </c>
      <c r="V995">
        <v>0</v>
      </c>
      <c r="W995">
        <v>84.3</v>
      </c>
      <c r="X995">
        <v>67.87</v>
      </c>
      <c r="Y995">
        <v>0</v>
      </c>
    </row>
    <row r="996" spans="1:25" x14ac:dyDescent="0.25">
      <c r="A996" t="s">
        <v>55</v>
      </c>
      <c r="B996">
        <f>_xlfn.XLOOKUP(Table4[[#This Row],[country]],Table2[country],Table2[country_id],FALSE)</f>
        <v>21</v>
      </c>
      <c r="C996" t="s">
        <v>32</v>
      </c>
      <c r="D996">
        <v>2021</v>
      </c>
      <c r="E996">
        <f>_xlfn.XLOOKUP(Table4[[#This Row],[year]],Table1[year],Table1[year_id])</f>
        <v>12</v>
      </c>
      <c r="F996" t="s">
        <v>29</v>
      </c>
      <c r="G996" t="s">
        <v>28</v>
      </c>
      <c r="H996" cm="1">
        <f t="array" ref="H996">_xlfn.XLOOKUP(Table4[[#This Row],[vehicle_segment]]&amp;Table4[[#This Row],[powertrain_type]],Table3[vehicle_segment]&amp;Table3[powertrain_type],Table3[vehicle_id])</f>
        <v>2</v>
      </c>
      <c r="I996">
        <v>24555</v>
      </c>
      <c r="J996">
        <v>99246</v>
      </c>
      <c r="K996">
        <v>13534</v>
      </c>
      <c r="L996">
        <v>137335</v>
      </c>
      <c r="M996">
        <v>17.88</v>
      </c>
      <c r="N996">
        <v>12084</v>
      </c>
      <c r="O996">
        <v>18.2</v>
      </c>
      <c r="P996">
        <v>386</v>
      </c>
      <c r="Q996">
        <v>1.8169999999999999</v>
      </c>
      <c r="R996">
        <v>0.20200000000000001</v>
      </c>
      <c r="S996">
        <v>90562</v>
      </c>
      <c r="T996">
        <v>73.599999999999994</v>
      </c>
      <c r="U996">
        <v>13.1</v>
      </c>
      <c r="V996">
        <v>0</v>
      </c>
      <c r="W996">
        <v>84.3</v>
      </c>
      <c r="X996">
        <v>64.650000000000006</v>
      </c>
      <c r="Y996">
        <v>0</v>
      </c>
    </row>
    <row r="997" spans="1:25" x14ac:dyDescent="0.25">
      <c r="A997" t="s">
        <v>55</v>
      </c>
      <c r="B997">
        <f>_xlfn.XLOOKUP(Table4[[#This Row],[country]],Table2[country],Table2[country_id],FALSE)</f>
        <v>21</v>
      </c>
      <c r="C997" t="s">
        <v>32</v>
      </c>
      <c r="D997">
        <v>2021</v>
      </c>
      <c r="E997">
        <f>_xlfn.XLOOKUP(Table4[[#This Row],[year]],Table1[year],Table1[year_id])</f>
        <v>12</v>
      </c>
      <c r="F997" t="s">
        <v>30</v>
      </c>
      <c r="G997" t="s">
        <v>28</v>
      </c>
      <c r="H997" cm="1">
        <f t="array" ref="H997">_xlfn.XLOOKUP(Table4[[#This Row],[vehicle_segment]]&amp;Table4[[#This Row],[powertrain_type]],Table3[vehicle_segment]&amp;Table3[powertrain_type],Table3[vehicle_id])</f>
        <v>3</v>
      </c>
      <c r="I997">
        <v>14992</v>
      </c>
      <c r="J997">
        <v>39409</v>
      </c>
      <c r="K997">
        <v>3427</v>
      </c>
      <c r="L997">
        <v>57828</v>
      </c>
      <c r="M997">
        <v>25.93</v>
      </c>
      <c r="N997">
        <v>12084</v>
      </c>
      <c r="O997">
        <v>18.2</v>
      </c>
      <c r="P997">
        <v>386</v>
      </c>
      <c r="Q997">
        <v>1.8169999999999999</v>
      </c>
      <c r="R997">
        <v>0.20200000000000001</v>
      </c>
      <c r="S997">
        <v>90562</v>
      </c>
      <c r="T997">
        <v>73.599999999999994</v>
      </c>
      <c r="U997">
        <v>13.1</v>
      </c>
      <c r="V997">
        <v>0</v>
      </c>
      <c r="W997">
        <v>84.3</v>
      </c>
      <c r="X997">
        <v>67.400000000000006</v>
      </c>
      <c r="Y997">
        <v>0</v>
      </c>
    </row>
    <row r="998" spans="1:25" x14ac:dyDescent="0.25">
      <c r="A998" t="s">
        <v>55</v>
      </c>
      <c r="B998">
        <f>_xlfn.XLOOKUP(Table4[[#This Row],[country]],Table2[country],Table2[country_id],FALSE)</f>
        <v>21</v>
      </c>
      <c r="C998" t="s">
        <v>32</v>
      </c>
      <c r="D998">
        <v>2022</v>
      </c>
      <c r="E998">
        <f>_xlfn.XLOOKUP(Table4[[#This Row],[year]],Table1[year],Table1[year_id])</f>
        <v>13</v>
      </c>
      <c r="F998" t="s">
        <v>27</v>
      </c>
      <c r="G998" t="s">
        <v>28</v>
      </c>
      <c r="H998" cm="1">
        <f t="array" ref="H998">_xlfn.XLOOKUP(Table4[[#This Row],[vehicle_segment]]&amp;Table4[[#This Row],[powertrain_type]],Table3[vehicle_segment]&amp;Table3[powertrain_type],Table3[vehicle_id])</f>
        <v>1</v>
      </c>
      <c r="I998">
        <v>2725</v>
      </c>
      <c r="J998">
        <v>18906</v>
      </c>
      <c r="K998">
        <v>12604</v>
      </c>
      <c r="L998">
        <v>34235</v>
      </c>
      <c r="M998">
        <v>7.96</v>
      </c>
      <c r="N998">
        <v>15350</v>
      </c>
      <c r="O998">
        <v>21.1</v>
      </c>
      <c r="P998">
        <v>419</v>
      </c>
      <c r="Q998">
        <v>1.9370000000000001</v>
      </c>
      <c r="R998">
        <v>0.21099999999999999</v>
      </c>
      <c r="S998">
        <v>94194</v>
      </c>
      <c r="T998">
        <v>74.5</v>
      </c>
      <c r="U998">
        <v>13.2</v>
      </c>
      <c r="V998">
        <v>0</v>
      </c>
      <c r="W998">
        <v>85.4</v>
      </c>
      <c r="X998">
        <v>24.49</v>
      </c>
      <c r="Y998">
        <v>0</v>
      </c>
    </row>
    <row r="999" spans="1:25" x14ac:dyDescent="0.25">
      <c r="A999" t="s">
        <v>55</v>
      </c>
      <c r="B999">
        <f>_xlfn.XLOOKUP(Table4[[#This Row],[country]],Table2[country],Table2[country_id],FALSE)</f>
        <v>21</v>
      </c>
      <c r="C999" t="s">
        <v>32</v>
      </c>
      <c r="D999">
        <v>2022</v>
      </c>
      <c r="E999">
        <f>_xlfn.XLOOKUP(Table4[[#This Row],[year]],Table1[year],Table1[year_id])</f>
        <v>13</v>
      </c>
      <c r="F999" t="s">
        <v>29</v>
      </c>
      <c r="G999" t="s">
        <v>28</v>
      </c>
      <c r="H999" cm="1">
        <f t="array" ref="H999">_xlfn.XLOOKUP(Table4[[#This Row],[vehicle_segment]]&amp;Table4[[#This Row],[powertrain_type]],Table3[vehicle_segment]&amp;Table3[powertrain_type],Table3[vehicle_id])</f>
        <v>2</v>
      </c>
      <c r="I999">
        <v>30949</v>
      </c>
      <c r="J999">
        <v>92534</v>
      </c>
      <c r="K999">
        <v>12618</v>
      </c>
      <c r="L999">
        <v>136101</v>
      </c>
      <c r="M999">
        <v>22.74</v>
      </c>
      <c r="N999">
        <v>15350</v>
      </c>
      <c r="O999">
        <v>21.1</v>
      </c>
      <c r="P999">
        <v>419</v>
      </c>
      <c r="Q999">
        <v>1.9370000000000001</v>
      </c>
      <c r="R999">
        <v>0.21099999999999999</v>
      </c>
      <c r="S999">
        <v>94194</v>
      </c>
      <c r="T999">
        <v>74.5</v>
      </c>
      <c r="U999">
        <v>13.2</v>
      </c>
      <c r="V999">
        <v>0</v>
      </c>
      <c r="W999">
        <v>85.4</v>
      </c>
      <c r="X999">
        <v>26.04</v>
      </c>
      <c r="Y999">
        <v>0</v>
      </c>
    </row>
    <row r="1000" spans="1:25" x14ac:dyDescent="0.25">
      <c r="A1000" t="s">
        <v>55</v>
      </c>
      <c r="B1000">
        <f>_xlfn.XLOOKUP(Table4[[#This Row],[country]],Table2[country],Table2[country_id],FALSE)</f>
        <v>21</v>
      </c>
      <c r="C1000" t="s">
        <v>32</v>
      </c>
      <c r="D1000">
        <v>2022</v>
      </c>
      <c r="E1000">
        <f>_xlfn.XLOOKUP(Table4[[#This Row],[year]],Table1[year],Table1[year_id])</f>
        <v>13</v>
      </c>
      <c r="F1000" t="s">
        <v>30</v>
      </c>
      <c r="G1000" t="s">
        <v>28</v>
      </c>
      <c r="H1000" cm="1">
        <f t="array" ref="H1000">_xlfn.XLOOKUP(Table4[[#This Row],[vehicle_segment]]&amp;Table4[[#This Row],[powertrain_type]],Table3[vehicle_segment]&amp;Table3[powertrain_type],Table3[vehicle_id])</f>
        <v>3</v>
      </c>
      <c r="I1000">
        <v>18872</v>
      </c>
      <c r="J1000">
        <v>35293</v>
      </c>
      <c r="K1000">
        <v>3069</v>
      </c>
      <c r="L1000">
        <v>57234</v>
      </c>
      <c r="M1000">
        <v>32.97</v>
      </c>
      <c r="N1000">
        <v>15350</v>
      </c>
      <c r="O1000">
        <v>21.1</v>
      </c>
      <c r="P1000">
        <v>419</v>
      </c>
      <c r="Q1000">
        <v>1.9370000000000001</v>
      </c>
      <c r="R1000">
        <v>0.21099999999999999</v>
      </c>
      <c r="S1000">
        <v>94194</v>
      </c>
      <c r="T1000">
        <v>74.5</v>
      </c>
      <c r="U1000">
        <v>13.2</v>
      </c>
      <c r="V1000">
        <v>0</v>
      </c>
      <c r="W1000">
        <v>85.4</v>
      </c>
      <c r="X1000">
        <v>25.88</v>
      </c>
      <c r="Y1000">
        <v>0</v>
      </c>
    </row>
    <row r="1001" spans="1:25" x14ac:dyDescent="0.25">
      <c r="A1001" t="s">
        <v>55</v>
      </c>
      <c r="B1001">
        <f>_xlfn.XLOOKUP(Table4[[#This Row],[country]],Table2[country],Table2[country_id],FALSE)</f>
        <v>21</v>
      </c>
      <c r="C1001" t="s">
        <v>32</v>
      </c>
      <c r="D1001">
        <v>2023</v>
      </c>
      <c r="E1001">
        <f>_xlfn.XLOOKUP(Table4[[#This Row],[year]],Table1[year],Table1[year_id])</f>
        <v>14</v>
      </c>
      <c r="F1001" t="s">
        <v>27</v>
      </c>
      <c r="G1001" t="s">
        <v>28</v>
      </c>
      <c r="H1001" cm="1">
        <f t="array" ref="H1001">_xlfn.XLOOKUP(Table4[[#This Row],[vehicle_segment]]&amp;Table4[[#This Row],[powertrain_type]],Table3[vehicle_segment]&amp;Table3[powertrain_type],Table3[vehicle_id])</f>
        <v>1</v>
      </c>
      <c r="I1001">
        <v>3070</v>
      </c>
      <c r="J1001">
        <v>20185</v>
      </c>
      <c r="K1001">
        <v>13456</v>
      </c>
      <c r="L1001">
        <v>36711</v>
      </c>
      <c r="M1001">
        <v>8.36</v>
      </c>
      <c r="N1001">
        <v>18901</v>
      </c>
      <c r="O1001">
        <v>26</v>
      </c>
      <c r="P1001">
        <v>444</v>
      </c>
      <c r="Q1001">
        <v>1.93</v>
      </c>
      <c r="R1001">
        <v>0.219</v>
      </c>
      <c r="S1001">
        <v>95322</v>
      </c>
      <c r="T1001">
        <v>74.599999999999994</v>
      </c>
      <c r="U1001">
        <v>13.1</v>
      </c>
      <c r="V1001">
        <v>0</v>
      </c>
      <c r="W1001">
        <v>88.4</v>
      </c>
      <c r="X1001">
        <v>12.66</v>
      </c>
      <c r="Y1001">
        <v>0</v>
      </c>
    </row>
    <row r="1002" spans="1:25" x14ac:dyDescent="0.25">
      <c r="A1002" t="s">
        <v>55</v>
      </c>
      <c r="B1002">
        <f>_xlfn.XLOOKUP(Table4[[#This Row],[country]],Table2[country],Table2[country_id],FALSE)</f>
        <v>21</v>
      </c>
      <c r="C1002" t="s">
        <v>32</v>
      </c>
      <c r="D1002">
        <v>2023</v>
      </c>
      <c r="E1002">
        <f>_xlfn.XLOOKUP(Table4[[#This Row],[year]],Table1[year],Table1[year_id])</f>
        <v>14</v>
      </c>
      <c r="F1002" t="s">
        <v>29</v>
      </c>
      <c r="G1002" t="s">
        <v>28</v>
      </c>
      <c r="H1002" cm="1">
        <f t="array" ref="H1002">_xlfn.XLOOKUP(Table4[[#This Row],[vehicle_segment]]&amp;Table4[[#This Row],[powertrain_type]],Table3[vehicle_segment]&amp;Table3[powertrain_type],Table3[vehicle_id])</f>
        <v>2</v>
      </c>
      <c r="I1002">
        <v>35725</v>
      </c>
      <c r="J1002">
        <v>100156</v>
      </c>
      <c r="K1002">
        <v>13658</v>
      </c>
      <c r="L1002">
        <v>149539</v>
      </c>
      <c r="M1002">
        <v>23.89</v>
      </c>
      <c r="N1002">
        <v>18901</v>
      </c>
      <c r="O1002">
        <v>26</v>
      </c>
      <c r="P1002">
        <v>444</v>
      </c>
      <c r="Q1002">
        <v>1.93</v>
      </c>
      <c r="R1002">
        <v>0.219</v>
      </c>
      <c r="S1002">
        <v>95322</v>
      </c>
      <c r="T1002">
        <v>74.599999999999994</v>
      </c>
      <c r="U1002">
        <v>13.1</v>
      </c>
      <c r="V1002">
        <v>0</v>
      </c>
      <c r="W1002">
        <v>88.4</v>
      </c>
      <c r="X1002">
        <v>15.43</v>
      </c>
      <c r="Y1002">
        <v>0</v>
      </c>
    </row>
    <row r="1003" spans="1:25" x14ac:dyDescent="0.25">
      <c r="A1003" t="s">
        <v>55</v>
      </c>
      <c r="B1003">
        <f>_xlfn.XLOOKUP(Table4[[#This Row],[country]],Table2[country],Table2[country_id],FALSE)</f>
        <v>21</v>
      </c>
      <c r="C1003" t="s">
        <v>32</v>
      </c>
      <c r="D1003">
        <v>2023</v>
      </c>
      <c r="E1003">
        <f>_xlfn.XLOOKUP(Table4[[#This Row],[year]],Table1[year],Table1[year_id])</f>
        <v>14</v>
      </c>
      <c r="F1003" t="s">
        <v>30</v>
      </c>
      <c r="G1003" t="s">
        <v>28</v>
      </c>
      <c r="H1003" cm="1">
        <f t="array" ref="H1003">_xlfn.XLOOKUP(Table4[[#This Row],[vehicle_segment]]&amp;Table4[[#This Row],[powertrain_type]],Table3[vehicle_segment]&amp;Table3[powertrain_type],Table3[vehicle_id])</f>
        <v>3</v>
      </c>
      <c r="I1003">
        <v>21298</v>
      </c>
      <c r="J1003">
        <v>36971</v>
      </c>
      <c r="K1003">
        <v>3215</v>
      </c>
      <c r="L1003">
        <v>61484</v>
      </c>
      <c r="M1003">
        <v>34.64</v>
      </c>
      <c r="N1003">
        <v>18901</v>
      </c>
      <c r="O1003">
        <v>26</v>
      </c>
      <c r="P1003">
        <v>444</v>
      </c>
      <c r="Q1003">
        <v>1.93</v>
      </c>
      <c r="R1003">
        <v>0.219</v>
      </c>
      <c r="S1003">
        <v>95322</v>
      </c>
      <c r="T1003">
        <v>74.599999999999994</v>
      </c>
      <c r="U1003">
        <v>13.1</v>
      </c>
      <c r="V1003">
        <v>0</v>
      </c>
      <c r="W1003">
        <v>88.4</v>
      </c>
      <c r="X1003">
        <v>12.86</v>
      </c>
      <c r="Y1003">
        <v>0</v>
      </c>
    </row>
    <row r="1004" spans="1:25" x14ac:dyDescent="0.25">
      <c r="A1004" t="s">
        <v>55</v>
      </c>
      <c r="B1004">
        <f>_xlfn.XLOOKUP(Table4[[#This Row],[country]],Table2[country],Table2[country_id],FALSE)</f>
        <v>21</v>
      </c>
      <c r="C1004" t="s">
        <v>32</v>
      </c>
      <c r="D1004">
        <v>2024</v>
      </c>
      <c r="E1004">
        <f>_xlfn.XLOOKUP(Table4[[#This Row],[year]],Table1[year],Table1[year_id])</f>
        <v>15</v>
      </c>
      <c r="F1004" t="s">
        <v>27</v>
      </c>
      <c r="G1004" t="s">
        <v>28</v>
      </c>
      <c r="H1004" cm="1">
        <f t="array" ref="H1004">_xlfn.XLOOKUP(Table4[[#This Row],[vehicle_segment]]&amp;Table4[[#This Row],[powertrain_type]],Table3[vehicle_segment]&amp;Table3[powertrain_type],Table3[vehicle_id])</f>
        <v>1</v>
      </c>
      <c r="I1004">
        <v>3342</v>
      </c>
      <c r="J1004">
        <v>20731</v>
      </c>
      <c r="K1004">
        <v>13821</v>
      </c>
      <c r="L1004">
        <v>37894</v>
      </c>
      <c r="M1004">
        <v>8.82</v>
      </c>
      <c r="N1004">
        <v>23201</v>
      </c>
      <c r="O1004">
        <v>27.3</v>
      </c>
      <c r="P1004">
        <v>466</v>
      </c>
      <c r="Q1004">
        <v>1.867</v>
      </c>
      <c r="R1004">
        <v>0.22700000000000001</v>
      </c>
      <c r="S1004">
        <v>97910</v>
      </c>
      <c r="T1004">
        <v>74.400000000000006</v>
      </c>
      <c r="U1004">
        <v>12.6</v>
      </c>
      <c r="V1004">
        <v>0</v>
      </c>
      <c r="W1004">
        <v>90.3</v>
      </c>
      <c r="X1004">
        <v>8.86</v>
      </c>
      <c r="Y1004">
        <v>0</v>
      </c>
    </row>
    <row r="1005" spans="1:25" x14ac:dyDescent="0.25">
      <c r="A1005" t="s">
        <v>55</v>
      </c>
      <c r="B1005">
        <f>_xlfn.XLOOKUP(Table4[[#This Row],[country]],Table2[country],Table2[country_id],FALSE)</f>
        <v>21</v>
      </c>
      <c r="C1005" t="s">
        <v>32</v>
      </c>
      <c r="D1005">
        <v>2024</v>
      </c>
      <c r="E1005">
        <f>_xlfn.XLOOKUP(Table4[[#This Row],[year]],Table1[year],Table1[year_id])</f>
        <v>15</v>
      </c>
      <c r="F1005" t="s">
        <v>29</v>
      </c>
      <c r="G1005" t="s">
        <v>28</v>
      </c>
      <c r="H1005" cm="1">
        <f t="array" ref="H1005">_xlfn.XLOOKUP(Table4[[#This Row],[vehicle_segment]]&amp;Table4[[#This Row],[powertrain_type]],Table3[vehicle_segment]&amp;Table3[powertrain_type],Table3[vehicle_id])</f>
        <v>2</v>
      </c>
      <c r="I1005">
        <v>38017</v>
      </c>
      <c r="J1005">
        <v>99303</v>
      </c>
      <c r="K1005">
        <v>13541</v>
      </c>
      <c r="L1005">
        <v>150861</v>
      </c>
      <c r="M1005">
        <v>25.2</v>
      </c>
      <c r="N1005">
        <v>23201</v>
      </c>
      <c r="O1005">
        <v>27.3</v>
      </c>
      <c r="P1005">
        <v>466</v>
      </c>
      <c r="Q1005">
        <v>1.867</v>
      </c>
      <c r="R1005">
        <v>0.22700000000000001</v>
      </c>
      <c r="S1005">
        <v>97910</v>
      </c>
      <c r="T1005">
        <v>74.400000000000006</v>
      </c>
      <c r="U1005">
        <v>12.6</v>
      </c>
      <c r="V1005">
        <v>0</v>
      </c>
      <c r="W1005">
        <v>90.3</v>
      </c>
      <c r="X1005">
        <v>6.42</v>
      </c>
      <c r="Y1005">
        <v>0</v>
      </c>
    </row>
    <row r="1006" spans="1:25" x14ac:dyDescent="0.25">
      <c r="A1006" t="s">
        <v>55</v>
      </c>
      <c r="B1006">
        <f>_xlfn.XLOOKUP(Table4[[#This Row],[country]],Table2[country],Table2[country_id],FALSE)</f>
        <v>21</v>
      </c>
      <c r="C1006" t="s">
        <v>32</v>
      </c>
      <c r="D1006">
        <v>2024</v>
      </c>
      <c r="E1006">
        <f>_xlfn.XLOOKUP(Table4[[#This Row],[year]],Table1[year],Table1[year_id])</f>
        <v>15</v>
      </c>
      <c r="F1006" t="s">
        <v>30</v>
      </c>
      <c r="G1006" t="s">
        <v>28</v>
      </c>
      <c r="H1006" cm="1">
        <f t="array" ref="H1006">_xlfn.XLOOKUP(Table4[[#This Row],[vehicle_segment]]&amp;Table4[[#This Row],[powertrain_type]],Table3[vehicle_segment]&amp;Table3[powertrain_type],Table3[vehicle_id])</f>
        <v>3</v>
      </c>
      <c r="I1006">
        <v>22949</v>
      </c>
      <c r="J1006">
        <v>36668</v>
      </c>
      <c r="K1006">
        <v>3188</v>
      </c>
      <c r="L1006">
        <v>62805</v>
      </c>
      <c r="M1006">
        <v>36.54</v>
      </c>
      <c r="N1006">
        <v>23201</v>
      </c>
      <c r="O1006">
        <v>27.3</v>
      </c>
      <c r="P1006">
        <v>466</v>
      </c>
      <c r="Q1006">
        <v>1.867</v>
      </c>
      <c r="R1006">
        <v>0.22700000000000001</v>
      </c>
      <c r="S1006">
        <v>97910</v>
      </c>
      <c r="T1006">
        <v>74.400000000000006</v>
      </c>
      <c r="U1006">
        <v>12.6</v>
      </c>
      <c r="V1006">
        <v>0</v>
      </c>
      <c r="W1006">
        <v>90.3</v>
      </c>
      <c r="X1006">
        <v>7.75</v>
      </c>
      <c r="Y1006">
        <v>0</v>
      </c>
    </row>
    <row r="1007" spans="1:25" x14ac:dyDescent="0.25">
      <c r="A1007" t="s">
        <v>55</v>
      </c>
      <c r="B1007">
        <f>_xlfn.XLOOKUP(Table4[[#This Row],[country]],Table2[country],Table2[country_id],FALSE)</f>
        <v>21</v>
      </c>
      <c r="C1007" t="s">
        <v>32</v>
      </c>
      <c r="D1007">
        <v>2025</v>
      </c>
      <c r="E1007">
        <f>_xlfn.XLOOKUP(Table4[[#This Row],[year]],Table1[year],Table1[year_id])</f>
        <v>16</v>
      </c>
      <c r="F1007" t="s">
        <v>27</v>
      </c>
      <c r="G1007" t="s">
        <v>28</v>
      </c>
      <c r="H1007" cm="1">
        <f t="array" ref="H1007">_xlfn.XLOOKUP(Table4[[#This Row],[vehicle_segment]]&amp;Table4[[#This Row],[powertrain_type]],Table3[vehicle_segment]&amp;Table3[powertrain_type],Table3[vehicle_id])</f>
        <v>1</v>
      </c>
      <c r="I1007">
        <v>3872</v>
      </c>
      <c r="J1007">
        <v>21231</v>
      </c>
      <c r="K1007">
        <v>14154</v>
      </c>
      <c r="L1007">
        <v>39257</v>
      </c>
      <c r="M1007">
        <v>9.86</v>
      </c>
      <c r="N1007">
        <v>28251</v>
      </c>
      <c r="O1007">
        <v>27.5</v>
      </c>
      <c r="P1007">
        <v>503</v>
      </c>
      <c r="Q1007">
        <v>1.79</v>
      </c>
      <c r="R1007">
        <v>0.23200000000000001</v>
      </c>
      <c r="S1007">
        <v>99664</v>
      </c>
      <c r="T1007">
        <v>74.7</v>
      </c>
      <c r="U1007">
        <v>12.1</v>
      </c>
      <c r="V1007">
        <v>0</v>
      </c>
      <c r="W1007">
        <v>93.1</v>
      </c>
      <c r="X1007">
        <v>15.86</v>
      </c>
      <c r="Y1007">
        <v>0</v>
      </c>
    </row>
    <row r="1008" spans="1:25" x14ac:dyDescent="0.25">
      <c r="A1008" t="s">
        <v>55</v>
      </c>
      <c r="B1008">
        <f>_xlfn.XLOOKUP(Table4[[#This Row],[country]],Table2[country],Table2[country_id],FALSE)</f>
        <v>21</v>
      </c>
      <c r="C1008" t="s">
        <v>32</v>
      </c>
      <c r="D1008">
        <v>2025</v>
      </c>
      <c r="E1008">
        <f>_xlfn.XLOOKUP(Table4[[#This Row],[year]],Table1[year],Table1[year_id])</f>
        <v>16</v>
      </c>
      <c r="F1008" t="s">
        <v>29</v>
      </c>
      <c r="G1008" t="s">
        <v>28</v>
      </c>
      <c r="H1008" cm="1">
        <f t="array" ref="H1008">_xlfn.XLOOKUP(Table4[[#This Row],[vehicle_segment]]&amp;Table4[[#This Row],[powertrain_type]],Table3[vehicle_segment]&amp;Table3[powertrain_type],Table3[vehicle_id])</f>
        <v>2</v>
      </c>
      <c r="I1008">
        <v>43731</v>
      </c>
      <c r="J1008">
        <v>98079</v>
      </c>
      <c r="K1008">
        <v>13374</v>
      </c>
      <c r="L1008">
        <v>155184</v>
      </c>
      <c r="M1008">
        <v>28.18</v>
      </c>
      <c r="N1008">
        <v>28251</v>
      </c>
      <c r="O1008">
        <v>27.5</v>
      </c>
      <c r="P1008">
        <v>503</v>
      </c>
      <c r="Q1008">
        <v>1.79</v>
      </c>
      <c r="R1008">
        <v>0.23200000000000001</v>
      </c>
      <c r="S1008">
        <v>99664</v>
      </c>
      <c r="T1008">
        <v>74.7</v>
      </c>
      <c r="U1008">
        <v>12.1</v>
      </c>
      <c r="V1008">
        <v>0</v>
      </c>
      <c r="W1008">
        <v>93.1</v>
      </c>
      <c r="X1008">
        <v>15.03</v>
      </c>
      <c r="Y1008">
        <v>0</v>
      </c>
    </row>
    <row r="1009" spans="1:25" x14ac:dyDescent="0.25">
      <c r="A1009" t="s">
        <v>55</v>
      </c>
      <c r="B1009">
        <f>_xlfn.XLOOKUP(Table4[[#This Row],[country]],Table2[country],Table2[country_id],FALSE)</f>
        <v>21</v>
      </c>
      <c r="C1009" t="s">
        <v>32</v>
      </c>
      <c r="D1009">
        <v>2025</v>
      </c>
      <c r="E1009">
        <f>_xlfn.XLOOKUP(Table4[[#This Row],[year]],Table1[year],Table1[year_id])</f>
        <v>16</v>
      </c>
      <c r="F1009" t="s">
        <v>30</v>
      </c>
      <c r="G1009" t="s">
        <v>34</v>
      </c>
      <c r="H1009" cm="1">
        <f t="array" ref="H1009">_xlfn.XLOOKUP(Table4[[#This Row],[vehicle_segment]]&amp;Table4[[#This Row],[powertrain_type]],Table3[vehicle_segment]&amp;Table3[powertrain_type],Table3[vehicle_id])</f>
        <v>4</v>
      </c>
      <c r="I1009">
        <v>26536</v>
      </c>
      <c r="J1009">
        <v>35333</v>
      </c>
      <c r="K1009">
        <v>3072</v>
      </c>
      <c r="L1009">
        <v>64941</v>
      </c>
      <c r="M1009">
        <v>40.86</v>
      </c>
      <c r="N1009">
        <v>28251</v>
      </c>
      <c r="O1009">
        <v>27.5</v>
      </c>
      <c r="P1009">
        <v>503</v>
      </c>
      <c r="Q1009">
        <v>1.79</v>
      </c>
      <c r="R1009">
        <v>0.23200000000000001</v>
      </c>
      <c r="S1009">
        <v>99664</v>
      </c>
      <c r="T1009">
        <v>74.7</v>
      </c>
      <c r="U1009">
        <v>12.1</v>
      </c>
      <c r="V1009">
        <v>0</v>
      </c>
      <c r="W1009">
        <v>93.1</v>
      </c>
      <c r="X1009">
        <v>15.63</v>
      </c>
      <c r="Y1009">
        <v>0</v>
      </c>
    </row>
    <row r="1010" spans="1:25" x14ac:dyDescent="0.25">
      <c r="A1010" t="s">
        <v>56</v>
      </c>
      <c r="B1010">
        <f>_xlfn.XLOOKUP(Table4[[#This Row],[country]],Table2[country],Table2[country_id],FALSE)</f>
        <v>22</v>
      </c>
      <c r="C1010" t="s">
        <v>40</v>
      </c>
      <c r="D1010">
        <v>2010</v>
      </c>
      <c r="E1010">
        <f>_xlfn.XLOOKUP(Table4[[#This Row],[year]],Table1[year],Table1[year_id])</f>
        <v>1</v>
      </c>
      <c r="F1010" t="s">
        <v>27</v>
      </c>
      <c r="G1010" t="s">
        <v>28</v>
      </c>
      <c r="H1010" cm="1">
        <f t="array" ref="H1010">_xlfn.XLOOKUP(Table4[[#This Row],[vehicle_segment]]&amp;Table4[[#This Row],[powertrain_type]],Table3[vehicle_segment]&amp;Table3[powertrain_type],Table3[vehicle_id])</f>
        <v>1</v>
      </c>
      <c r="I1010">
        <v>5</v>
      </c>
      <c r="J1010">
        <v>74582</v>
      </c>
      <c r="K1010">
        <v>49724</v>
      </c>
      <c r="L1010">
        <v>124311</v>
      </c>
      <c r="M1010">
        <v>0</v>
      </c>
      <c r="N1010">
        <v>0</v>
      </c>
      <c r="O1010">
        <v>0</v>
      </c>
      <c r="P1010">
        <v>119</v>
      </c>
      <c r="Q1010">
        <v>0.9</v>
      </c>
      <c r="R1010">
        <v>6.9000000000000006E-2</v>
      </c>
      <c r="S1010">
        <v>5170</v>
      </c>
      <c r="T1010">
        <v>44</v>
      </c>
      <c r="U1010">
        <v>68.3</v>
      </c>
      <c r="V1010">
        <v>0</v>
      </c>
      <c r="W1010">
        <v>20.8</v>
      </c>
      <c r="X1010">
        <v>0</v>
      </c>
      <c r="Y1010">
        <v>0</v>
      </c>
    </row>
    <row r="1011" spans="1:25" x14ac:dyDescent="0.25">
      <c r="A1011" t="s">
        <v>56</v>
      </c>
      <c r="B1011">
        <f>_xlfn.XLOOKUP(Table4[[#This Row],[country]],Table2[country],Table2[country_id],FALSE)</f>
        <v>22</v>
      </c>
      <c r="C1011" t="s">
        <v>40</v>
      </c>
      <c r="D1011">
        <v>2010</v>
      </c>
      <c r="E1011">
        <f>_xlfn.XLOOKUP(Table4[[#This Row],[year]],Table1[year],Table1[year_id])</f>
        <v>1</v>
      </c>
      <c r="F1011" t="s">
        <v>29</v>
      </c>
      <c r="G1011" t="s">
        <v>28</v>
      </c>
      <c r="H1011" cm="1">
        <f t="array" ref="H1011">_xlfn.XLOOKUP(Table4[[#This Row],[vehicle_segment]]&amp;Table4[[#This Row],[powertrain_type]],Table3[vehicle_segment]&amp;Table3[powertrain_type],Table3[vehicle_id])</f>
        <v>2</v>
      </c>
      <c r="I1011">
        <v>15</v>
      </c>
      <c r="J1011">
        <v>427070</v>
      </c>
      <c r="K1011">
        <v>58239</v>
      </c>
      <c r="L1011">
        <v>485324</v>
      </c>
      <c r="M1011">
        <v>0</v>
      </c>
      <c r="N1011">
        <v>0</v>
      </c>
      <c r="O1011">
        <v>0</v>
      </c>
      <c r="P1011">
        <v>119</v>
      </c>
      <c r="Q1011">
        <v>0.9</v>
      </c>
      <c r="R1011">
        <v>6.9000000000000006E-2</v>
      </c>
      <c r="S1011">
        <v>5170</v>
      </c>
      <c r="T1011">
        <v>44</v>
      </c>
      <c r="U1011">
        <v>68.3</v>
      </c>
      <c r="V1011">
        <v>0</v>
      </c>
      <c r="W1011">
        <v>20.8</v>
      </c>
      <c r="X1011">
        <v>0</v>
      </c>
      <c r="Y1011">
        <v>0</v>
      </c>
    </row>
    <row r="1012" spans="1:25" x14ac:dyDescent="0.25">
      <c r="A1012" t="s">
        <v>56</v>
      </c>
      <c r="B1012">
        <f>_xlfn.XLOOKUP(Table4[[#This Row],[country]],Table2[country],Table2[country_id],FALSE)</f>
        <v>22</v>
      </c>
      <c r="C1012" t="s">
        <v>40</v>
      </c>
      <c r="D1012">
        <v>2010</v>
      </c>
      <c r="E1012">
        <f>_xlfn.XLOOKUP(Table4[[#This Row],[year]],Table1[year],Table1[year_id])</f>
        <v>1</v>
      </c>
      <c r="F1012" t="s">
        <v>30</v>
      </c>
      <c r="G1012" t="s">
        <v>28</v>
      </c>
      <c r="H1012" cm="1">
        <f t="array" ref="H1012">_xlfn.XLOOKUP(Table4[[#This Row],[vehicle_segment]]&amp;Table4[[#This Row],[powertrain_type]],Table3[vehicle_segment]&amp;Table3[powertrain_type],Table3[vehicle_id])</f>
        <v>3</v>
      </c>
      <c r="I1012">
        <v>10</v>
      </c>
      <c r="J1012">
        <v>184012</v>
      </c>
      <c r="K1012">
        <v>16002</v>
      </c>
      <c r="L1012">
        <v>200024</v>
      </c>
      <c r="M1012">
        <v>0</v>
      </c>
      <c r="N1012">
        <v>0</v>
      </c>
      <c r="O1012">
        <v>0</v>
      </c>
      <c r="P1012">
        <v>119</v>
      </c>
      <c r="Q1012">
        <v>0.9</v>
      </c>
      <c r="R1012">
        <v>6.9000000000000006E-2</v>
      </c>
      <c r="S1012">
        <v>5170</v>
      </c>
      <c r="T1012">
        <v>44</v>
      </c>
      <c r="U1012">
        <v>68.3</v>
      </c>
      <c r="V1012">
        <v>0</v>
      </c>
      <c r="W1012">
        <v>20.8</v>
      </c>
      <c r="X1012">
        <v>0</v>
      </c>
      <c r="Y1012">
        <v>0</v>
      </c>
    </row>
    <row r="1013" spans="1:25" x14ac:dyDescent="0.25">
      <c r="A1013" t="s">
        <v>56</v>
      </c>
      <c r="B1013">
        <f>_xlfn.XLOOKUP(Table4[[#This Row],[country]],Table2[country],Table2[country_id],FALSE)</f>
        <v>22</v>
      </c>
      <c r="C1013" t="s">
        <v>40</v>
      </c>
      <c r="D1013">
        <v>2011</v>
      </c>
      <c r="E1013">
        <f>_xlfn.XLOOKUP(Table4[[#This Row],[year]],Table1[year],Table1[year_id])</f>
        <v>2</v>
      </c>
      <c r="F1013" t="s">
        <v>27</v>
      </c>
      <c r="G1013" t="s">
        <v>28</v>
      </c>
      <c r="H1013" cm="1">
        <f t="array" ref="H1013">_xlfn.XLOOKUP(Table4[[#This Row],[vehicle_segment]]&amp;Table4[[#This Row],[powertrain_type]],Table3[vehicle_segment]&amp;Table3[powertrain_type],Table3[vehicle_id])</f>
        <v>1</v>
      </c>
      <c r="I1013">
        <v>5</v>
      </c>
      <c r="J1013">
        <v>85329</v>
      </c>
      <c r="K1013">
        <v>56890</v>
      </c>
      <c r="L1013">
        <v>142224</v>
      </c>
      <c r="M1013">
        <v>0</v>
      </c>
      <c r="N1013">
        <v>13</v>
      </c>
      <c r="O1013">
        <v>1</v>
      </c>
      <c r="P1013">
        <v>124</v>
      </c>
      <c r="Q1013">
        <v>0.88300000000000001</v>
      </c>
      <c r="R1013">
        <v>7.2999999999999995E-2</v>
      </c>
      <c r="S1013">
        <v>5316</v>
      </c>
      <c r="T1013">
        <v>45.2</v>
      </c>
      <c r="U1013">
        <v>70</v>
      </c>
      <c r="V1013">
        <v>251</v>
      </c>
      <c r="W1013">
        <v>20.5</v>
      </c>
      <c r="X1013">
        <v>0</v>
      </c>
      <c r="Y1013">
        <v>0</v>
      </c>
    </row>
    <row r="1014" spans="1:25" x14ac:dyDescent="0.25">
      <c r="A1014" t="s">
        <v>56</v>
      </c>
      <c r="B1014">
        <f>_xlfn.XLOOKUP(Table4[[#This Row],[country]],Table2[country],Table2[country_id],FALSE)</f>
        <v>22</v>
      </c>
      <c r="C1014" t="s">
        <v>40</v>
      </c>
      <c r="D1014">
        <v>2011</v>
      </c>
      <c r="E1014">
        <f>_xlfn.XLOOKUP(Table4[[#This Row],[year]],Table1[year],Table1[year_id])</f>
        <v>2</v>
      </c>
      <c r="F1014" t="s">
        <v>29</v>
      </c>
      <c r="G1014" t="s">
        <v>28</v>
      </c>
      <c r="H1014" cm="1">
        <f t="array" ref="H1014">_xlfn.XLOOKUP(Table4[[#This Row],[vehicle_segment]]&amp;Table4[[#This Row],[powertrain_type]],Table3[vehicle_segment]&amp;Table3[powertrain_type],Table3[vehicle_id])</f>
        <v>2</v>
      </c>
      <c r="I1014">
        <v>30</v>
      </c>
      <c r="J1014">
        <v>508639</v>
      </c>
      <c r="K1014">
        <v>69364</v>
      </c>
      <c r="L1014">
        <v>578033</v>
      </c>
      <c r="M1014">
        <v>0.01</v>
      </c>
      <c r="N1014">
        <v>13</v>
      </c>
      <c r="O1014">
        <v>1</v>
      </c>
      <c r="P1014">
        <v>124</v>
      </c>
      <c r="Q1014">
        <v>0.88300000000000001</v>
      </c>
      <c r="R1014">
        <v>7.2999999999999995E-2</v>
      </c>
      <c r="S1014">
        <v>5316</v>
      </c>
      <c r="T1014">
        <v>45.2</v>
      </c>
      <c r="U1014">
        <v>70</v>
      </c>
      <c r="V1014">
        <v>251</v>
      </c>
      <c r="W1014">
        <v>20.5</v>
      </c>
      <c r="X1014">
        <v>100</v>
      </c>
      <c r="Y1014">
        <v>0</v>
      </c>
    </row>
    <row r="1015" spans="1:25" x14ac:dyDescent="0.25">
      <c r="A1015" t="s">
        <v>56</v>
      </c>
      <c r="B1015">
        <f>_xlfn.XLOOKUP(Table4[[#This Row],[country]],Table2[country],Table2[country_id],FALSE)</f>
        <v>22</v>
      </c>
      <c r="C1015" t="s">
        <v>40</v>
      </c>
      <c r="D1015">
        <v>2011</v>
      </c>
      <c r="E1015">
        <f>_xlfn.XLOOKUP(Table4[[#This Row],[year]],Table1[year],Table1[year_id])</f>
        <v>2</v>
      </c>
      <c r="F1015" t="s">
        <v>30</v>
      </c>
      <c r="G1015" t="s">
        <v>28</v>
      </c>
      <c r="H1015" cm="1">
        <f t="array" ref="H1015">_xlfn.XLOOKUP(Table4[[#This Row],[vehicle_segment]]&amp;Table4[[#This Row],[powertrain_type]],Table3[vehicle_segment]&amp;Table3[powertrain_type],Table3[vehicle_id])</f>
        <v>3</v>
      </c>
      <c r="I1015">
        <v>16</v>
      </c>
      <c r="J1015">
        <v>219464</v>
      </c>
      <c r="K1015">
        <v>19085</v>
      </c>
      <c r="L1015">
        <v>238565</v>
      </c>
      <c r="M1015">
        <v>0.01</v>
      </c>
      <c r="N1015">
        <v>13</v>
      </c>
      <c r="O1015">
        <v>1</v>
      </c>
      <c r="P1015">
        <v>124</v>
      </c>
      <c r="Q1015">
        <v>0.88300000000000001</v>
      </c>
      <c r="R1015">
        <v>7.2999999999999995E-2</v>
      </c>
      <c r="S1015">
        <v>5316</v>
      </c>
      <c r="T1015">
        <v>45.2</v>
      </c>
      <c r="U1015">
        <v>70</v>
      </c>
      <c r="V1015">
        <v>251</v>
      </c>
      <c r="W1015">
        <v>20.5</v>
      </c>
      <c r="X1015">
        <v>60</v>
      </c>
      <c r="Y1015">
        <v>0</v>
      </c>
    </row>
    <row r="1016" spans="1:25" x14ac:dyDescent="0.25">
      <c r="A1016" t="s">
        <v>56</v>
      </c>
      <c r="B1016">
        <f>_xlfn.XLOOKUP(Table4[[#This Row],[country]],Table2[country],Table2[country_id],FALSE)</f>
        <v>22</v>
      </c>
      <c r="C1016" t="s">
        <v>40</v>
      </c>
      <c r="D1016">
        <v>2012</v>
      </c>
      <c r="E1016">
        <f>_xlfn.XLOOKUP(Table4[[#This Row],[year]],Table1[year],Table1[year_id])</f>
        <v>3</v>
      </c>
      <c r="F1016" t="s">
        <v>27</v>
      </c>
      <c r="G1016" t="s">
        <v>28</v>
      </c>
      <c r="H1016" cm="1">
        <f t="array" ref="H1016">_xlfn.XLOOKUP(Table4[[#This Row],[vehicle_segment]]&amp;Table4[[#This Row],[powertrain_type]],Table3[vehicle_segment]&amp;Table3[powertrain_type],Table3[vehicle_id])</f>
        <v>1</v>
      </c>
      <c r="I1016">
        <v>6</v>
      </c>
      <c r="J1016">
        <v>100324</v>
      </c>
      <c r="K1016">
        <v>66882</v>
      </c>
      <c r="L1016">
        <v>167212</v>
      </c>
      <c r="M1016">
        <v>0</v>
      </c>
      <c r="N1016">
        <v>24</v>
      </c>
      <c r="O1016">
        <v>2</v>
      </c>
      <c r="P1016">
        <v>129</v>
      </c>
      <c r="Q1016">
        <v>0.87</v>
      </c>
      <c r="R1016">
        <v>7.6999999999999999E-2</v>
      </c>
      <c r="S1016">
        <v>5415</v>
      </c>
      <c r="T1016">
        <v>46.1</v>
      </c>
      <c r="U1016">
        <v>71.7</v>
      </c>
      <c r="V1016">
        <v>500</v>
      </c>
      <c r="W1016">
        <v>23.6</v>
      </c>
      <c r="X1016">
        <v>9.5399999999999991</v>
      </c>
      <c r="Y1016">
        <v>0</v>
      </c>
    </row>
    <row r="1017" spans="1:25" x14ac:dyDescent="0.25">
      <c r="A1017" t="s">
        <v>56</v>
      </c>
      <c r="B1017">
        <f>_xlfn.XLOOKUP(Table4[[#This Row],[country]],Table2[country],Table2[country_id],FALSE)</f>
        <v>22</v>
      </c>
      <c r="C1017" t="s">
        <v>40</v>
      </c>
      <c r="D1017">
        <v>2012</v>
      </c>
      <c r="E1017">
        <f>_xlfn.XLOOKUP(Table4[[#This Row],[year]],Table1[year],Table1[year_id])</f>
        <v>3</v>
      </c>
      <c r="F1017" t="s">
        <v>29</v>
      </c>
      <c r="G1017" t="s">
        <v>28</v>
      </c>
      <c r="H1017" cm="1">
        <f t="array" ref="H1017">_xlfn.XLOOKUP(Table4[[#This Row],[vehicle_segment]]&amp;Table4[[#This Row],[powertrain_type]],Table3[vehicle_segment]&amp;Table3[powertrain_type],Table3[vehicle_id])</f>
        <v>2</v>
      </c>
      <c r="I1017">
        <v>69</v>
      </c>
      <c r="J1017">
        <v>608769</v>
      </c>
      <c r="K1017">
        <v>83014</v>
      </c>
      <c r="L1017">
        <v>691852</v>
      </c>
      <c r="M1017">
        <v>0.01</v>
      </c>
      <c r="N1017">
        <v>24</v>
      </c>
      <c r="O1017">
        <v>2</v>
      </c>
      <c r="P1017">
        <v>129</v>
      </c>
      <c r="Q1017">
        <v>0.87</v>
      </c>
      <c r="R1017">
        <v>7.6999999999999999E-2</v>
      </c>
      <c r="S1017">
        <v>5415</v>
      </c>
      <c r="T1017">
        <v>46.1</v>
      </c>
      <c r="U1017">
        <v>71.7</v>
      </c>
      <c r="V1017">
        <v>500</v>
      </c>
      <c r="W1017">
        <v>23.6</v>
      </c>
      <c r="X1017">
        <v>114.48</v>
      </c>
      <c r="Y1017">
        <v>0</v>
      </c>
    </row>
    <row r="1018" spans="1:25" x14ac:dyDescent="0.25">
      <c r="A1018" t="s">
        <v>56</v>
      </c>
      <c r="B1018">
        <f>_xlfn.XLOOKUP(Table4[[#This Row],[country]],Table2[country],Table2[country_id],FALSE)</f>
        <v>22</v>
      </c>
      <c r="C1018" t="s">
        <v>40</v>
      </c>
      <c r="D1018">
        <v>2012</v>
      </c>
      <c r="E1018">
        <f>_xlfn.XLOOKUP(Table4[[#This Row],[year]],Table1[year],Table1[year_id])</f>
        <v>3</v>
      </c>
      <c r="F1018" t="s">
        <v>30</v>
      </c>
      <c r="G1018" t="s">
        <v>28</v>
      </c>
      <c r="H1018" cm="1">
        <f t="array" ref="H1018">_xlfn.XLOOKUP(Table4[[#This Row],[vehicle_segment]]&amp;Table4[[#This Row],[powertrain_type]],Table3[vehicle_segment]&amp;Table3[powertrain_type],Table3[vehicle_id])</f>
        <v>3</v>
      </c>
      <c r="I1018">
        <v>41</v>
      </c>
      <c r="J1018">
        <v>261656</v>
      </c>
      <c r="K1018">
        <v>22753</v>
      </c>
      <c r="L1018">
        <v>284450</v>
      </c>
      <c r="M1018">
        <v>0.01</v>
      </c>
      <c r="N1018">
        <v>24</v>
      </c>
      <c r="O1018">
        <v>2</v>
      </c>
      <c r="P1018">
        <v>129</v>
      </c>
      <c r="Q1018">
        <v>0.87</v>
      </c>
      <c r="R1018">
        <v>7.6999999999999999E-2</v>
      </c>
      <c r="S1018">
        <v>5415</v>
      </c>
      <c r="T1018">
        <v>46.1</v>
      </c>
      <c r="U1018">
        <v>71.7</v>
      </c>
      <c r="V1018">
        <v>500</v>
      </c>
      <c r="W1018">
        <v>23.6</v>
      </c>
      <c r="X1018">
        <v>102.48</v>
      </c>
      <c r="Y1018">
        <v>0</v>
      </c>
    </row>
    <row r="1019" spans="1:25" x14ac:dyDescent="0.25">
      <c r="A1019" t="s">
        <v>56</v>
      </c>
      <c r="B1019">
        <f>_xlfn.XLOOKUP(Table4[[#This Row],[country]],Table2[country],Table2[country_id],FALSE)</f>
        <v>22</v>
      </c>
      <c r="C1019" t="s">
        <v>40</v>
      </c>
      <c r="D1019">
        <v>2013</v>
      </c>
      <c r="E1019">
        <f>_xlfn.XLOOKUP(Table4[[#This Row],[year]],Table1[year],Table1[year_id])</f>
        <v>4</v>
      </c>
      <c r="F1019" t="s">
        <v>27</v>
      </c>
      <c r="G1019" t="s">
        <v>28</v>
      </c>
      <c r="H1019" cm="1">
        <f t="array" ref="H1019">_xlfn.XLOOKUP(Table4[[#This Row],[vehicle_segment]]&amp;Table4[[#This Row],[powertrain_type]],Table3[vehicle_segment]&amp;Table3[powertrain_type],Table3[vehicle_id])</f>
        <v>1</v>
      </c>
      <c r="I1019">
        <v>7</v>
      </c>
      <c r="J1019">
        <v>120778</v>
      </c>
      <c r="K1019">
        <v>80518</v>
      </c>
      <c r="L1019">
        <v>201303</v>
      </c>
      <c r="M1019">
        <v>0</v>
      </c>
      <c r="N1019">
        <v>36</v>
      </c>
      <c r="O1019">
        <v>2.8</v>
      </c>
      <c r="P1019">
        <v>132</v>
      </c>
      <c r="Q1019">
        <v>0.86699999999999999</v>
      </c>
      <c r="R1019">
        <v>8.1000000000000003E-2</v>
      </c>
      <c r="S1019">
        <v>5516</v>
      </c>
      <c r="T1019">
        <v>47</v>
      </c>
      <c r="U1019">
        <v>73.8</v>
      </c>
      <c r="V1019">
        <v>751</v>
      </c>
      <c r="W1019">
        <v>24.4</v>
      </c>
      <c r="X1019">
        <v>11.87</v>
      </c>
      <c r="Y1019">
        <v>0</v>
      </c>
    </row>
    <row r="1020" spans="1:25" x14ac:dyDescent="0.25">
      <c r="A1020" t="s">
        <v>56</v>
      </c>
      <c r="B1020">
        <f>_xlfn.XLOOKUP(Table4[[#This Row],[country]],Table2[country],Table2[country_id],FALSE)</f>
        <v>22</v>
      </c>
      <c r="C1020" t="s">
        <v>40</v>
      </c>
      <c r="D1020">
        <v>2013</v>
      </c>
      <c r="E1020">
        <f>_xlfn.XLOOKUP(Table4[[#This Row],[year]],Table1[year],Table1[year_id])</f>
        <v>4</v>
      </c>
      <c r="F1020" t="s">
        <v>29</v>
      </c>
      <c r="G1020" t="s">
        <v>28</v>
      </c>
      <c r="H1020" cm="1">
        <f t="array" ref="H1020">_xlfn.XLOOKUP(Table4[[#This Row],[vehicle_segment]]&amp;Table4[[#This Row],[powertrain_type]],Table3[vehicle_segment]&amp;Table3[powertrain_type],Table3[vehicle_id])</f>
        <v>2</v>
      </c>
      <c r="I1020">
        <v>81</v>
      </c>
      <c r="J1020">
        <v>709990</v>
      </c>
      <c r="K1020">
        <v>96817</v>
      </c>
      <c r="L1020">
        <v>806888</v>
      </c>
      <c r="M1020">
        <v>0.01</v>
      </c>
      <c r="N1020">
        <v>36</v>
      </c>
      <c r="O1020">
        <v>2.8</v>
      </c>
      <c r="P1020">
        <v>132</v>
      </c>
      <c r="Q1020">
        <v>0.86699999999999999</v>
      </c>
      <c r="R1020">
        <v>8.1000000000000003E-2</v>
      </c>
      <c r="S1020">
        <v>5516</v>
      </c>
      <c r="T1020">
        <v>47</v>
      </c>
      <c r="U1020">
        <v>73.8</v>
      </c>
      <c r="V1020">
        <v>751</v>
      </c>
      <c r="W1020">
        <v>24.4</v>
      </c>
      <c r="X1020">
        <v>75.44</v>
      </c>
      <c r="Y1020">
        <v>0</v>
      </c>
    </row>
    <row r="1021" spans="1:25" x14ac:dyDescent="0.25">
      <c r="A1021" t="s">
        <v>56</v>
      </c>
      <c r="B1021">
        <f>_xlfn.XLOOKUP(Table4[[#This Row],[country]],Table2[country],Table2[country_id],FALSE)</f>
        <v>22</v>
      </c>
      <c r="C1021" t="s">
        <v>40</v>
      </c>
      <c r="D1021">
        <v>2013</v>
      </c>
      <c r="E1021">
        <f>_xlfn.XLOOKUP(Table4[[#This Row],[year]],Table1[year],Table1[year_id])</f>
        <v>4</v>
      </c>
      <c r="F1021" t="s">
        <v>30</v>
      </c>
      <c r="G1021" t="s">
        <v>28</v>
      </c>
      <c r="H1021" cm="1">
        <f t="array" ref="H1021">_xlfn.XLOOKUP(Table4[[#This Row],[vehicle_segment]]&amp;Table4[[#This Row],[powertrain_type]],Table3[vehicle_segment]&amp;Table3[powertrain_type],Table3[vehicle_id])</f>
        <v>3</v>
      </c>
      <c r="I1021">
        <v>48</v>
      </c>
      <c r="J1021">
        <v>303500</v>
      </c>
      <c r="K1021">
        <v>26391</v>
      </c>
      <c r="L1021">
        <v>329939</v>
      </c>
      <c r="M1021">
        <v>0.01</v>
      </c>
      <c r="N1021">
        <v>36</v>
      </c>
      <c r="O1021">
        <v>2.8</v>
      </c>
      <c r="P1021">
        <v>132</v>
      </c>
      <c r="Q1021">
        <v>0.86699999999999999</v>
      </c>
      <c r="R1021">
        <v>8.1000000000000003E-2</v>
      </c>
      <c r="S1021">
        <v>5516</v>
      </c>
      <c r="T1021">
        <v>47</v>
      </c>
      <c r="U1021">
        <v>73.8</v>
      </c>
      <c r="V1021">
        <v>751</v>
      </c>
      <c r="W1021">
        <v>24.4</v>
      </c>
      <c r="X1021">
        <v>68.69</v>
      </c>
      <c r="Y1021">
        <v>0</v>
      </c>
    </row>
    <row r="1022" spans="1:25" x14ac:dyDescent="0.25">
      <c r="A1022" t="s">
        <v>56</v>
      </c>
      <c r="B1022">
        <f>_xlfn.XLOOKUP(Table4[[#This Row],[country]],Table2[country],Table2[country_id],FALSE)</f>
        <v>22</v>
      </c>
      <c r="C1022" t="s">
        <v>40</v>
      </c>
      <c r="D1022">
        <v>2014</v>
      </c>
      <c r="E1022">
        <f>_xlfn.XLOOKUP(Table4[[#This Row],[year]],Table1[year],Table1[year_id])</f>
        <v>5</v>
      </c>
      <c r="F1022" t="s">
        <v>27</v>
      </c>
      <c r="G1022" t="s">
        <v>28</v>
      </c>
      <c r="H1022" cm="1">
        <f t="array" ref="H1022">_xlfn.XLOOKUP(Table4[[#This Row],[vehicle_segment]]&amp;Table4[[#This Row],[powertrain_type]],Table3[vehicle_segment]&amp;Table3[powertrain_type],Table3[vehicle_id])</f>
        <v>1</v>
      </c>
      <c r="I1022">
        <v>6</v>
      </c>
      <c r="J1022">
        <v>95716</v>
      </c>
      <c r="K1022">
        <v>63811</v>
      </c>
      <c r="L1022">
        <v>159533</v>
      </c>
      <c r="M1022">
        <v>0</v>
      </c>
      <c r="N1022">
        <v>48</v>
      </c>
      <c r="O1022">
        <v>4</v>
      </c>
      <c r="P1022">
        <v>142</v>
      </c>
      <c r="Q1022">
        <v>0.85699999999999998</v>
      </c>
      <c r="R1022">
        <v>8.5000000000000006E-2</v>
      </c>
      <c r="S1022">
        <v>5586</v>
      </c>
      <c r="T1022">
        <v>48.1</v>
      </c>
      <c r="U1022">
        <v>75.900000000000006</v>
      </c>
      <c r="V1022">
        <v>1002</v>
      </c>
      <c r="W1022">
        <v>26.4</v>
      </c>
      <c r="X1022">
        <v>6.27</v>
      </c>
      <c r="Y1022">
        <v>0</v>
      </c>
    </row>
    <row r="1023" spans="1:25" x14ac:dyDescent="0.25">
      <c r="A1023" t="s">
        <v>56</v>
      </c>
      <c r="B1023">
        <f>_xlfn.XLOOKUP(Table4[[#This Row],[country]],Table2[country],Table2[country_id],FALSE)</f>
        <v>22</v>
      </c>
      <c r="C1023" t="s">
        <v>40</v>
      </c>
      <c r="D1023">
        <v>2014</v>
      </c>
      <c r="E1023">
        <f>_xlfn.XLOOKUP(Table4[[#This Row],[year]],Table1[year],Table1[year_id])</f>
        <v>5</v>
      </c>
      <c r="F1023" t="s">
        <v>29</v>
      </c>
      <c r="G1023" t="s">
        <v>28</v>
      </c>
      <c r="H1023" cm="1">
        <f t="array" ref="H1023">_xlfn.XLOOKUP(Table4[[#This Row],[vehicle_segment]]&amp;Table4[[#This Row],[powertrain_type]],Table3[vehicle_segment]&amp;Table3[powertrain_type],Table3[vehicle_id])</f>
        <v>2</v>
      </c>
      <c r="I1023">
        <v>65</v>
      </c>
      <c r="J1023">
        <v>570301</v>
      </c>
      <c r="K1023">
        <v>77768</v>
      </c>
      <c r="L1023">
        <v>648134</v>
      </c>
      <c r="M1023">
        <v>0.01</v>
      </c>
      <c r="N1023">
        <v>48</v>
      </c>
      <c r="O1023">
        <v>4</v>
      </c>
      <c r="P1023">
        <v>142</v>
      </c>
      <c r="Q1023">
        <v>0.85699999999999998</v>
      </c>
      <c r="R1023">
        <v>8.5000000000000006E-2</v>
      </c>
      <c r="S1023">
        <v>5586</v>
      </c>
      <c r="T1023">
        <v>48.1</v>
      </c>
      <c r="U1023">
        <v>75.900000000000006</v>
      </c>
      <c r="V1023">
        <v>1002</v>
      </c>
      <c r="W1023">
        <v>26.4</v>
      </c>
      <c r="X1023">
        <v>29.4</v>
      </c>
      <c r="Y1023">
        <v>0</v>
      </c>
    </row>
    <row r="1024" spans="1:25" x14ac:dyDescent="0.25">
      <c r="A1024" t="s">
        <v>56</v>
      </c>
      <c r="B1024">
        <f>_xlfn.XLOOKUP(Table4[[#This Row],[country]],Table2[country],Table2[country_id],FALSE)</f>
        <v>22</v>
      </c>
      <c r="C1024" t="s">
        <v>40</v>
      </c>
      <c r="D1024">
        <v>2014</v>
      </c>
      <c r="E1024">
        <f>_xlfn.XLOOKUP(Table4[[#This Row],[year]],Table1[year],Table1[year_id])</f>
        <v>5</v>
      </c>
      <c r="F1024" t="s">
        <v>30</v>
      </c>
      <c r="G1024" t="s">
        <v>28</v>
      </c>
      <c r="H1024" cm="1">
        <f t="array" ref="H1024">_xlfn.XLOOKUP(Table4[[#This Row],[vehicle_segment]]&amp;Table4[[#This Row],[powertrain_type]],Table3[vehicle_segment]&amp;Table3[powertrain_type],Table3[vehicle_id])</f>
        <v>3</v>
      </c>
      <c r="I1024">
        <v>39</v>
      </c>
      <c r="J1024">
        <v>247279</v>
      </c>
      <c r="K1024">
        <v>21503</v>
      </c>
      <c r="L1024">
        <v>268821</v>
      </c>
      <c r="M1024">
        <v>0.01</v>
      </c>
      <c r="N1024">
        <v>48</v>
      </c>
      <c r="O1024">
        <v>4</v>
      </c>
      <c r="P1024">
        <v>142</v>
      </c>
      <c r="Q1024">
        <v>0.85699999999999998</v>
      </c>
      <c r="R1024">
        <v>8.5000000000000006E-2</v>
      </c>
      <c r="S1024">
        <v>5586</v>
      </c>
      <c r="T1024">
        <v>48.1</v>
      </c>
      <c r="U1024">
        <v>75.900000000000006</v>
      </c>
      <c r="V1024">
        <v>1002</v>
      </c>
      <c r="W1024">
        <v>26.4</v>
      </c>
      <c r="X1024">
        <v>34.58</v>
      </c>
      <c r="Y1024">
        <v>0</v>
      </c>
    </row>
    <row r="1025" spans="1:25" x14ac:dyDescent="0.25">
      <c r="A1025" t="s">
        <v>56</v>
      </c>
      <c r="B1025">
        <f>_xlfn.XLOOKUP(Table4[[#This Row],[country]],Table2[country],Table2[country_id],FALSE)</f>
        <v>22</v>
      </c>
      <c r="C1025" t="s">
        <v>40</v>
      </c>
      <c r="D1025">
        <v>2015</v>
      </c>
      <c r="E1025">
        <f>_xlfn.XLOOKUP(Table4[[#This Row],[year]],Table1[year],Table1[year_id])</f>
        <v>6</v>
      </c>
      <c r="F1025" t="s">
        <v>27</v>
      </c>
      <c r="G1025" t="s">
        <v>28</v>
      </c>
      <c r="H1025" cm="1">
        <f t="array" ref="H1025">_xlfn.XLOOKUP(Table4[[#This Row],[vehicle_segment]]&amp;Table4[[#This Row],[powertrain_type]],Table3[vehicle_segment]&amp;Table3[powertrain_type],Table3[vehicle_id])</f>
        <v>1</v>
      </c>
      <c r="I1025">
        <v>9</v>
      </c>
      <c r="J1025">
        <v>74111</v>
      </c>
      <c r="K1025">
        <v>49408</v>
      </c>
      <c r="L1025">
        <v>123528</v>
      </c>
      <c r="M1025">
        <v>0.01</v>
      </c>
      <c r="N1025">
        <v>62</v>
      </c>
      <c r="O1025">
        <v>4.5999999999999996</v>
      </c>
      <c r="P1025">
        <v>153</v>
      </c>
      <c r="Q1025">
        <v>0.86699999999999999</v>
      </c>
      <c r="R1025">
        <v>8.8999999999999996E-2</v>
      </c>
      <c r="S1025">
        <v>5869</v>
      </c>
      <c r="T1025">
        <v>49.1</v>
      </c>
      <c r="U1025">
        <v>78.599999999999994</v>
      </c>
      <c r="V1025">
        <v>1242</v>
      </c>
      <c r="W1025">
        <v>29</v>
      </c>
      <c r="X1025">
        <v>14.47</v>
      </c>
      <c r="Y1025">
        <v>0</v>
      </c>
    </row>
    <row r="1026" spans="1:25" x14ac:dyDescent="0.25">
      <c r="A1026" t="s">
        <v>56</v>
      </c>
      <c r="B1026">
        <f>_xlfn.XLOOKUP(Table4[[#This Row],[country]],Table2[country],Table2[country_id],FALSE)</f>
        <v>22</v>
      </c>
      <c r="C1026" t="s">
        <v>40</v>
      </c>
      <c r="D1026">
        <v>2015</v>
      </c>
      <c r="E1026">
        <f>_xlfn.XLOOKUP(Table4[[#This Row],[year]],Table1[year],Table1[year_id])</f>
        <v>6</v>
      </c>
      <c r="F1026" t="s">
        <v>29</v>
      </c>
      <c r="G1026" t="s">
        <v>28</v>
      </c>
      <c r="H1026" cm="1">
        <f t="array" ref="H1026">_xlfn.XLOOKUP(Table4[[#This Row],[vehicle_segment]]&amp;Table4[[#This Row],[powertrain_type]],Table3[vehicle_segment]&amp;Table3[powertrain_type],Table3[vehicle_id])</f>
        <v>2</v>
      </c>
      <c r="I1026">
        <v>100</v>
      </c>
      <c r="J1026">
        <v>438130</v>
      </c>
      <c r="K1026">
        <v>59745</v>
      </c>
      <c r="L1026">
        <v>497975</v>
      </c>
      <c r="M1026">
        <v>0.02</v>
      </c>
      <c r="N1026">
        <v>62</v>
      </c>
      <c r="O1026">
        <v>4.5999999999999996</v>
      </c>
      <c r="P1026">
        <v>153</v>
      </c>
      <c r="Q1026">
        <v>0.86699999999999999</v>
      </c>
      <c r="R1026">
        <v>8.8999999999999996E-2</v>
      </c>
      <c r="S1026">
        <v>5869</v>
      </c>
      <c r="T1026">
        <v>49.1</v>
      </c>
      <c r="U1026">
        <v>78.599999999999994</v>
      </c>
      <c r="V1026">
        <v>1242</v>
      </c>
      <c r="W1026">
        <v>29</v>
      </c>
      <c r="X1026">
        <v>13.17</v>
      </c>
      <c r="Y1026">
        <v>0</v>
      </c>
    </row>
    <row r="1027" spans="1:25" x14ac:dyDescent="0.25">
      <c r="A1027" t="s">
        <v>56</v>
      </c>
      <c r="B1027">
        <f>_xlfn.XLOOKUP(Table4[[#This Row],[country]],Table2[country],Table2[country_id],FALSE)</f>
        <v>22</v>
      </c>
      <c r="C1027" t="s">
        <v>40</v>
      </c>
      <c r="D1027">
        <v>2015</v>
      </c>
      <c r="E1027">
        <f>_xlfn.XLOOKUP(Table4[[#This Row],[year]],Table1[year],Table1[year_id])</f>
        <v>6</v>
      </c>
      <c r="F1027" t="s">
        <v>30</v>
      </c>
      <c r="G1027" t="s">
        <v>28</v>
      </c>
      <c r="H1027" cm="1">
        <f t="array" ref="H1027">_xlfn.XLOOKUP(Table4[[#This Row],[vehicle_segment]]&amp;Table4[[#This Row],[powertrain_type]],Table3[vehicle_segment]&amp;Table3[powertrain_type],Table3[vehicle_id])</f>
        <v>3</v>
      </c>
      <c r="I1027">
        <v>60</v>
      </c>
      <c r="J1027">
        <v>191086</v>
      </c>
      <c r="K1027">
        <v>16616</v>
      </c>
      <c r="L1027">
        <v>207762</v>
      </c>
      <c r="M1027">
        <v>0.03</v>
      </c>
      <c r="N1027">
        <v>62</v>
      </c>
      <c r="O1027">
        <v>4.5999999999999996</v>
      </c>
      <c r="P1027">
        <v>153</v>
      </c>
      <c r="Q1027">
        <v>0.86699999999999999</v>
      </c>
      <c r="R1027">
        <v>8.8999999999999996E-2</v>
      </c>
      <c r="S1027">
        <v>5869</v>
      </c>
      <c r="T1027">
        <v>49.1</v>
      </c>
      <c r="U1027">
        <v>78.599999999999994</v>
      </c>
      <c r="V1027">
        <v>1242</v>
      </c>
      <c r="W1027">
        <v>29</v>
      </c>
      <c r="X1027">
        <v>13.53</v>
      </c>
      <c r="Y1027">
        <v>0</v>
      </c>
    </row>
    <row r="1028" spans="1:25" x14ac:dyDescent="0.25">
      <c r="A1028" t="s">
        <v>56</v>
      </c>
      <c r="B1028">
        <f>_xlfn.XLOOKUP(Table4[[#This Row],[country]],Table2[country],Table2[country_id],FALSE)</f>
        <v>22</v>
      </c>
      <c r="C1028" t="s">
        <v>40</v>
      </c>
      <c r="D1028">
        <v>2016</v>
      </c>
      <c r="E1028">
        <f>_xlfn.XLOOKUP(Table4[[#This Row],[year]],Table1[year],Table1[year_id])</f>
        <v>7</v>
      </c>
      <c r="F1028" t="s">
        <v>27</v>
      </c>
      <c r="G1028" t="s">
        <v>28</v>
      </c>
      <c r="H1028" cm="1">
        <f t="array" ref="H1028">_xlfn.XLOOKUP(Table4[[#This Row],[vehicle_segment]]&amp;Table4[[#This Row],[powertrain_type]],Table3[vehicle_segment]&amp;Table3[powertrain_type],Table3[vehicle_id])</f>
        <v>1</v>
      </c>
      <c r="I1028">
        <v>14</v>
      </c>
      <c r="J1028">
        <v>78422</v>
      </c>
      <c r="K1028">
        <v>52281</v>
      </c>
      <c r="L1028">
        <v>130717</v>
      </c>
      <c r="M1028">
        <v>0.01</v>
      </c>
      <c r="N1028">
        <v>77</v>
      </c>
      <c r="O1028">
        <v>5.9</v>
      </c>
      <c r="P1028">
        <v>186</v>
      </c>
      <c r="Q1028">
        <v>0.88300000000000001</v>
      </c>
      <c r="R1028">
        <v>9.2999999999999999E-2</v>
      </c>
      <c r="S1028">
        <v>6192</v>
      </c>
      <c r="T1028">
        <v>49.6</v>
      </c>
      <c r="U1028">
        <v>81.3</v>
      </c>
      <c r="V1028">
        <v>1499</v>
      </c>
      <c r="W1028">
        <v>30</v>
      </c>
      <c r="X1028">
        <v>25.99</v>
      </c>
      <c r="Y1028">
        <v>0</v>
      </c>
    </row>
    <row r="1029" spans="1:25" x14ac:dyDescent="0.25">
      <c r="A1029" t="s">
        <v>56</v>
      </c>
      <c r="B1029">
        <f>_xlfn.XLOOKUP(Table4[[#This Row],[country]],Table2[country],Table2[country_id],FALSE)</f>
        <v>22</v>
      </c>
      <c r="C1029" t="s">
        <v>40</v>
      </c>
      <c r="D1029">
        <v>2016</v>
      </c>
      <c r="E1029">
        <f>_xlfn.XLOOKUP(Table4[[#This Row],[year]],Table1[year],Table1[year_id])</f>
        <v>7</v>
      </c>
      <c r="F1029" t="s">
        <v>29</v>
      </c>
      <c r="G1029" t="s">
        <v>28</v>
      </c>
      <c r="H1029" cm="1">
        <f t="array" ref="H1029">_xlfn.XLOOKUP(Table4[[#This Row],[vehicle_segment]]&amp;Table4[[#This Row],[powertrain_type]],Table3[vehicle_segment]&amp;Table3[powertrain_type],Table3[vehicle_id])</f>
        <v>2</v>
      </c>
      <c r="I1029">
        <v>153</v>
      </c>
      <c r="J1029">
        <v>448242</v>
      </c>
      <c r="K1029">
        <v>61124</v>
      </c>
      <c r="L1029">
        <v>509519</v>
      </c>
      <c r="M1029">
        <v>0.03</v>
      </c>
      <c r="N1029">
        <v>77</v>
      </c>
      <c r="O1029">
        <v>5.9</v>
      </c>
      <c r="P1029">
        <v>186</v>
      </c>
      <c r="Q1029">
        <v>0.88300000000000001</v>
      </c>
      <c r="R1029">
        <v>9.2999999999999999E-2</v>
      </c>
      <c r="S1029">
        <v>6192</v>
      </c>
      <c r="T1029">
        <v>49.6</v>
      </c>
      <c r="U1029">
        <v>81.3</v>
      </c>
      <c r="V1029">
        <v>1499</v>
      </c>
      <c r="W1029">
        <v>30</v>
      </c>
      <c r="X1029">
        <v>53</v>
      </c>
      <c r="Y1029">
        <v>0</v>
      </c>
    </row>
    <row r="1030" spans="1:25" x14ac:dyDescent="0.25">
      <c r="A1030" t="s">
        <v>56</v>
      </c>
      <c r="B1030">
        <f>_xlfn.XLOOKUP(Table4[[#This Row],[country]],Table2[country],Table2[country_id],FALSE)</f>
        <v>22</v>
      </c>
      <c r="C1030" t="s">
        <v>40</v>
      </c>
      <c r="D1030">
        <v>2016</v>
      </c>
      <c r="E1030">
        <f>_xlfn.XLOOKUP(Table4[[#This Row],[year]],Table1[year],Table1[year_id])</f>
        <v>7</v>
      </c>
      <c r="F1030" t="s">
        <v>30</v>
      </c>
      <c r="G1030" t="s">
        <v>28</v>
      </c>
      <c r="H1030" cm="1">
        <f t="array" ref="H1030">_xlfn.XLOOKUP(Table4[[#This Row],[vehicle_segment]]&amp;Table4[[#This Row],[powertrain_type]],Table3[vehicle_segment]&amp;Table3[powertrain_type],Table3[vehicle_id])</f>
        <v>3</v>
      </c>
      <c r="I1030">
        <v>93</v>
      </c>
      <c r="J1030">
        <v>196633</v>
      </c>
      <c r="K1030">
        <v>17098</v>
      </c>
      <c r="L1030">
        <v>213824</v>
      </c>
      <c r="M1030">
        <v>0.04</v>
      </c>
      <c r="N1030">
        <v>77</v>
      </c>
      <c r="O1030">
        <v>5.9</v>
      </c>
      <c r="P1030">
        <v>186</v>
      </c>
      <c r="Q1030">
        <v>0.88300000000000001</v>
      </c>
      <c r="R1030">
        <v>9.2999999999999999E-2</v>
      </c>
      <c r="S1030">
        <v>6192</v>
      </c>
      <c r="T1030">
        <v>49.6</v>
      </c>
      <c r="U1030">
        <v>81.3</v>
      </c>
      <c r="V1030">
        <v>1499</v>
      </c>
      <c r="W1030">
        <v>30</v>
      </c>
      <c r="X1030">
        <v>24.67</v>
      </c>
      <c r="Y1030">
        <v>0</v>
      </c>
    </row>
    <row r="1031" spans="1:25" x14ac:dyDescent="0.25">
      <c r="A1031" t="s">
        <v>56</v>
      </c>
      <c r="B1031">
        <f>_xlfn.XLOOKUP(Table4[[#This Row],[country]],Table2[country],Table2[country_id],FALSE)</f>
        <v>22</v>
      </c>
      <c r="C1031" t="s">
        <v>40</v>
      </c>
      <c r="D1031">
        <v>2017</v>
      </c>
      <c r="E1031">
        <f>_xlfn.XLOOKUP(Table4[[#This Row],[year]],Table1[year],Table1[year_id])</f>
        <v>8</v>
      </c>
      <c r="F1031" t="s">
        <v>27</v>
      </c>
      <c r="G1031" t="s">
        <v>28</v>
      </c>
      <c r="H1031" cm="1">
        <f t="array" ref="H1031">_xlfn.XLOOKUP(Table4[[#This Row],[vehicle_segment]]&amp;Table4[[#This Row],[powertrain_type]],Table3[vehicle_segment]&amp;Table3[powertrain_type],Table3[vehicle_id])</f>
        <v>1</v>
      </c>
      <c r="I1031">
        <v>22</v>
      </c>
      <c r="J1031">
        <v>76564</v>
      </c>
      <c r="K1031">
        <v>51042</v>
      </c>
      <c r="L1031">
        <v>127628</v>
      </c>
      <c r="M1031">
        <v>0.02</v>
      </c>
      <c r="N1031">
        <v>92</v>
      </c>
      <c r="O1031">
        <v>6.5</v>
      </c>
      <c r="P1031">
        <v>213</v>
      </c>
      <c r="Q1031">
        <v>0.92700000000000005</v>
      </c>
      <c r="R1031">
        <v>9.5000000000000001E-2</v>
      </c>
      <c r="S1031">
        <v>6696</v>
      </c>
      <c r="T1031">
        <v>49.9</v>
      </c>
      <c r="U1031">
        <v>82.7</v>
      </c>
      <c r="V1031">
        <v>1745</v>
      </c>
      <c r="W1031">
        <v>31.7</v>
      </c>
      <c r="X1031">
        <v>54.2</v>
      </c>
      <c r="Y1031">
        <v>0</v>
      </c>
    </row>
    <row r="1032" spans="1:25" x14ac:dyDescent="0.25">
      <c r="A1032" t="s">
        <v>56</v>
      </c>
      <c r="B1032">
        <f>_xlfn.XLOOKUP(Table4[[#This Row],[country]],Table2[country],Table2[country_id],FALSE)</f>
        <v>22</v>
      </c>
      <c r="C1032" t="s">
        <v>40</v>
      </c>
      <c r="D1032">
        <v>2017</v>
      </c>
      <c r="E1032">
        <f>_xlfn.XLOOKUP(Table4[[#This Row],[year]],Table1[year],Table1[year_id])</f>
        <v>8</v>
      </c>
      <c r="F1032" t="s">
        <v>29</v>
      </c>
      <c r="G1032" t="s">
        <v>28</v>
      </c>
      <c r="H1032" cm="1">
        <f t="array" ref="H1032">_xlfn.XLOOKUP(Table4[[#This Row],[vehicle_segment]]&amp;Table4[[#This Row],[powertrain_type]],Table3[vehicle_segment]&amp;Table3[powertrain_type],Table3[vehicle_id])</f>
        <v>2</v>
      </c>
      <c r="I1032">
        <v>252</v>
      </c>
      <c r="J1032">
        <v>442709</v>
      </c>
      <c r="K1032">
        <v>60369</v>
      </c>
      <c r="L1032">
        <v>503330</v>
      </c>
      <c r="M1032">
        <v>0.05</v>
      </c>
      <c r="N1032">
        <v>92</v>
      </c>
      <c r="O1032">
        <v>6.5</v>
      </c>
      <c r="P1032">
        <v>213</v>
      </c>
      <c r="Q1032">
        <v>0.92700000000000005</v>
      </c>
      <c r="R1032">
        <v>9.5000000000000001E-2</v>
      </c>
      <c r="S1032">
        <v>6696</v>
      </c>
      <c r="T1032">
        <v>49.9</v>
      </c>
      <c r="U1032">
        <v>82.7</v>
      </c>
      <c r="V1032">
        <v>1745</v>
      </c>
      <c r="W1032">
        <v>31.7</v>
      </c>
      <c r="X1032">
        <v>64.709999999999994</v>
      </c>
      <c r="Y1032">
        <v>0</v>
      </c>
    </row>
    <row r="1033" spans="1:25" x14ac:dyDescent="0.25">
      <c r="A1033" t="s">
        <v>56</v>
      </c>
      <c r="B1033">
        <f>_xlfn.XLOOKUP(Table4[[#This Row],[country]],Table2[country],Table2[country_id],FALSE)</f>
        <v>22</v>
      </c>
      <c r="C1033" t="s">
        <v>40</v>
      </c>
      <c r="D1033">
        <v>2017</v>
      </c>
      <c r="E1033">
        <f>_xlfn.XLOOKUP(Table4[[#This Row],[year]],Table1[year],Table1[year_id])</f>
        <v>8</v>
      </c>
      <c r="F1033" t="s">
        <v>30</v>
      </c>
      <c r="G1033" t="s">
        <v>28</v>
      </c>
      <c r="H1033" cm="1">
        <f t="array" ref="H1033">_xlfn.XLOOKUP(Table4[[#This Row],[vehicle_segment]]&amp;Table4[[#This Row],[powertrain_type]],Table3[vehicle_segment]&amp;Table3[powertrain_type],Table3[vehicle_id])</f>
        <v>3</v>
      </c>
      <c r="I1033">
        <v>157</v>
      </c>
      <c r="J1033">
        <v>198848</v>
      </c>
      <c r="K1033">
        <v>17291</v>
      </c>
      <c r="L1033">
        <v>216296</v>
      </c>
      <c r="M1033">
        <v>7.0000000000000007E-2</v>
      </c>
      <c r="N1033">
        <v>92</v>
      </c>
      <c r="O1033">
        <v>6.5</v>
      </c>
      <c r="P1033">
        <v>213</v>
      </c>
      <c r="Q1033">
        <v>0.92700000000000005</v>
      </c>
      <c r="R1033">
        <v>9.5000000000000001E-2</v>
      </c>
      <c r="S1033">
        <v>6696</v>
      </c>
      <c r="T1033">
        <v>49.9</v>
      </c>
      <c r="U1033">
        <v>82.7</v>
      </c>
      <c r="V1033">
        <v>1745</v>
      </c>
      <c r="W1033">
        <v>31.7</v>
      </c>
      <c r="X1033">
        <v>59.08</v>
      </c>
      <c r="Y1033">
        <v>0</v>
      </c>
    </row>
    <row r="1034" spans="1:25" x14ac:dyDescent="0.25">
      <c r="A1034" t="s">
        <v>56</v>
      </c>
      <c r="B1034">
        <f>_xlfn.XLOOKUP(Table4[[#This Row],[country]],Table2[country],Table2[country_id],FALSE)</f>
        <v>22</v>
      </c>
      <c r="C1034" t="s">
        <v>40</v>
      </c>
      <c r="D1034">
        <v>2018</v>
      </c>
      <c r="E1034">
        <f>_xlfn.XLOOKUP(Table4[[#This Row],[year]],Table1[year],Table1[year_id])</f>
        <v>9</v>
      </c>
      <c r="F1034" t="s">
        <v>27</v>
      </c>
      <c r="G1034" t="s">
        <v>28</v>
      </c>
      <c r="H1034" cm="1">
        <f t="array" ref="H1034">_xlfn.XLOOKUP(Table4[[#This Row],[vehicle_segment]]&amp;Table4[[#This Row],[powertrain_type]],Table3[vehicle_segment]&amp;Table3[powertrain_type],Table3[vehicle_id])</f>
        <v>1</v>
      </c>
      <c r="I1034">
        <v>25</v>
      </c>
      <c r="J1034">
        <v>85724</v>
      </c>
      <c r="K1034">
        <v>57149</v>
      </c>
      <c r="L1034">
        <v>142898</v>
      </c>
      <c r="M1034">
        <v>0.02</v>
      </c>
      <c r="N1034">
        <v>107</v>
      </c>
      <c r="O1034">
        <v>8.1</v>
      </c>
      <c r="P1034">
        <v>251</v>
      </c>
      <c r="Q1034">
        <v>0.97</v>
      </c>
      <c r="R1034">
        <v>9.6000000000000002E-2</v>
      </c>
      <c r="S1034">
        <v>7199</v>
      </c>
      <c r="T1034">
        <v>50.7</v>
      </c>
      <c r="U1034">
        <v>84.9</v>
      </c>
      <c r="V1034">
        <v>2004</v>
      </c>
      <c r="W1034">
        <v>34.700000000000003</v>
      </c>
      <c r="X1034">
        <v>40.57</v>
      </c>
      <c r="Y1034">
        <v>0</v>
      </c>
    </row>
    <row r="1035" spans="1:25" x14ac:dyDescent="0.25">
      <c r="A1035" t="s">
        <v>56</v>
      </c>
      <c r="B1035">
        <f>_xlfn.XLOOKUP(Table4[[#This Row],[country]],Table2[country],Table2[country_id],FALSE)</f>
        <v>22</v>
      </c>
      <c r="C1035" t="s">
        <v>40</v>
      </c>
      <c r="D1035">
        <v>2018</v>
      </c>
      <c r="E1035">
        <f>_xlfn.XLOOKUP(Table4[[#This Row],[year]],Table1[year],Table1[year_id])</f>
        <v>9</v>
      </c>
      <c r="F1035" t="s">
        <v>29</v>
      </c>
      <c r="G1035" t="s">
        <v>28</v>
      </c>
      <c r="H1035" cm="1">
        <f t="array" ref="H1035">_xlfn.XLOOKUP(Table4[[#This Row],[vehicle_segment]]&amp;Table4[[#This Row],[powertrain_type]],Table3[vehicle_segment]&amp;Table3[powertrain_type],Table3[vehicle_id])</f>
        <v>2</v>
      </c>
      <c r="I1035">
        <v>284</v>
      </c>
      <c r="J1035">
        <v>498869</v>
      </c>
      <c r="K1035">
        <v>68028</v>
      </c>
      <c r="L1035">
        <v>567181</v>
      </c>
      <c r="M1035">
        <v>0.05</v>
      </c>
      <c r="N1035">
        <v>107</v>
      </c>
      <c r="O1035">
        <v>8.1</v>
      </c>
      <c r="P1035">
        <v>251</v>
      </c>
      <c r="Q1035">
        <v>0.97</v>
      </c>
      <c r="R1035">
        <v>9.6000000000000002E-2</v>
      </c>
      <c r="S1035">
        <v>7199</v>
      </c>
      <c r="T1035">
        <v>50.7</v>
      </c>
      <c r="U1035">
        <v>84.9</v>
      </c>
      <c r="V1035">
        <v>2004</v>
      </c>
      <c r="W1035">
        <v>34.700000000000003</v>
      </c>
      <c r="X1035">
        <v>12.7</v>
      </c>
      <c r="Y1035">
        <v>0</v>
      </c>
    </row>
    <row r="1036" spans="1:25" x14ac:dyDescent="0.25">
      <c r="A1036" t="s">
        <v>56</v>
      </c>
      <c r="B1036">
        <f>_xlfn.XLOOKUP(Table4[[#This Row],[country]],Table2[country],Table2[country_id],FALSE)</f>
        <v>22</v>
      </c>
      <c r="C1036" t="s">
        <v>40</v>
      </c>
      <c r="D1036">
        <v>2018</v>
      </c>
      <c r="E1036">
        <f>_xlfn.XLOOKUP(Table4[[#This Row],[year]],Table1[year],Table1[year_id])</f>
        <v>9</v>
      </c>
      <c r="F1036" t="s">
        <v>30</v>
      </c>
      <c r="G1036" t="s">
        <v>28</v>
      </c>
      <c r="H1036" cm="1">
        <f t="array" ref="H1036">_xlfn.XLOOKUP(Table4[[#This Row],[vehicle_segment]]&amp;Table4[[#This Row],[powertrain_type]],Table3[vehicle_segment]&amp;Table3[powertrain_type],Table3[vehicle_id])</f>
        <v>3</v>
      </c>
      <c r="I1036">
        <v>169</v>
      </c>
      <c r="J1036">
        <v>213723</v>
      </c>
      <c r="K1036">
        <v>18585</v>
      </c>
      <c r="L1036">
        <v>232477</v>
      </c>
      <c r="M1036">
        <v>7.0000000000000007E-2</v>
      </c>
      <c r="N1036">
        <v>107</v>
      </c>
      <c r="O1036">
        <v>8.1</v>
      </c>
      <c r="P1036">
        <v>251</v>
      </c>
      <c r="Q1036">
        <v>0.97</v>
      </c>
      <c r="R1036">
        <v>9.6000000000000002E-2</v>
      </c>
      <c r="S1036">
        <v>7199</v>
      </c>
      <c r="T1036">
        <v>50.7</v>
      </c>
      <c r="U1036">
        <v>84.9</v>
      </c>
      <c r="V1036">
        <v>2004</v>
      </c>
      <c r="W1036">
        <v>34.700000000000003</v>
      </c>
      <c r="X1036">
        <v>7.64</v>
      </c>
      <c r="Y1036">
        <v>0</v>
      </c>
    </row>
    <row r="1037" spans="1:25" x14ac:dyDescent="0.25">
      <c r="A1037" t="s">
        <v>56</v>
      </c>
      <c r="B1037">
        <f>_xlfn.XLOOKUP(Table4[[#This Row],[country]],Table2[country],Table2[country_id],FALSE)</f>
        <v>22</v>
      </c>
      <c r="C1037" t="s">
        <v>40</v>
      </c>
      <c r="D1037">
        <v>2019</v>
      </c>
      <c r="E1037">
        <f>_xlfn.XLOOKUP(Table4[[#This Row],[year]],Table1[year],Table1[year_id])</f>
        <v>10</v>
      </c>
      <c r="F1037" t="s">
        <v>27</v>
      </c>
      <c r="G1037" t="s">
        <v>28</v>
      </c>
      <c r="H1037" cm="1">
        <f t="array" ref="H1037">_xlfn.XLOOKUP(Table4[[#This Row],[vehicle_segment]]&amp;Table4[[#This Row],[powertrain_type]],Table3[vehicle_segment]&amp;Table3[powertrain_type],Table3[vehicle_id])</f>
        <v>1</v>
      </c>
      <c r="I1037">
        <v>78</v>
      </c>
      <c r="J1037">
        <v>88552</v>
      </c>
      <c r="K1037">
        <v>59034</v>
      </c>
      <c r="L1037">
        <v>147664</v>
      </c>
      <c r="M1037">
        <v>0.05</v>
      </c>
      <c r="N1037">
        <v>293</v>
      </c>
      <c r="O1037">
        <v>7.8</v>
      </c>
      <c r="P1037">
        <v>275</v>
      </c>
      <c r="Q1037">
        <v>1.0169999999999999</v>
      </c>
      <c r="R1037">
        <v>9.8000000000000004E-2</v>
      </c>
      <c r="S1037">
        <v>7722</v>
      </c>
      <c r="T1037">
        <v>51</v>
      </c>
      <c r="U1037">
        <v>80.599999999999994</v>
      </c>
      <c r="V1037">
        <v>2238</v>
      </c>
      <c r="W1037">
        <v>38.1</v>
      </c>
      <c r="X1037">
        <v>77.28</v>
      </c>
      <c r="Y1037">
        <v>0</v>
      </c>
    </row>
    <row r="1038" spans="1:25" x14ac:dyDescent="0.25">
      <c r="A1038" t="s">
        <v>56</v>
      </c>
      <c r="B1038">
        <f>_xlfn.XLOOKUP(Table4[[#This Row],[country]],Table2[country],Table2[country_id],FALSE)</f>
        <v>22</v>
      </c>
      <c r="C1038" t="s">
        <v>40</v>
      </c>
      <c r="D1038">
        <v>2019</v>
      </c>
      <c r="E1038">
        <f>_xlfn.XLOOKUP(Table4[[#This Row],[year]],Table1[year],Table1[year_id])</f>
        <v>10</v>
      </c>
      <c r="F1038" t="s">
        <v>29</v>
      </c>
      <c r="G1038" t="s">
        <v>28</v>
      </c>
      <c r="H1038" cm="1">
        <f t="array" ref="H1038">_xlfn.XLOOKUP(Table4[[#This Row],[vehicle_segment]]&amp;Table4[[#This Row],[powertrain_type]],Table3[vehicle_segment]&amp;Table3[powertrain_type],Table3[vehicle_id])</f>
        <v>2</v>
      </c>
      <c r="I1038">
        <v>887</v>
      </c>
      <c r="J1038">
        <v>519613</v>
      </c>
      <c r="K1038">
        <v>70856</v>
      </c>
      <c r="L1038">
        <v>591356</v>
      </c>
      <c r="M1038">
        <v>0.15</v>
      </c>
      <c r="N1038">
        <v>293</v>
      </c>
      <c r="O1038">
        <v>7.8</v>
      </c>
      <c r="P1038">
        <v>275</v>
      </c>
      <c r="Q1038">
        <v>1.0169999999999999</v>
      </c>
      <c r="R1038">
        <v>9.8000000000000004E-2</v>
      </c>
      <c r="S1038">
        <v>7722</v>
      </c>
      <c r="T1038">
        <v>51</v>
      </c>
      <c r="U1038">
        <v>80.599999999999994</v>
      </c>
      <c r="V1038">
        <v>2238</v>
      </c>
      <c r="W1038">
        <v>38.1</v>
      </c>
      <c r="X1038">
        <v>212.32</v>
      </c>
      <c r="Y1038">
        <v>0</v>
      </c>
    </row>
    <row r="1039" spans="1:25" x14ac:dyDescent="0.25">
      <c r="A1039" t="s">
        <v>56</v>
      </c>
      <c r="B1039">
        <f>_xlfn.XLOOKUP(Table4[[#This Row],[country]],Table2[country],Table2[country_id],FALSE)</f>
        <v>22</v>
      </c>
      <c r="C1039" t="s">
        <v>40</v>
      </c>
      <c r="D1039">
        <v>2019</v>
      </c>
      <c r="E1039">
        <f>_xlfn.XLOOKUP(Table4[[#This Row],[year]],Table1[year],Table1[year_id])</f>
        <v>10</v>
      </c>
      <c r="F1039" t="s">
        <v>30</v>
      </c>
      <c r="G1039" t="s">
        <v>28</v>
      </c>
      <c r="H1039" cm="1">
        <f t="array" ref="H1039">_xlfn.XLOOKUP(Table4[[#This Row],[vehicle_segment]]&amp;Table4[[#This Row],[powertrain_type]],Table3[vehicle_segment]&amp;Table3[powertrain_type],Table3[vehicle_id])</f>
        <v>3</v>
      </c>
      <c r="I1039">
        <v>550</v>
      </c>
      <c r="J1039">
        <v>232206</v>
      </c>
      <c r="K1039">
        <v>20192</v>
      </c>
      <c r="L1039">
        <v>252948</v>
      </c>
      <c r="M1039">
        <v>0.22</v>
      </c>
      <c r="N1039">
        <v>293</v>
      </c>
      <c r="O1039">
        <v>7.8</v>
      </c>
      <c r="P1039">
        <v>275</v>
      </c>
      <c r="Q1039">
        <v>1.0169999999999999</v>
      </c>
      <c r="R1039">
        <v>9.8000000000000004E-2</v>
      </c>
      <c r="S1039">
        <v>7722</v>
      </c>
      <c r="T1039">
        <v>51</v>
      </c>
      <c r="U1039">
        <v>80.599999999999994</v>
      </c>
      <c r="V1039">
        <v>2238</v>
      </c>
      <c r="W1039">
        <v>38.1</v>
      </c>
      <c r="X1039">
        <v>225.44</v>
      </c>
      <c r="Y1039">
        <v>0</v>
      </c>
    </row>
    <row r="1040" spans="1:25" x14ac:dyDescent="0.25">
      <c r="A1040" t="s">
        <v>56</v>
      </c>
      <c r="B1040">
        <f>_xlfn.XLOOKUP(Table4[[#This Row],[country]],Table2[country],Table2[country_id],FALSE)</f>
        <v>22</v>
      </c>
      <c r="C1040" t="s">
        <v>40</v>
      </c>
      <c r="D1040">
        <v>2020</v>
      </c>
      <c r="E1040">
        <f>_xlfn.XLOOKUP(Table4[[#This Row],[year]],Table1[year],Table1[year_id])</f>
        <v>11</v>
      </c>
      <c r="F1040" t="s">
        <v>27</v>
      </c>
      <c r="G1040" t="s">
        <v>28</v>
      </c>
      <c r="H1040" cm="1">
        <f t="array" ref="H1040">_xlfn.XLOOKUP(Table4[[#This Row],[vehicle_segment]]&amp;Table4[[#This Row],[powertrain_type]],Table3[vehicle_segment]&amp;Table3[powertrain_type],Table3[vehicle_id])</f>
        <v>1</v>
      </c>
      <c r="I1040">
        <v>104</v>
      </c>
      <c r="J1040">
        <v>71551</v>
      </c>
      <c r="K1040">
        <v>47701</v>
      </c>
      <c r="L1040">
        <v>119356</v>
      </c>
      <c r="M1040">
        <v>0.09</v>
      </c>
      <c r="N1040">
        <v>504</v>
      </c>
      <c r="O1040">
        <v>11.7</v>
      </c>
      <c r="P1040">
        <v>322</v>
      </c>
      <c r="Q1040">
        <v>1.077</v>
      </c>
      <c r="R1040">
        <v>9.9000000000000005E-2</v>
      </c>
      <c r="S1040">
        <v>7613</v>
      </c>
      <c r="T1040">
        <v>51.5</v>
      </c>
      <c r="U1040">
        <v>78.400000000000006</v>
      </c>
      <c r="V1040">
        <v>2479</v>
      </c>
      <c r="W1040">
        <v>40.6</v>
      </c>
      <c r="X1040">
        <v>67.83</v>
      </c>
      <c r="Y1040">
        <v>0</v>
      </c>
    </row>
    <row r="1041" spans="1:25" x14ac:dyDescent="0.25">
      <c r="A1041" t="s">
        <v>56</v>
      </c>
      <c r="B1041">
        <f>_xlfn.XLOOKUP(Table4[[#This Row],[country]],Table2[country],Table2[country_id],FALSE)</f>
        <v>22</v>
      </c>
      <c r="C1041" t="s">
        <v>40</v>
      </c>
      <c r="D1041">
        <v>2020</v>
      </c>
      <c r="E1041">
        <f>_xlfn.XLOOKUP(Table4[[#This Row],[year]],Table1[year],Table1[year_id])</f>
        <v>11</v>
      </c>
      <c r="F1041" t="s">
        <v>29</v>
      </c>
      <c r="G1041" t="s">
        <v>28</v>
      </c>
      <c r="H1041" cm="1">
        <f t="array" ref="H1041">_xlfn.XLOOKUP(Table4[[#This Row],[vehicle_segment]]&amp;Table4[[#This Row],[powertrain_type]],Table3[vehicle_segment]&amp;Table3[powertrain_type],Table3[vehicle_id])</f>
        <v>2</v>
      </c>
      <c r="I1041">
        <v>1179</v>
      </c>
      <c r="J1041">
        <v>413874</v>
      </c>
      <c r="K1041">
        <v>56437</v>
      </c>
      <c r="L1041">
        <v>471490</v>
      </c>
      <c r="M1041">
        <v>0.25</v>
      </c>
      <c r="N1041">
        <v>504</v>
      </c>
      <c r="O1041">
        <v>11.7</v>
      </c>
      <c r="P1041">
        <v>322</v>
      </c>
      <c r="Q1041">
        <v>1.077</v>
      </c>
      <c r="R1041">
        <v>9.9000000000000005E-2</v>
      </c>
      <c r="S1041">
        <v>7613</v>
      </c>
      <c r="T1041">
        <v>51.5</v>
      </c>
      <c r="U1041">
        <v>78.400000000000006</v>
      </c>
      <c r="V1041">
        <v>2479</v>
      </c>
      <c r="W1041">
        <v>40.6</v>
      </c>
      <c r="X1041">
        <v>32.92</v>
      </c>
      <c r="Y1041">
        <v>0</v>
      </c>
    </row>
    <row r="1042" spans="1:25" x14ac:dyDescent="0.25">
      <c r="A1042" t="s">
        <v>56</v>
      </c>
      <c r="B1042">
        <f>_xlfn.XLOOKUP(Table4[[#This Row],[country]],Table2[country],Table2[country_id],FALSE)</f>
        <v>22</v>
      </c>
      <c r="C1042" t="s">
        <v>40</v>
      </c>
      <c r="D1042">
        <v>2020</v>
      </c>
      <c r="E1042">
        <f>_xlfn.XLOOKUP(Table4[[#This Row],[year]],Table1[year],Table1[year_id])</f>
        <v>11</v>
      </c>
      <c r="F1042" t="s">
        <v>30</v>
      </c>
      <c r="G1042" t="s">
        <v>28</v>
      </c>
      <c r="H1042" cm="1">
        <f t="array" ref="H1042">_xlfn.XLOOKUP(Table4[[#This Row],[vehicle_segment]]&amp;Table4[[#This Row],[powertrain_type]],Table3[vehicle_segment]&amp;Table3[powertrain_type],Table3[vehicle_id])</f>
        <v>3</v>
      </c>
      <c r="I1042">
        <v>719</v>
      </c>
      <c r="J1042">
        <v>181882</v>
      </c>
      <c r="K1042">
        <v>15816</v>
      </c>
      <c r="L1042">
        <v>198417</v>
      </c>
      <c r="M1042">
        <v>0.36</v>
      </c>
      <c r="N1042">
        <v>504</v>
      </c>
      <c r="O1042">
        <v>11.7</v>
      </c>
      <c r="P1042">
        <v>322</v>
      </c>
      <c r="Q1042">
        <v>1.077</v>
      </c>
      <c r="R1042">
        <v>9.9000000000000005E-2</v>
      </c>
      <c r="S1042">
        <v>7613</v>
      </c>
      <c r="T1042">
        <v>51.5</v>
      </c>
      <c r="U1042">
        <v>78.400000000000006</v>
      </c>
      <c r="V1042">
        <v>2479</v>
      </c>
      <c r="W1042">
        <v>40.6</v>
      </c>
      <c r="X1042">
        <v>30.73</v>
      </c>
      <c r="Y1042">
        <v>0</v>
      </c>
    </row>
    <row r="1043" spans="1:25" x14ac:dyDescent="0.25">
      <c r="A1043" t="s">
        <v>56</v>
      </c>
      <c r="B1043">
        <f>_xlfn.XLOOKUP(Table4[[#This Row],[country]],Table2[country],Table2[country_id],FALSE)</f>
        <v>22</v>
      </c>
      <c r="C1043" t="s">
        <v>40</v>
      </c>
      <c r="D1043">
        <v>2021</v>
      </c>
      <c r="E1043">
        <f>_xlfn.XLOOKUP(Table4[[#This Row],[year]],Table1[year],Table1[year_id])</f>
        <v>12</v>
      </c>
      <c r="F1043" t="s">
        <v>27</v>
      </c>
      <c r="G1043" t="s">
        <v>28</v>
      </c>
      <c r="H1043" cm="1">
        <f t="array" ref="H1043">_xlfn.XLOOKUP(Table4[[#This Row],[vehicle_segment]]&amp;Table4[[#This Row],[powertrain_type]],Table3[vehicle_segment]&amp;Table3[powertrain_type],Table3[vehicle_id])</f>
        <v>1</v>
      </c>
      <c r="I1043">
        <v>266</v>
      </c>
      <c r="J1043">
        <v>66785</v>
      </c>
      <c r="K1043">
        <v>44523</v>
      </c>
      <c r="L1043">
        <v>111574</v>
      </c>
      <c r="M1043">
        <v>0.24</v>
      </c>
      <c r="N1043">
        <v>975</v>
      </c>
      <c r="O1043">
        <v>16.399999999999999</v>
      </c>
      <c r="P1043">
        <v>350</v>
      </c>
      <c r="Q1043">
        <v>1.1299999999999999</v>
      </c>
      <c r="R1043">
        <v>0.10299999999999999</v>
      </c>
      <c r="S1043">
        <v>7312</v>
      </c>
      <c r="T1043">
        <v>51.7</v>
      </c>
      <c r="U1043">
        <v>77.2</v>
      </c>
      <c r="V1043">
        <v>2732</v>
      </c>
      <c r="W1043">
        <v>43.6</v>
      </c>
      <c r="X1043">
        <v>155.77000000000001</v>
      </c>
      <c r="Y1043">
        <v>0</v>
      </c>
    </row>
    <row r="1044" spans="1:25" x14ac:dyDescent="0.25">
      <c r="A1044" t="s">
        <v>56</v>
      </c>
      <c r="B1044">
        <f>_xlfn.XLOOKUP(Table4[[#This Row],[country]],Table2[country],Table2[country_id],FALSE)</f>
        <v>22</v>
      </c>
      <c r="C1044" t="s">
        <v>40</v>
      </c>
      <c r="D1044">
        <v>2021</v>
      </c>
      <c r="E1044">
        <f>_xlfn.XLOOKUP(Table4[[#This Row],[year]],Table1[year],Table1[year_id])</f>
        <v>12</v>
      </c>
      <c r="F1044" t="s">
        <v>29</v>
      </c>
      <c r="G1044" t="s">
        <v>28</v>
      </c>
      <c r="H1044" cm="1">
        <f t="array" ref="H1044">_xlfn.XLOOKUP(Table4[[#This Row],[vehicle_segment]]&amp;Table4[[#This Row],[powertrain_type]],Table3[vehicle_segment]&amp;Table3[powertrain_type],Table3[vehicle_id])</f>
        <v>2</v>
      </c>
      <c r="I1044">
        <v>3033</v>
      </c>
      <c r="J1044">
        <v>389774</v>
      </c>
      <c r="K1044">
        <v>53151</v>
      </c>
      <c r="L1044">
        <v>445958</v>
      </c>
      <c r="M1044">
        <v>0.68</v>
      </c>
      <c r="N1044">
        <v>975</v>
      </c>
      <c r="O1044">
        <v>16.399999999999999</v>
      </c>
      <c r="P1044">
        <v>350</v>
      </c>
      <c r="Q1044">
        <v>1.1299999999999999</v>
      </c>
      <c r="R1044">
        <v>0.10299999999999999</v>
      </c>
      <c r="S1044">
        <v>7312</v>
      </c>
      <c r="T1044">
        <v>51.7</v>
      </c>
      <c r="U1044">
        <v>77.2</v>
      </c>
      <c r="V1044">
        <v>2732</v>
      </c>
      <c r="W1044">
        <v>43.6</v>
      </c>
      <c r="X1044">
        <v>157.25</v>
      </c>
      <c r="Y1044">
        <v>0</v>
      </c>
    </row>
    <row r="1045" spans="1:25" x14ac:dyDescent="0.25">
      <c r="A1045" t="s">
        <v>56</v>
      </c>
      <c r="B1045">
        <f>_xlfn.XLOOKUP(Table4[[#This Row],[country]],Table2[country],Table2[country_id],FALSE)</f>
        <v>22</v>
      </c>
      <c r="C1045" t="s">
        <v>40</v>
      </c>
      <c r="D1045">
        <v>2021</v>
      </c>
      <c r="E1045">
        <f>_xlfn.XLOOKUP(Table4[[#This Row],[year]],Table1[year],Table1[year_id])</f>
        <v>12</v>
      </c>
      <c r="F1045" t="s">
        <v>30</v>
      </c>
      <c r="G1045" t="s">
        <v>28</v>
      </c>
      <c r="H1045" cm="1">
        <f t="array" ref="H1045">_xlfn.XLOOKUP(Table4[[#This Row],[vehicle_segment]]&amp;Table4[[#This Row],[powertrain_type]],Table3[vehicle_segment]&amp;Table3[powertrain_type],Table3[vehicle_id])</f>
        <v>3</v>
      </c>
      <c r="I1045">
        <v>1855</v>
      </c>
      <c r="J1045">
        <v>171333</v>
      </c>
      <c r="K1045">
        <v>14899</v>
      </c>
      <c r="L1045">
        <v>188087</v>
      </c>
      <c r="M1045">
        <v>0.99</v>
      </c>
      <c r="N1045">
        <v>975</v>
      </c>
      <c r="O1045">
        <v>16.399999999999999</v>
      </c>
      <c r="P1045">
        <v>350</v>
      </c>
      <c r="Q1045">
        <v>1.1299999999999999</v>
      </c>
      <c r="R1045">
        <v>0.10299999999999999</v>
      </c>
      <c r="S1045">
        <v>7312</v>
      </c>
      <c r="T1045">
        <v>51.7</v>
      </c>
      <c r="U1045">
        <v>77.2</v>
      </c>
      <c r="V1045">
        <v>2732</v>
      </c>
      <c r="W1045">
        <v>43.6</v>
      </c>
      <c r="X1045">
        <v>158</v>
      </c>
      <c r="Y1045">
        <v>0</v>
      </c>
    </row>
    <row r="1046" spans="1:25" x14ac:dyDescent="0.25">
      <c r="A1046" t="s">
        <v>56</v>
      </c>
      <c r="B1046">
        <f>_xlfn.XLOOKUP(Table4[[#This Row],[country]],Table2[country],Table2[country_id],FALSE)</f>
        <v>22</v>
      </c>
      <c r="C1046" t="s">
        <v>40</v>
      </c>
      <c r="D1046">
        <v>2022</v>
      </c>
      <c r="E1046">
        <f>_xlfn.XLOOKUP(Table4[[#This Row],[year]],Table1[year],Table1[year_id])</f>
        <v>13</v>
      </c>
      <c r="F1046" t="s">
        <v>27</v>
      </c>
      <c r="G1046" t="s">
        <v>28</v>
      </c>
      <c r="H1046" cm="1">
        <f t="array" ref="H1046">_xlfn.XLOOKUP(Table4[[#This Row],[vehicle_segment]]&amp;Table4[[#This Row],[powertrain_type]],Table3[vehicle_segment]&amp;Table3[powertrain_type],Table3[vehicle_id])</f>
        <v>1</v>
      </c>
      <c r="I1046">
        <v>1310</v>
      </c>
      <c r="J1046">
        <v>76100</v>
      </c>
      <c r="K1046">
        <v>50734</v>
      </c>
      <c r="L1046">
        <v>128144</v>
      </c>
      <c r="M1046">
        <v>1.02</v>
      </c>
      <c r="N1046">
        <v>2746</v>
      </c>
      <c r="O1046">
        <v>19.399999999999999</v>
      </c>
      <c r="P1046">
        <v>361</v>
      </c>
      <c r="Q1046">
        <v>1.2070000000000001</v>
      </c>
      <c r="R1046">
        <v>0.107</v>
      </c>
      <c r="S1046">
        <v>7032</v>
      </c>
      <c r="T1046">
        <v>52.2</v>
      </c>
      <c r="U1046">
        <v>80.099999999999994</v>
      </c>
      <c r="V1046">
        <v>2988</v>
      </c>
      <c r="W1046">
        <v>48.8</v>
      </c>
      <c r="X1046">
        <v>300</v>
      </c>
      <c r="Y1046">
        <v>0</v>
      </c>
    </row>
    <row r="1047" spans="1:25" x14ac:dyDescent="0.25">
      <c r="A1047" t="s">
        <v>56</v>
      </c>
      <c r="B1047">
        <f>_xlfn.XLOOKUP(Table4[[#This Row],[country]],Table2[country],Table2[country_id],FALSE)</f>
        <v>22</v>
      </c>
      <c r="C1047" t="s">
        <v>40</v>
      </c>
      <c r="D1047">
        <v>2022</v>
      </c>
      <c r="E1047">
        <f>_xlfn.XLOOKUP(Table4[[#This Row],[year]],Table1[year],Table1[year_id])</f>
        <v>13</v>
      </c>
      <c r="F1047" t="s">
        <v>29</v>
      </c>
      <c r="G1047" t="s">
        <v>28</v>
      </c>
      <c r="H1047" cm="1">
        <f t="array" ref="H1047">_xlfn.XLOOKUP(Table4[[#This Row],[vehicle_segment]]&amp;Table4[[#This Row],[powertrain_type]],Table3[vehicle_segment]&amp;Table3[powertrain_type],Table3[vehicle_id])</f>
        <v>2</v>
      </c>
      <c r="I1047">
        <v>14960</v>
      </c>
      <c r="J1047">
        <v>437686</v>
      </c>
      <c r="K1047">
        <v>59685</v>
      </c>
      <c r="L1047">
        <v>512331</v>
      </c>
      <c r="M1047">
        <v>2.92</v>
      </c>
      <c r="N1047">
        <v>2746</v>
      </c>
      <c r="O1047">
        <v>19.399999999999999</v>
      </c>
      <c r="P1047">
        <v>361</v>
      </c>
      <c r="Q1047">
        <v>1.2070000000000001</v>
      </c>
      <c r="R1047">
        <v>0.107</v>
      </c>
      <c r="S1047">
        <v>7032</v>
      </c>
      <c r="T1047">
        <v>52.2</v>
      </c>
      <c r="U1047">
        <v>80.099999999999994</v>
      </c>
      <c r="V1047">
        <v>2988</v>
      </c>
      <c r="W1047">
        <v>48.8</v>
      </c>
      <c r="X1047">
        <v>300</v>
      </c>
      <c r="Y1047">
        <v>0</v>
      </c>
    </row>
    <row r="1048" spans="1:25" x14ac:dyDescent="0.25">
      <c r="A1048" t="s">
        <v>56</v>
      </c>
      <c r="B1048">
        <f>_xlfn.XLOOKUP(Table4[[#This Row],[country]],Table2[country],Table2[country_id],FALSE)</f>
        <v>22</v>
      </c>
      <c r="C1048" t="s">
        <v>40</v>
      </c>
      <c r="D1048">
        <v>2022</v>
      </c>
      <c r="E1048">
        <f>_xlfn.XLOOKUP(Table4[[#This Row],[year]],Table1[year],Table1[year_id])</f>
        <v>13</v>
      </c>
      <c r="F1048" t="s">
        <v>30</v>
      </c>
      <c r="G1048" t="s">
        <v>28</v>
      </c>
      <c r="H1048" cm="1">
        <f t="array" ref="H1048">_xlfn.XLOOKUP(Table4[[#This Row],[vehicle_segment]]&amp;Table4[[#This Row],[powertrain_type]],Table3[vehicle_segment]&amp;Table3[powertrain_type],Table3[vehicle_id])</f>
        <v>3</v>
      </c>
      <c r="I1048">
        <v>8993</v>
      </c>
      <c r="J1048">
        <v>187135</v>
      </c>
      <c r="K1048">
        <v>16273</v>
      </c>
      <c r="L1048">
        <v>212401</v>
      </c>
      <c r="M1048">
        <v>4.2300000000000004</v>
      </c>
      <c r="N1048">
        <v>2746</v>
      </c>
      <c r="O1048">
        <v>19.399999999999999</v>
      </c>
      <c r="P1048">
        <v>361</v>
      </c>
      <c r="Q1048">
        <v>1.2070000000000001</v>
      </c>
      <c r="R1048">
        <v>0.107</v>
      </c>
      <c r="S1048">
        <v>7032</v>
      </c>
      <c r="T1048">
        <v>52.2</v>
      </c>
      <c r="U1048">
        <v>80.099999999999994</v>
      </c>
      <c r="V1048">
        <v>2988</v>
      </c>
      <c r="W1048">
        <v>48.8</v>
      </c>
      <c r="X1048">
        <v>300</v>
      </c>
      <c r="Y1048">
        <v>0</v>
      </c>
    </row>
    <row r="1049" spans="1:25" x14ac:dyDescent="0.25">
      <c r="A1049" t="s">
        <v>56</v>
      </c>
      <c r="B1049">
        <f>_xlfn.XLOOKUP(Table4[[#This Row],[country]],Table2[country],Table2[country_id],FALSE)</f>
        <v>22</v>
      </c>
      <c r="C1049" t="s">
        <v>40</v>
      </c>
      <c r="D1049">
        <v>2023</v>
      </c>
      <c r="E1049">
        <f>_xlfn.XLOOKUP(Table4[[#This Row],[year]],Table1[year],Table1[year_id])</f>
        <v>14</v>
      </c>
      <c r="F1049" t="s">
        <v>27</v>
      </c>
      <c r="G1049" t="s">
        <v>28</v>
      </c>
      <c r="H1049" cm="1">
        <f t="array" ref="H1049">_xlfn.XLOOKUP(Table4[[#This Row],[vehicle_segment]]&amp;Table4[[#This Row],[powertrain_type]],Table3[vehicle_segment]&amp;Table3[powertrain_type],Table3[vehicle_id])</f>
        <v>1</v>
      </c>
      <c r="I1049">
        <v>3983</v>
      </c>
      <c r="J1049">
        <v>74584</v>
      </c>
      <c r="K1049">
        <v>49722</v>
      </c>
      <c r="L1049">
        <v>128289</v>
      </c>
      <c r="M1049">
        <v>3.1</v>
      </c>
      <c r="N1049">
        <v>8246</v>
      </c>
      <c r="O1049">
        <v>25.3</v>
      </c>
      <c r="P1049">
        <v>389</v>
      </c>
      <c r="Q1049">
        <v>1.2030000000000001</v>
      </c>
      <c r="R1049">
        <v>0.113</v>
      </c>
      <c r="S1049">
        <v>7181</v>
      </c>
      <c r="T1049">
        <v>52.9</v>
      </c>
      <c r="U1049">
        <v>82.3</v>
      </c>
      <c r="V1049">
        <v>3009</v>
      </c>
      <c r="W1049">
        <v>49.7</v>
      </c>
      <c r="X1049">
        <v>204.05</v>
      </c>
      <c r="Y1049">
        <v>0</v>
      </c>
    </row>
    <row r="1050" spans="1:25" x14ac:dyDescent="0.25">
      <c r="A1050" t="s">
        <v>56</v>
      </c>
      <c r="B1050">
        <f>_xlfn.XLOOKUP(Table4[[#This Row],[country]],Table2[country],Table2[country_id],FALSE)</f>
        <v>22</v>
      </c>
      <c r="C1050" t="s">
        <v>40</v>
      </c>
      <c r="D1050">
        <v>2023</v>
      </c>
      <c r="E1050">
        <f>_xlfn.XLOOKUP(Table4[[#This Row],[year]],Table1[year],Table1[year_id])</f>
        <v>14</v>
      </c>
      <c r="F1050" t="s">
        <v>29</v>
      </c>
      <c r="G1050" t="s">
        <v>28</v>
      </c>
      <c r="H1050" cm="1">
        <f t="array" ref="H1050">_xlfn.XLOOKUP(Table4[[#This Row],[vehicle_segment]]&amp;Table4[[#This Row],[powertrain_type]],Table3[vehicle_segment]&amp;Table3[powertrain_type],Table3[vehicle_id])</f>
        <v>2</v>
      </c>
      <c r="I1050">
        <v>45373</v>
      </c>
      <c r="J1050">
        <v>410220</v>
      </c>
      <c r="K1050">
        <v>55939</v>
      </c>
      <c r="L1050">
        <v>511532</v>
      </c>
      <c r="M1050">
        <v>8.8699999999999992</v>
      </c>
      <c r="N1050">
        <v>8246</v>
      </c>
      <c r="O1050">
        <v>25.3</v>
      </c>
      <c r="P1050">
        <v>389</v>
      </c>
      <c r="Q1050">
        <v>1.2030000000000001</v>
      </c>
      <c r="R1050">
        <v>0.113</v>
      </c>
      <c r="S1050">
        <v>7181</v>
      </c>
      <c r="T1050">
        <v>52.9</v>
      </c>
      <c r="U1050">
        <v>82.3</v>
      </c>
      <c r="V1050">
        <v>3009</v>
      </c>
      <c r="W1050">
        <v>49.7</v>
      </c>
      <c r="X1050">
        <v>203.3</v>
      </c>
      <c r="Y1050">
        <v>0</v>
      </c>
    </row>
    <row r="1051" spans="1:25" x14ac:dyDescent="0.25">
      <c r="A1051" t="s">
        <v>56</v>
      </c>
      <c r="B1051">
        <f>_xlfn.XLOOKUP(Table4[[#This Row],[country]],Table2[country],Table2[country_id],FALSE)</f>
        <v>22</v>
      </c>
      <c r="C1051" t="s">
        <v>40</v>
      </c>
      <c r="D1051">
        <v>2023</v>
      </c>
      <c r="E1051">
        <f>_xlfn.XLOOKUP(Table4[[#This Row],[year]],Table1[year],Table1[year_id])</f>
        <v>14</v>
      </c>
      <c r="F1051" t="s">
        <v>30</v>
      </c>
      <c r="G1051" t="s">
        <v>28</v>
      </c>
      <c r="H1051" cm="1">
        <f t="array" ref="H1051">_xlfn.XLOOKUP(Table4[[#This Row],[vehicle_segment]]&amp;Table4[[#This Row],[powertrain_type]],Table3[vehicle_segment]&amp;Table3[powertrain_type],Table3[vehicle_id])</f>
        <v>3</v>
      </c>
      <c r="I1051">
        <v>28014</v>
      </c>
      <c r="J1051">
        <v>174615</v>
      </c>
      <c r="K1051">
        <v>15184</v>
      </c>
      <c r="L1051">
        <v>217813</v>
      </c>
      <c r="M1051">
        <v>12.86</v>
      </c>
      <c r="N1051">
        <v>8246</v>
      </c>
      <c r="O1051">
        <v>25.3</v>
      </c>
      <c r="P1051">
        <v>389</v>
      </c>
      <c r="Q1051">
        <v>1.2030000000000001</v>
      </c>
      <c r="R1051">
        <v>0.113</v>
      </c>
      <c r="S1051">
        <v>7181</v>
      </c>
      <c r="T1051">
        <v>52.9</v>
      </c>
      <c r="U1051">
        <v>82.3</v>
      </c>
      <c r="V1051">
        <v>3009</v>
      </c>
      <c r="W1051">
        <v>49.7</v>
      </c>
      <c r="X1051">
        <v>211.51</v>
      </c>
      <c r="Y1051">
        <v>0</v>
      </c>
    </row>
    <row r="1052" spans="1:25" x14ac:dyDescent="0.25">
      <c r="A1052" t="s">
        <v>56</v>
      </c>
      <c r="B1052">
        <f>_xlfn.XLOOKUP(Table4[[#This Row],[country]],Table2[country],Table2[country_id],FALSE)</f>
        <v>22</v>
      </c>
      <c r="C1052" t="s">
        <v>40</v>
      </c>
      <c r="D1052">
        <v>2024</v>
      </c>
      <c r="E1052">
        <f>_xlfn.XLOOKUP(Table4[[#This Row],[year]],Table1[year],Table1[year_id])</f>
        <v>15</v>
      </c>
      <c r="F1052" t="s">
        <v>27</v>
      </c>
      <c r="G1052" t="s">
        <v>28</v>
      </c>
      <c r="H1052" cm="1">
        <f t="array" ref="H1052">_xlfn.XLOOKUP(Table4[[#This Row],[vehicle_segment]]&amp;Table4[[#This Row],[powertrain_type]],Table3[vehicle_segment]&amp;Table3[powertrain_type],Table3[vehicle_id])</f>
        <v>1</v>
      </c>
      <c r="I1052">
        <v>5740</v>
      </c>
      <c r="J1052">
        <v>78083</v>
      </c>
      <c r="K1052">
        <v>52055</v>
      </c>
      <c r="L1052">
        <v>135878</v>
      </c>
      <c r="M1052">
        <v>4.22</v>
      </c>
      <c r="N1052">
        <v>15198</v>
      </c>
      <c r="O1052">
        <v>27.7</v>
      </c>
      <c r="P1052">
        <v>420</v>
      </c>
      <c r="Q1052">
        <v>1.18</v>
      </c>
      <c r="R1052">
        <v>0.11700000000000001</v>
      </c>
      <c r="S1052">
        <v>7514</v>
      </c>
      <c r="T1052">
        <v>53</v>
      </c>
      <c r="U1052">
        <v>79.8</v>
      </c>
      <c r="V1052">
        <v>2487</v>
      </c>
      <c r="W1052">
        <v>53.6</v>
      </c>
      <c r="X1052">
        <v>44.11</v>
      </c>
      <c r="Y1052">
        <v>0</v>
      </c>
    </row>
    <row r="1053" spans="1:25" x14ac:dyDescent="0.25">
      <c r="A1053" t="s">
        <v>56</v>
      </c>
      <c r="B1053">
        <f>_xlfn.XLOOKUP(Table4[[#This Row],[country]],Table2[country],Table2[country_id],FALSE)</f>
        <v>22</v>
      </c>
      <c r="C1053" t="s">
        <v>40</v>
      </c>
      <c r="D1053">
        <v>2024</v>
      </c>
      <c r="E1053">
        <f>_xlfn.XLOOKUP(Table4[[#This Row],[year]],Table1[year],Table1[year_id])</f>
        <v>15</v>
      </c>
      <c r="F1053" t="s">
        <v>29</v>
      </c>
      <c r="G1053" t="s">
        <v>28</v>
      </c>
      <c r="H1053" cm="1">
        <f t="array" ref="H1053">_xlfn.XLOOKUP(Table4[[#This Row],[vehicle_segment]]&amp;Table4[[#This Row],[powertrain_type]],Table3[vehicle_segment]&amp;Table3[powertrain_type],Table3[vehicle_id])</f>
        <v>2</v>
      </c>
      <c r="I1053">
        <v>65483</v>
      </c>
      <c r="J1053">
        <v>419800</v>
      </c>
      <c r="K1053">
        <v>57245</v>
      </c>
      <c r="L1053">
        <v>542528</v>
      </c>
      <c r="M1053">
        <v>12.07</v>
      </c>
      <c r="N1053">
        <v>15198</v>
      </c>
      <c r="O1053">
        <v>27.7</v>
      </c>
      <c r="P1053">
        <v>420</v>
      </c>
      <c r="Q1053">
        <v>1.18</v>
      </c>
      <c r="R1053">
        <v>0.11700000000000001</v>
      </c>
      <c r="S1053">
        <v>7514</v>
      </c>
      <c r="T1053">
        <v>53</v>
      </c>
      <c r="U1053">
        <v>79.8</v>
      </c>
      <c r="V1053">
        <v>2487</v>
      </c>
      <c r="W1053">
        <v>53.6</v>
      </c>
      <c r="X1053">
        <v>44.32</v>
      </c>
      <c r="Y1053">
        <v>0</v>
      </c>
    </row>
    <row r="1054" spans="1:25" x14ac:dyDescent="0.25">
      <c r="A1054" t="s">
        <v>56</v>
      </c>
      <c r="B1054">
        <f>_xlfn.XLOOKUP(Table4[[#This Row],[country]],Table2[country],Table2[country_id],FALSE)</f>
        <v>22</v>
      </c>
      <c r="C1054" t="s">
        <v>40</v>
      </c>
      <c r="D1054">
        <v>2024</v>
      </c>
      <c r="E1054">
        <f>_xlfn.XLOOKUP(Table4[[#This Row],[year]],Table1[year],Table1[year_id])</f>
        <v>15</v>
      </c>
      <c r="F1054" t="s">
        <v>30</v>
      </c>
      <c r="G1054" t="s">
        <v>28</v>
      </c>
      <c r="H1054" cm="1">
        <f t="array" ref="H1054">_xlfn.XLOOKUP(Table4[[#This Row],[vehicle_segment]]&amp;Table4[[#This Row],[powertrain_type]],Table3[vehicle_segment]&amp;Table3[powertrain_type],Table3[vehicle_id])</f>
        <v>3</v>
      </c>
      <c r="I1054">
        <v>39818</v>
      </c>
      <c r="J1054">
        <v>172679</v>
      </c>
      <c r="K1054">
        <v>15016</v>
      </c>
      <c r="L1054">
        <v>227513</v>
      </c>
      <c r="M1054">
        <v>17.5</v>
      </c>
      <c r="N1054">
        <v>15198</v>
      </c>
      <c r="O1054">
        <v>27.7</v>
      </c>
      <c r="P1054">
        <v>420</v>
      </c>
      <c r="Q1054">
        <v>1.18</v>
      </c>
      <c r="R1054">
        <v>0.11700000000000001</v>
      </c>
      <c r="S1054">
        <v>7514</v>
      </c>
      <c r="T1054">
        <v>53</v>
      </c>
      <c r="U1054">
        <v>79.8</v>
      </c>
      <c r="V1054">
        <v>2487</v>
      </c>
      <c r="W1054">
        <v>53.6</v>
      </c>
      <c r="X1054">
        <v>42.14</v>
      </c>
      <c r="Y1054">
        <v>0</v>
      </c>
    </row>
    <row r="1055" spans="1:25" x14ac:dyDescent="0.25">
      <c r="A1055" t="s">
        <v>56</v>
      </c>
      <c r="B1055">
        <f>_xlfn.XLOOKUP(Table4[[#This Row],[country]],Table2[country],Table2[country_id],FALSE)</f>
        <v>22</v>
      </c>
      <c r="C1055" t="s">
        <v>40</v>
      </c>
      <c r="D1055">
        <v>2025</v>
      </c>
      <c r="E1055">
        <f>_xlfn.XLOOKUP(Table4[[#This Row],[year]],Table1[year],Table1[year_id])</f>
        <v>16</v>
      </c>
      <c r="F1055" t="s">
        <v>27</v>
      </c>
      <c r="G1055" t="s">
        <v>28</v>
      </c>
      <c r="H1055" cm="1">
        <f t="array" ref="H1055">_xlfn.XLOOKUP(Table4[[#This Row],[vehicle_segment]]&amp;Table4[[#This Row],[powertrain_type]],Table3[vehicle_segment]&amp;Table3[powertrain_type],Table3[vehicle_id])</f>
        <v>1</v>
      </c>
      <c r="I1055">
        <v>7297</v>
      </c>
      <c r="J1055">
        <v>81953</v>
      </c>
      <c r="K1055">
        <v>54636</v>
      </c>
      <c r="L1055">
        <v>143886</v>
      </c>
      <c r="M1055">
        <v>5.07</v>
      </c>
      <c r="N1055">
        <v>25686</v>
      </c>
      <c r="O1055">
        <v>38.200000000000003</v>
      </c>
      <c r="P1055">
        <v>446</v>
      </c>
      <c r="Q1055">
        <v>1.1100000000000001</v>
      </c>
      <c r="R1055">
        <v>0.12</v>
      </c>
      <c r="S1055">
        <v>7908</v>
      </c>
      <c r="T1055">
        <v>53.7</v>
      </c>
      <c r="U1055">
        <v>76.900000000000006</v>
      </c>
      <c r="V1055">
        <v>2519</v>
      </c>
      <c r="W1055">
        <v>58.8</v>
      </c>
      <c r="X1055">
        <v>27.13</v>
      </c>
      <c r="Y1055">
        <v>0</v>
      </c>
    </row>
    <row r="1056" spans="1:25" x14ac:dyDescent="0.25">
      <c r="A1056" t="s">
        <v>56</v>
      </c>
      <c r="B1056">
        <f>_xlfn.XLOOKUP(Table4[[#This Row],[country]],Table2[country],Table2[country_id],FALSE)</f>
        <v>22</v>
      </c>
      <c r="C1056" t="s">
        <v>40</v>
      </c>
      <c r="D1056">
        <v>2025</v>
      </c>
      <c r="E1056">
        <f>_xlfn.XLOOKUP(Table4[[#This Row],[year]],Table1[year],Table1[year_id])</f>
        <v>16</v>
      </c>
      <c r="F1056" t="s">
        <v>29</v>
      </c>
      <c r="G1056" t="s">
        <v>28</v>
      </c>
      <c r="H1056" cm="1">
        <f t="array" ref="H1056">_xlfn.XLOOKUP(Table4[[#This Row],[vehicle_segment]]&amp;Table4[[#This Row],[powertrain_type]],Table3[vehicle_segment]&amp;Table3[powertrain_type],Table3[vehicle_id])</f>
        <v>2</v>
      </c>
      <c r="I1056">
        <v>81541</v>
      </c>
      <c r="J1056">
        <v>423456</v>
      </c>
      <c r="K1056">
        <v>57744</v>
      </c>
      <c r="L1056">
        <v>562741</v>
      </c>
      <c r="M1056">
        <v>14.49</v>
      </c>
      <c r="N1056">
        <v>25686</v>
      </c>
      <c r="O1056">
        <v>38.200000000000003</v>
      </c>
      <c r="P1056">
        <v>446</v>
      </c>
      <c r="Q1056">
        <v>1.1100000000000001</v>
      </c>
      <c r="R1056">
        <v>0.12</v>
      </c>
      <c r="S1056">
        <v>7908</v>
      </c>
      <c r="T1056">
        <v>53.7</v>
      </c>
      <c r="U1056">
        <v>76.900000000000006</v>
      </c>
      <c r="V1056">
        <v>2519</v>
      </c>
      <c r="W1056">
        <v>58.8</v>
      </c>
      <c r="X1056">
        <v>24.52</v>
      </c>
      <c r="Y1056">
        <v>0</v>
      </c>
    </row>
    <row r="1057" spans="1:25" x14ac:dyDescent="0.25">
      <c r="A1057" t="s">
        <v>56</v>
      </c>
      <c r="B1057">
        <f>_xlfn.XLOOKUP(Table4[[#This Row],[country]],Table2[country],Table2[country_id],FALSE)</f>
        <v>22</v>
      </c>
      <c r="C1057" t="s">
        <v>40</v>
      </c>
      <c r="D1057">
        <v>2025</v>
      </c>
      <c r="E1057">
        <f>_xlfn.XLOOKUP(Table4[[#This Row],[year]],Table1[year],Table1[year_id])</f>
        <v>16</v>
      </c>
      <c r="F1057" t="s">
        <v>30</v>
      </c>
      <c r="G1057" t="s">
        <v>28</v>
      </c>
      <c r="H1057" cm="1">
        <f t="array" ref="H1057">_xlfn.XLOOKUP(Table4[[#This Row],[vehicle_segment]]&amp;Table4[[#This Row],[powertrain_type]],Table3[vehicle_segment]&amp;Table3[powertrain_type],Table3[vehicle_id])</f>
        <v>3</v>
      </c>
      <c r="I1057">
        <v>48934</v>
      </c>
      <c r="J1057">
        <v>169252</v>
      </c>
      <c r="K1057">
        <v>14718</v>
      </c>
      <c r="L1057">
        <v>232904</v>
      </c>
      <c r="M1057">
        <v>21.01</v>
      </c>
      <c r="N1057">
        <v>25686</v>
      </c>
      <c r="O1057">
        <v>38.200000000000003</v>
      </c>
      <c r="P1057">
        <v>446</v>
      </c>
      <c r="Q1057">
        <v>1.1100000000000001</v>
      </c>
      <c r="R1057">
        <v>0.12</v>
      </c>
      <c r="S1057">
        <v>7908</v>
      </c>
      <c r="T1057">
        <v>53.7</v>
      </c>
      <c r="U1057">
        <v>76.900000000000006</v>
      </c>
      <c r="V1057">
        <v>2519</v>
      </c>
      <c r="W1057">
        <v>58.8</v>
      </c>
      <c r="X1057">
        <v>22.89</v>
      </c>
      <c r="Y1057">
        <v>0</v>
      </c>
    </row>
    <row r="1058" spans="1:25" x14ac:dyDescent="0.25">
      <c r="A1058" t="s">
        <v>57</v>
      </c>
      <c r="B1058">
        <f>_xlfn.XLOOKUP(Table4[[#This Row],[country]],Table2[country],Table2[country_id],FALSE)</f>
        <v>23</v>
      </c>
      <c r="C1058" t="s">
        <v>32</v>
      </c>
      <c r="D1058">
        <v>2010</v>
      </c>
      <c r="E1058">
        <f>_xlfn.XLOOKUP(Table4[[#This Row],[year]],Table1[year],Table1[year_id])</f>
        <v>1</v>
      </c>
      <c r="F1058" t="s">
        <v>27</v>
      </c>
      <c r="G1058" t="s">
        <v>28</v>
      </c>
      <c r="H1058" cm="1">
        <f t="array" ref="H1058">_xlfn.XLOOKUP(Table4[[#This Row],[vehicle_segment]]&amp;Table4[[#This Row],[powertrain_type]],Table3[vehicle_segment]&amp;Table3[powertrain_type],Table3[vehicle_id])</f>
        <v>1</v>
      </c>
      <c r="I1058">
        <v>5</v>
      </c>
      <c r="J1058">
        <v>69083</v>
      </c>
      <c r="K1058">
        <v>46059</v>
      </c>
      <c r="L1058">
        <v>115147</v>
      </c>
      <c r="M1058">
        <v>0</v>
      </c>
      <c r="N1058">
        <v>0</v>
      </c>
      <c r="O1058">
        <v>0</v>
      </c>
      <c r="P1058">
        <v>114</v>
      </c>
      <c r="Q1058">
        <v>1.56</v>
      </c>
      <c r="R1058">
        <v>0.10199999999999999</v>
      </c>
      <c r="S1058">
        <v>10688</v>
      </c>
      <c r="T1058">
        <v>70.599999999999994</v>
      </c>
      <c r="U1058">
        <v>51.3</v>
      </c>
      <c r="V1058">
        <v>0</v>
      </c>
      <c r="W1058">
        <v>24.7</v>
      </c>
      <c r="X1058">
        <v>0</v>
      </c>
      <c r="Y1058">
        <v>0</v>
      </c>
    </row>
    <row r="1059" spans="1:25" x14ac:dyDescent="0.25">
      <c r="A1059" t="s">
        <v>57</v>
      </c>
      <c r="B1059">
        <f>_xlfn.XLOOKUP(Table4[[#This Row],[country]],Table2[country],Table2[country_id],FALSE)</f>
        <v>23</v>
      </c>
      <c r="C1059" t="s">
        <v>32</v>
      </c>
      <c r="D1059">
        <v>2010</v>
      </c>
      <c r="E1059">
        <f>_xlfn.XLOOKUP(Table4[[#This Row],[year]],Table1[year],Table1[year_id])</f>
        <v>1</v>
      </c>
      <c r="F1059" t="s">
        <v>29</v>
      </c>
      <c r="G1059" t="s">
        <v>28</v>
      </c>
      <c r="H1059" cm="1">
        <f t="array" ref="H1059">_xlfn.XLOOKUP(Table4[[#This Row],[vehicle_segment]]&amp;Table4[[#This Row],[powertrain_type]],Table3[vehicle_segment]&amp;Table3[powertrain_type],Table3[vehicle_id])</f>
        <v>2</v>
      </c>
      <c r="I1059">
        <v>15</v>
      </c>
      <c r="J1059">
        <v>402048</v>
      </c>
      <c r="K1059">
        <v>54827</v>
      </c>
      <c r="L1059">
        <v>456890</v>
      </c>
      <c r="M1059">
        <v>0</v>
      </c>
      <c r="N1059">
        <v>0</v>
      </c>
      <c r="O1059">
        <v>0</v>
      </c>
      <c r="P1059">
        <v>114</v>
      </c>
      <c r="Q1059">
        <v>1.56</v>
      </c>
      <c r="R1059">
        <v>0.10199999999999999</v>
      </c>
      <c r="S1059">
        <v>10688</v>
      </c>
      <c r="T1059">
        <v>70.599999999999994</v>
      </c>
      <c r="U1059">
        <v>51.3</v>
      </c>
      <c r="V1059">
        <v>0</v>
      </c>
      <c r="W1059">
        <v>24.7</v>
      </c>
      <c r="X1059">
        <v>0</v>
      </c>
      <c r="Y1059">
        <v>0</v>
      </c>
    </row>
    <row r="1060" spans="1:25" x14ac:dyDescent="0.25">
      <c r="A1060" t="s">
        <v>57</v>
      </c>
      <c r="B1060">
        <f>_xlfn.XLOOKUP(Table4[[#This Row],[country]],Table2[country],Table2[country_id],FALSE)</f>
        <v>23</v>
      </c>
      <c r="C1060" t="s">
        <v>32</v>
      </c>
      <c r="D1060">
        <v>2010</v>
      </c>
      <c r="E1060">
        <f>_xlfn.XLOOKUP(Table4[[#This Row],[year]],Table1[year],Table1[year_id])</f>
        <v>1</v>
      </c>
      <c r="F1060" t="s">
        <v>30</v>
      </c>
      <c r="G1060" t="s">
        <v>28</v>
      </c>
      <c r="H1060" cm="1">
        <f t="array" ref="H1060">_xlfn.XLOOKUP(Table4[[#This Row],[vehicle_segment]]&amp;Table4[[#This Row],[powertrain_type]],Table3[vehicle_segment]&amp;Table3[powertrain_type],Table3[vehicle_id])</f>
        <v>3</v>
      </c>
      <c r="I1060">
        <v>10</v>
      </c>
      <c r="J1060">
        <v>177904</v>
      </c>
      <c r="K1060">
        <v>15471</v>
      </c>
      <c r="L1060">
        <v>193385</v>
      </c>
      <c r="M1060">
        <v>0.01</v>
      </c>
      <c r="N1060">
        <v>0</v>
      </c>
      <c r="O1060">
        <v>0</v>
      </c>
      <c r="P1060">
        <v>114</v>
      </c>
      <c r="Q1060">
        <v>1.56</v>
      </c>
      <c r="R1060">
        <v>0.10199999999999999</v>
      </c>
      <c r="S1060">
        <v>10688</v>
      </c>
      <c r="T1060">
        <v>70.599999999999994</v>
      </c>
      <c r="U1060">
        <v>51.3</v>
      </c>
      <c r="V1060">
        <v>0</v>
      </c>
      <c r="W1060">
        <v>24.7</v>
      </c>
      <c r="X1060">
        <v>0</v>
      </c>
      <c r="Y1060">
        <v>0</v>
      </c>
    </row>
    <row r="1061" spans="1:25" x14ac:dyDescent="0.25">
      <c r="A1061" t="s">
        <v>57</v>
      </c>
      <c r="B1061">
        <f>_xlfn.XLOOKUP(Table4[[#This Row],[country]],Table2[country],Table2[country_id],FALSE)</f>
        <v>23</v>
      </c>
      <c r="C1061" t="s">
        <v>32</v>
      </c>
      <c r="D1061">
        <v>2011</v>
      </c>
      <c r="E1061">
        <f>_xlfn.XLOOKUP(Table4[[#This Row],[year]],Table1[year],Table1[year_id])</f>
        <v>2</v>
      </c>
      <c r="F1061" t="s">
        <v>27</v>
      </c>
      <c r="G1061" t="s">
        <v>28</v>
      </c>
      <c r="H1061" cm="1">
        <f t="array" ref="H1061">_xlfn.XLOOKUP(Table4[[#This Row],[vehicle_segment]]&amp;Table4[[#This Row],[powertrain_type]],Table3[vehicle_segment]&amp;Table3[powertrain_type],Table3[vehicle_id])</f>
        <v>1</v>
      </c>
      <c r="I1061">
        <v>5</v>
      </c>
      <c r="J1061">
        <v>73155</v>
      </c>
      <c r="K1061">
        <v>48774</v>
      </c>
      <c r="L1061">
        <v>121934</v>
      </c>
      <c r="M1061">
        <v>0</v>
      </c>
      <c r="N1061">
        <v>13</v>
      </c>
      <c r="O1061">
        <v>1</v>
      </c>
      <c r="P1061">
        <v>118</v>
      </c>
      <c r="Q1061">
        <v>1.5329999999999999</v>
      </c>
      <c r="R1061">
        <v>0.10100000000000001</v>
      </c>
      <c r="S1061">
        <v>10943</v>
      </c>
      <c r="T1061">
        <v>71.099999999999994</v>
      </c>
      <c r="U1061">
        <v>53.3</v>
      </c>
      <c r="V1061">
        <v>270</v>
      </c>
      <c r="W1061">
        <v>26.8</v>
      </c>
      <c r="X1061">
        <v>0</v>
      </c>
      <c r="Y1061">
        <v>0</v>
      </c>
    </row>
    <row r="1062" spans="1:25" x14ac:dyDescent="0.25">
      <c r="A1062" t="s">
        <v>57</v>
      </c>
      <c r="B1062">
        <f>_xlfn.XLOOKUP(Table4[[#This Row],[country]],Table2[country],Table2[country_id],FALSE)</f>
        <v>23</v>
      </c>
      <c r="C1062" t="s">
        <v>32</v>
      </c>
      <c r="D1062">
        <v>2011</v>
      </c>
      <c r="E1062">
        <f>_xlfn.XLOOKUP(Table4[[#This Row],[year]],Table1[year],Table1[year_id])</f>
        <v>2</v>
      </c>
      <c r="F1062" t="s">
        <v>29</v>
      </c>
      <c r="G1062" t="s">
        <v>28</v>
      </c>
      <c r="H1062" cm="1">
        <f t="array" ref="H1062">_xlfn.XLOOKUP(Table4[[#This Row],[vehicle_segment]]&amp;Table4[[#This Row],[powertrain_type]],Table3[vehicle_segment]&amp;Table3[powertrain_type],Table3[vehicle_id])</f>
        <v>2</v>
      </c>
      <c r="I1062">
        <v>15</v>
      </c>
      <c r="J1062">
        <v>434453</v>
      </c>
      <c r="K1062">
        <v>59246</v>
      </c>
      <c r="L1062">
        <v>493714</v>
      </c>
      <c r="M1062">
        <v>0</v>
      </c>
      <c r="N1062">
        <v>13</v>
      </c>
      <c r="O1062">
        <v>1</v>
      </c>
      <c r="P1062">
        <v>118</v>
      </c>
      <c r="Q1062">
        <v>1.5329999999999999</v>
      </c>
      <c r="R1062">
        <v>0.10100000000000001</v>
      </c>
      <c r="S1062">
        <v>10943</v>
      </c>
      <c r="T1062">
        <v>71.099999999999994</v>
      </c>
      <c r="U1062">
        <v>53.3</v>
      </c>
      <c r="V1062">
        <v>270</v>
      </c>
      <c r="W1062">
        <v>26.8</v>
      </c>
      <c r="X1062">
        <v>0</v>
      </c>
      <c r="Y1062">
        <v>0</v>
      </c>
    </row>
    <row r="1063" spans="1:25" x14ac:dyDescent="0.25">
      <c r="A1063" t="s">
        <v>57</v>
      </c>
      <c r="B1063">
        <f>_xlfn.XLOOKUP(Table4[[#This Row],[country]],Table2[country],Table2[country_id],FALSE)</f>
        <v>23</v>
      </c>
      <c r="C1063" t="s">
        <v>32</v>
      </c>
      <c r="D1063">
        <v>2011</v>
      </c>
      <c r="E1063">
        <f>_xlfn.XLOOKUP(Table4[[#This Row],[year]],Table1[year],Table1[year_id])</f>
        <v>2</v>
      </c>
      <c r="F1063" t="s">
        <v>30</v>
      </c>
      <c r="G1063" t="s">
        <v>28</v>
      </c>
      <c r="H1063" cm="1">
        <f t="array" ref="H1063">_xlfn.XLOOKUP(Table4[[#This Row],[vehicle_segment]]&amp;Table4[[#This Row],[powertrain_type]],Table3[vehicle_segment]&amp;Table3[powertrain_type],Table3[vehicle_id])</f>
        <v>3</v>
      </c>
      <c r="I1063">
        <v>10</v>
      </c>
      <c r="J1063">
        <v>184044</v>
      </c>
      <c r="K1063">
        <v>16005</v>
      </c>
      <c r="L1063">
        <v>200059</v>
      </c>
      <c r="M1063">
        <v>0</v>
      </c>
      <c r="N1063">
        <v>13</v>
      </c>
      <c r="O1063">
        <v>1</v>
      </c>
      <c r="P1063">
        <v>118</v>
      </c>
      <c r="Q1063">
        <v>1.5329999999999999</v>
      </c>
      <c r="R1063">
        <v>0.10100000000000001</v>
      </c>
      <c r="S1063">
        <v>10943</v>
      </c>
      <c r="T1063">
        <v>71.099999999999994</v>
      </c>
      <c r="U1063">
        <v>53.3</v>
      </c>
      <c r="V1063">
        <v>270</v>
      </c>
      <c r="W1063">
        <v>26.8</v>
      </c>
      <c r="X1063">
        <v>0</v>
      </c>
      <c r="Y1063">
        <v>0</v>
      </c>
    </row>
    <row r="1064" spans="1:25" x14ac:dyDescent="0.25">
      <c r="A1064" t="s">
        <v>57</v>
      </c>
      <c r="B1064">
        <f>_xlfn.XLOOKUP(Table4[[#This Row],[country]],Table2[country],Table2[country_id],FALSE)</f>
        <v>23</v>
      </c>
      <c r="C1064" t="s">
        <v>32</v>
      </c>
      <c r="D1064">
        <v>2012</v>
      </c>
      <c r="E1064">
        <f>_xlfn.XLOOKUP(Table4[[#This Row],[year]],Table1[year],Table1[year_id])</f>
        <v>3</v>
      </c>
      <c r="F1064" t="s">
        <v>27</v>
      </c>
      <c r="G1064" t="s">
        <v>28</v>
      </c>
      <c r="H1064" cm="1">
        <f t="array" ref="H1064">_xlfn.XLOOKUP(Table4[[#This Row],[vehicle_segment]]&amp;Table4[[#This Row],[powertrain_type]],Table3[vehicle_segment]&amp;Table3[powertrain_type],Table3[vehicle_id])</f>
        <v>1</v>
      </c>
      <c r="I1064">
        <v>5</v>
      </c>
      <c r="J1064">
        <v>75132</v>
      </c>
      <c r="K1064">
        <v>50092</v>
      </c>
      <c r="L1064">
        <v>125229</v>
      </c>
      <c r="M1064">
        <v>0</v>
      </c>
      <c r="N1064">
        <v>26</v>
      </c>
      <c r="O1064">
        <v>2.1</v>
      </c>
      <c r="P1064">
        <v>124</v>
      </c>
      <c r="Q1064">
        <v>1.4870000000000001</v>
      </c>
      <c r="R1064">
        <v>0.10100000000000001</v>
      </c>
      <c r="S1064">
        <v>10924</v>
      </c>
      <c r="T1064">
        <v>71.900000000000006</v>
      </c>
      <c r="U1064">
        <v>55</v>
      </c>
      <c r="V1064">
        <v>541</v>
      </c>
      <c r="W1064">
        <v>27.8</v>
      </c>
      <c r="X1064">
        <v>0</v>
      </c>
      <c r="Y1064">
        <v>0</v>
      </c>
    </row>
    <row r="1065" spans="1:25" x14ac:dyDescent="0.25">
      <c r="A1065" t="s">
        <v>57</v>
      </c>
      <c r="B1065">
        <f>_xlfn.XLOOKUP(Table4[[#This Row],[country]],Table2[country],Table2[country_id],FALSE)</f>
        <v>23</v>
      </c>
      <c r="C1065" t="s">
        <v>32</v>
      </c>
      <c r="D1065">
        <v>2012</v>
      </c>
      <c r="E1065">
        <f>_xlfn.XLOOKUP(Table4[[#This Row],[year]],Table1[year],Table1[year_id])</f>
        <v>3</v>
      </c>
      <c r="F1065" t="s">
        <v>29</v>
      </c>
      <c r="G1065" t="s">
        <v>28</v>
      </c>
      <c r="H1065" cm="1">
        <f t="array" ref="H1065">_xlfn.XLOOKUP(Table4[[#This Row],[vehicle_segment]]&amp;Table4[[#This Row],[powertrain_type]],Table3[vehicle_segment]&amp;Table3[powertrain_type],Table3[vehicle_id])</f>
        <v>2</v>
      </c>
      <c r="I1065">
        <v>23</v>
      </c>
      <c r="J1065">
        <v>439735</v>
      </c>
      <c r="K1065">
        <v>59967</v>
      </c>
      <c r="L1065">
        <v>499725</v>
      </c>
      <c r="M1065">
        <v>0</v>
      </c>
      <c r="N1065">
        <v>26</v>
      </c>
      <c r="O1065">
        <v>2.1</v>
      </c>
      <c r="P1065">
        <v>124</v>
      </c>
      <c r="Q1065">
        <v>1.4870000000000001</v>
      </c>
      <c r="R1065">
        <v>0.10100000000000001</v>
      </c>
      <c r="S1065">
        <v>10924</v>
      </c>
      <c r="T1065">
        <v>71.900000000000006</v>
      </c>
      <c r="U1065">
        <v>55</v>
      </c>
      <c r="V1065">
        <v>541</v>
      </c>
      <c r="W1065">
        <v>27.8</v>
      </c>
      <c r="X1065">
        <v>23.83</v>
      </c>
      <c r="Y1065">
        <v>0</v>
      </c>
    </row>
    <row r="1066" spans="1:25" x14ac:dyDescent="0.25">
      <c r="A1066" t="s">
        <v>57</v>
      </c>
      <c r="B1066">
        <f>_xlfn.XLOOKUP(Table4[[#This Row],[country]],Table2[country],Table2[country_id],FALSE)</f>
        <v>23</v>
      </c>
      <c r="C1066" t="s">
        <v>32</v>
      </c>
      <c r="D1066">
        <v>2012</v>
      </c>
      <c r="E1066">
        <f>_xlfn.XLOOKUP(Table4[[#This Row],[year]],Table1[year],Table1[year_id])</f>
        <v>3</v>
      </c>
      <c r="F1066" t="s">
        <v>30</v>
      </c>
      <c r="G1066" t="s">
        <v>28</v>
      </c>
      <c r="H1066" cm="1">
        <f t="array" ref="H1066">_xlfn.XLOOKUP(Table4[[#This Row],[vehicle_segment]]&amp;Table4[[#This Row],[powertrain_type]],Table3[vehicle_segment]&amp;Table3[powertrain_type],Table3[vehicle_id])</f>
        <v>3</v>
      </c>
      <c r="I1066">
        <v>13</v>
      </c>
      <c r="J1066">
        <v>193955</v>
      </c>
      <c r="K1066">
        <v>16867</v>
      </c>
      <c r="L1066">
        <v>210835</v>
      </c>
      <c r="M1066">
        <v>0.01</v>
      </c>
      <c r="N1066">
        <v>26</v>
      </c>
      <c r="O1066">
        <v>2.1</v>
      </c>
      <c r="P1066">
        <v>124</v>
      </c>
      <c r="Q1066">
        <v>1.4870000000000001</v>
      </c>
      <c r="R1066">
        <v>0.10100000000000001</v>
      </c>
      <c r="S1066">
        <v>10924</v>
      </c>
      <c r="T1066">
        <v>71.900000000000006</v>
      </c>
      <c r="U1066">
        <v>55</v>
      </c>
      <c r="V1066">
        <v>541</v>
      </c>
      <c r="W1066">
        <v>27.8</v>
      </c>
      <c r="X1066">
        <v>14.02</v>
      </c>
      <c r="Y1066">
        <v>0</v>
      </c>
    </row>
    <row r="1067" spans="1:25" x14ac:dyDescent="0.25">
      <c r="A1067" t="s">
        <v>57</v>
      </c>
      <c r="B1067">
        <f>_xlfn.XLOOKUP(Table4[[#This Row],[country]],Table2[country],Table2[country_id],FALSE)</f>
        <v>23</v>
      </c>
      <c r="C1067" t="s">
        <v>32</v>
      </c>
      <c r="D1067">
        <v>2013</v>
      </c>
      <c r="E1067">
        <f>_xlfn.XLOOKUP(Table4[[#This Row],[year]],Table1[year],Table1[year_id])</f>
        <v>4</v>
      </c>
      <c r="F1067" t="s">
        <v>27</v>
      </c>
      <c r="G1067" t="s">
        <v>28</v>
      </c>
      <c r="H1067" cm="1">
        <f t="array" ref="H1067">_xlfn.XLOOKUP(Table4[[#This Row],[vehicle_segment]]&amp;Table4[[#This Row],[powertrain_type]],Table3[vehicle_segment]&amp;Table3[powertrain_type],Table3[vehicle_id])</f>
        <v>1</v>
      </c>
      <c r="I1067">
        <v>9</v>
      </c>
      <c r="J1067">
        <v>75222</v>
      </c>
      <c r="K1067">
        <v>50152</v>
      </c>
      <c r="L1067">
        <v>125383</v>
      </c>
      <c r="M1067">
        <v>0.01</v>
      </c>
      <c r="N1067">
        <v>39</v>
      </c>
      <c r="O1067">
        <v>2.8</v>
      </c>
      <c r="P1067">
        <v>123</v>
      </c>
      <c r="Q1067">
        <v>1.43</v>
      </c>
      <c r="R1067">
        <v>0.10100000000000001</v>
      </c>
      <c r="S1067">
        <v>10837</v>
      </c>
      <c r="T1067">
        <v>72.2</v>
      </c>
      <c r="U1067">
        <v>56.9</v>
      </c>
      <c r="V1067">
        <v>819</v>
      </c>
      <c r="W1067">
        <v>29.6</v>
      </c>
      <c r="X1067">
        <v>21.64</v>
      </c>
      <c r="Y1067">
        <v>0</v>
      </c>
    </row>
    <row r="1068" spans="1:25" x14ac:dyDescent="0.25">
      <c r="A1068" t="s">
        <v>57</v>
      </c>
      <c r="B1068">
        <f>_xlfn.XLOOKUP(Table4[[#This Row],[country]],Table2[country],Table2[country_id],FALSE)</f>
        <v>23</v>
      </c>
      <c r="C1068" t="s">
        <v>32</v>
      </c>
      <c r="D1068">
        <v>2013</v>
      </c>
      <c r="E1068">
        <f>_xlfn.XLOOKUP(Table4[[#This Row],[year]],Table1[year],Table1[year_id])</f>
        <v>4</v>
      </c>
      <c r="F1068" t="s">
        <v>29</v>
      </c>
      <c r="G1068" t="s">
        <v>28</v>
      </c>
      <c r="H1068" cm="1">
        <f t="array" ref="H1068">_xlfn.XLOOKUP(Table4[[#This Row],[vehicle_segment]]&amp;Table4[[#This Row],[powertrain_type]],Table3[vehicle_segment]&amp;Table3[powertrain_type],Table3[vehicle_id])</f>
        <v>2</v>
      </c>
      <c r="I1068">
        <v>51</v>
      </c>
      <c r="J1068">
        <v>449813</v>
      </c>
      <c r="K1068">
        <v>61338</v>
      </c>
      <c r="L1068">
        <v>511202</v>
      </c>
      <c r="M1068">
        <v>0.01</v>
      </c>
      <c r="N1068">
        <v>39</v>
      </c>
      <c r="O1068">
        <v>2.8</v>
      </c>
      <c r="P1068">
        <v>123</v>
      </c>
      <c r="Q1068">
        <v>1.43</v>
      </c>
      <c r="R1068">
        <v>0.10100000000000001</v>
      </c>
      <c r="S1068">
        <v>10837</v>
      </c>
      <c r="T1068">
        <v>72.2</v>
      </c>
      <c r="U1068">
        <v>56.9</v>
      </c>
      <c r="V1068">
        <v>819</v>
      </c>
      <c r="W1068">
        <v>29.6</v>
      </c>
      <c r="X1068">
        <v>50.37</v>
      </c>
      <c r="Y1068">
        <v>0</v>
      </c>
    </row>
    <row r="1069" spans="1:25" x14ac:dyDescent="0.25">
      <c r="A1069" t="s">
        <v>57</v>
      </c>
      <c r="B1069">
        <f>_xlfn.XLOOKUP(Table4[[#This Row],[country]],Table2[country],Table2[country_id],FALSE)</f>
        <v>23</v>
      </c>
      <c r="C1069" t="s">
        <v>32</v>
      </c>
      <c r="D1069">
        <v>2013</v>
      </c>
      <c r="E1069">
        <f>_xlfn.XLOOKUP(Table4[[#This Row],[year]],Table1[year],Table1[year_id])</f>
        <v>4</v>
      </c>
      <c r="F1069" t="s">
        <v>30</v>
      </c>
      <c r="G1069" t="s">
        <v>28</v>
      </c>
      <c r="H1069" cm="1">
        <f t="array" ref="H1069">_xlfn.XLOOKUP(Table4[[#This Row],[vehicle_segment]]&amp;Table4[[#This Row],[powertrain_type]],Table3[vehicle_segment]&amp;Table3[powertrain_type],Table3[vehicle_id])</f>
        <v>3</v>
      </c>
      <c r="I1069">
        <v>30</v>
      </c>
      <c r="J1069">
        <v>193146</v>
      </c>
      <c r="K1069">
        <v>16795</v>
      </c>
      <c r="L1069">
        <v>209971</v>
      </c>
      <c r="M1069">
        <v>0.01</v>
      </c>
      <c r="N1069">
        <v>39</v>
      </c>
      <c r="O1069">
        <v>2.8</v>
      </c>
      <c r="P1069">
        <v>123</v>
      </c>
      <c r="Q1069">
        <v>1.43</v>
      </c>
      <c r="R1069">
        <v>0.10100000000000001</v>
      </c>
      <c r="S1069">
        <v>10837</v>
      </c>
      <c r="T1069">
        <v>72.2</v>
      </c>
      <c r="U1069">
        <v>56.9</v>
      </c>
      <c r="V1069">
        <v>819</v>
      </c>
      <c r="W1069">
        <v>29.6</v>
      </c>
      <c r="X1069">
        <v>44.22</v>
      </c>
      <c r="Y1069">
        <v>0</v>
      </c>
    </row>
    <row r="1070" spans="1:25" x14ac:dyDescent="0.25">
      <c r="A1070" t="s">
        <v>57</v>
      </c>
      <c r="B1070">
        <f>_xlfn.XLOOKUP(Table4[[#This Row],[country]],Table2[country],Table2[country_id],FALSE)</f>
        <v>23</v>
      </c>
      <c r="C1070" t="s">
        <v>32</v>
      </c>
      <c r="D1070">
        <v>2014</v>
      </c>
      <c r="E1070">
        <f>_xlfn.XLOOKUP(Table4[[#This Row],[year]],Table1[year],Table1[year_id])</f>
        <v>5</v>
      </c>
      <c r="F1070" t="s">
        <v>27</v>
      </c>
      <c r="G1070" t="s">
        <v>28</v>
      </c>
      <c r="H1070" cm="1">
        <f t="array" ref="H1070">_xlfn.XLOOKUP(Table4[[#This Row],[vehicle_segment]]&amp;Table4[[#This Row],[powertrain_type]],Table3[vehicle_segment]&amp;Table3[powertrain_type],Table3[vehicle_id])</f>
        <v>1</v>
      </c>
      <c r="I1070">
        <v>5</v>
      </c>
      <c r="J1070">
        <v>78056</v>
      </c>
      <c r="K1070">
        <v>52038</v>
      </c>
      <c r="L1070">
        <v>130099</v>
      </c>
      <c r="M1070">
        <v>0</v>
      </c>
      <c r="N1070">
        <v>48</v>
      </c>
      <c r="O1070">
        <v>3.8</v>
      </c>
      <c r="P1070">
        <v>144</v>
      </c>
      <c r="Q1070">
        <v>1.393</v>
      </c>
      <c r="R1070">
        <v>0.10199999999999999</v>
      </c>
      <c r="S1070">
        <v>10796</v>
      </c>
      <c r="T1070">
        <v>73.099999999999994</v>
      </c>
      <c r="U1070">
        <v>58.6</v>
      </c>
      <c r="V1070">
        <v>1067</v>
      </c>
      <c r="W1070">
        <v>29.8</v>
      </c>
      <c r="X1070">
        <v>0</v>
      </c>
      <c r="Y1070">
        <v>0</v>
      </c>
    </row>
    <row r="1071" spans="1:25" x14ac:dyDescent="0.25">
      <c r="A1071" t="s">
        <v>57</v>
      </c>
      <c r="B1071">
        <f>_xlfn.XLOOKUP(Table4[[#This Row],[country]],Table2[country],Table2[country_id],FALSE)</f>
        <v>23</v>
      </c>
      <c r="C1071" t="s">
        <v>32</v>
      </c>
      <c r="D1071">
        <v>2014</v>
      </c>
      <c r="E1071">
        <f>_xlfn.XLOOKUP(Table4[[#This Row],[year]],Table1[year],Table1[year_id])</f>
        <v>5</v>
      </c>
      <c r="F1071" t="s">
        <v>29</v>
      </c>
      <c r="G1071" t="s">
        <v>28</v>
      </c>
      <c r="H1071" cm="1">
        <f t="array" ref="H1071">_xlfn.XLOOKUP(Table4[[#This Row],[vehicle_segment]]&amp;Table4[[#This Row],[powertrain_type]],Table3[vehicle_segment]&amp;Table3[powertrain_type],Table3[vehicle_id])</f>
        <v>2</v>
      </c>
      <c r="I1071">
        <v>52</v>
      </c>
      <c r="J1071">
        <v>453907</v>
      </c>
      <c r="K1071">
        <v>61896</v>
      </c>
      <c r="L1071">
        <v>515855</v>
      </c>
      <c r="M1071">
        <v>0.01</v>
      </c>
      <c r="N1071">
        <v>48</v>
      </c>
      <c r="O1071">
        <v>3.8</v>
      </c>
      <c r="P1071">
        <v>144</v>
      </c>
      <c r="Q1071">
        <v>1.393</v>
      </c>
      <c r="R1071">
        <v>0.10199999999999999</v>
      </c>
      <c r="S1071">
        <v>10796</v>
      </c>
      <c r="T1071">
        <v>73.099999999999994</v>
      </c>
      <c r="U1071">
        <v>58.6</v>
      </c>
      <c r="V1071">
        <v>1067</v>
      </c>
      <c r="W1071">
        <v>29.8</v>
      </c>
      <c r="X1071">
        <v>51.35</v>
      </c>
      <c r="Y1071">
        <v>0</v>
      </c>
    </row>
    <row r="1072" spans="1:25" x14ac:dyDescent="0.25">
      <c r="A1072" t="s">
        <v>57</v>
      </c>
      <c r="B1072">
        <f>_xlfn.XLOOKUP(Table4[[#This Row],[country]],Table2[country],Table2[country_id],FALSE)</f>
        <v>23</v>
      </c>
      <c r="C1072" t="s">
        <v>32</v>
      </c>
      <c r="D1072">
        <v>2014</v>
      </c>
      <c r="E1072">
        <f>_xlfn.XLOOKUP(Table4[[#This Row],[year]],Table1[year],Table1[year_id])</f>
        <v>5</v>
      </c>
      <c r="F1072" t="s">
        <v>30</v>
      </c>
      <c r="G1072" t="s">
        <v>28</v>
      </c>
      <c r="H1072" cm="1">
        <f t="array" ref="H1072">_xlfn.XLOOKUP(Table4[[#This Row],[vehicle_segment]]&amp;Table4[[#This Row],[powertrain_type]],Table3[vehicle_segment]&amp;Table3[powertrain_type],Table3[vehicle_id])</f>
        <v>3</v>
      </c>
      <c r="I1072">
        <v>32</v>
      </c>
      <c r="J1072">
        <v>205829</v>
      </c>
      <c r="K1072">
        <v>17898</v>
      </c>
      <c r="L1072">
        <v>223759</v>
      </c>
      <c r="M1072">
        <v>0.01</v>
      </c>
      <c r="N1072">
        <v>48</v>
      </c>
      <c r="O1072">
        <v>3.8</v>
      </c>
      <c r="P1072">
        <v>144</v>
      </c>
      <c r="Q1072">
        <v>1.393</v>
      </c>
      <c r="R1072">
        <v>0.10199999999999999</v>
      </c>
      <c r="S1072">
        <v>10796</v>
      </c>
      <c r="T1072">
        <v>73.099999999999994</v>
      </c>
      <c r="U1072">
        <v>58.6</v>
      </c>
      <c r="V1072">
        <v>1067</v>
      </c>
      <c r="W1072">
        <v>29.8</v>
      </c>
      <c r="X1072">
        <v>47.36</v>
      </c>
      <c r="Y1072">
        <v>0</v>
      </c>
    </row>
    <row r="1073" spans="1:25" x14ac:dyDescent="0.25">
      <c r="A1073" t="s">
        <v>57</v>
      </c>
      <c r="B1073">
        <f>_xlfn.XLOOKUP(Table4[[#This Row],[country]],Table2[country],Table2[country_id],FALSE)</f>
        <v>23</v>
      </c>
      <c r="C1073" t="s">
        <v>32</v>
      </c>
      <c r="D1073">
        <v>2015</v>
      </c>
      <c r="E1073">
        <f>_xlfn.XLOOKUP(Table4[[#This Row],[year]],Table1[year],Table1[year_id])</f>
        <v>6</v>
      </c>
      <c r="F1073" t="s">
        <v>27</v>
      </c>
      <c r="G1073" t="s">
        <v>28</v>
      </c>
      <c r="H1073" cm="1">
        <f t="array" ref="H1073">_xlfn.XLOOKUP(Table4[[#This Row],[vehicle_segment]]&amp;Table4[[#This Row],[powertrain_type]],Table3[vehicle_segment]&amp;Table3[powertrain_type],Table3[vehicle_id])</f>
        <v>1</v>
      </c>
      <c r="I1073">
        <v>5</v>
      </c>
      <c r="J1073">
        <v>88113</v>
      </c>
      <c r="K1073">
        <v>58742</v>
      </c>
      <c r="L1073">
        <v>146860</v>
      </c>
      <c r="M1073">
        <v>0</v>
      </c>
      <c r="N1073">
        <v>65</v>
      </c>
      <c r="O1073">
        <v>5.0999999999999996</v>
      </c>
      <c r="P1073">
        <v>162</v>
      </c>
      <c r="Q1073">
        <v>1.36</v>
      </c>
      <c r="R1073">
        <v>0.1</v>
      </c>
      <c r="S1073">
        <v>10985</v>
      </c>
      <c r="T1073">
        <v>73.099999999999994</v>
      </c>
      <c r="U1073">
        <v>59</v>
      </c>
      <c r="V1073">
        <v>1374</v>
      </c>
      <c r="W1073">
        <v>31.8</v>
      </c>
      <c r="X1073">
        <v>0</v>
      </c>
      <c r="Y1073">
        <v>0</v>
      </c>
    </row>
    <row r="1074" spans="1:25" x14ac:dyDescent="0.25">
      <c r="A1074" t="s">
        <v>57</v>
      </c>
      <c r="B1074">
        <f>_xlfn.XLOOKUP(Table4[[#This Row],[country]],Table2[country],Table2[country_id],FALSE)</f>
        <v>23</v>
      </c>
      <c r="C1074" t="s">
        <v>32</v>
      </c>
      <c r="D1074">
        <v>2015</v>
      </c>
      <c r="E1074">
        <f>_xlfn.XLOOKUP(Table4[[#This Row],[year]],Table1[year],Table1[year_id])</f>
        <v>6</v>
      </c>
      <c r="F1074" t="s">
        <v>29</v>
      </c>
      <c r="G1074" t="s">
        <v>28</v>
      </c>
      <c r="H1074" cm="1">
        <f t="array" ref="H1074">_xlfn.XLOOKUP(Table4[[#This Row],[vehicle_segment]]&amp;Table4[[#This Row],[powertrain_type]],Table3[vehicle_segment]&amp;Table3[powertrain_type],Table3[vehicle_id])</f>
        <v>2</v>
      </c>
      <c r="I1074">
        <v>58</v>
      </c>
      <c r="J1074">
        <v>511294</v>
      </c>
      <c r="K1074">
        <v>69722</v>
      </c>
      <c r="L1074">
        <v>581074</v>
      </c>
      <c r="M1074">
        <v>0.01</v>
      </c>
      <c r="N1074">
        <v>65</v>
      </c>
      <c r="O1074">
        <v>5.0999999999999996</v>
      </c>
      <c r="P1074">
        <v>162</v>
      </c>
      <c r="Q1074">
        <v>1.36</v>
      </c>
      <c r="R1074">
        <v>0.1</v>
      </c>
      <c r="S1074">
        <v>10985</v>
      </c>
      <c r="T1074">
        <v>73.099999999999994</v>
      </c>
      <c r="U1074">
        <v>59</v>
      </c>
      <c r="V1074">
        <v>1374</v>
      </c>
      <c r="W1074">
        <v>31.8</v>
      </c>
      <c r="X1074">
        <v>36.11</v>
      </c>
      <c r="Y1074">
        <v>0</v>
      </c>
    </row>
    <row r="1075" spans="1:25" x14ac:dyDescent="0.25">
      <c r="A1075" t="s">
        <v>57</v>
      </c>
      <c r="B1075">
        <f>_xlfn.XLOOKUP(Table4[[#This Row],[country]],Table2[country],Table2[country_id],FALSE)</f>
        <v>23</v>
      </c>
      <c r="C1075" t="s">
        <v>32</v>
      </c>
      <c r="D1075">
        <v>2015</v>
      </c>
      <c r="E1075">
        <f>_xlfn.XLOOKUP(Table4[[#This Row],[year]],Table1[year],Table1[year_id])</f>
        <v>6</v>
      </c>
      <c r="F1075" t="s">
        <v>30</v>
      </c>
      <c r="G1075" t="s">
        <v>28</v>
      </c>
      <c r="H1075" cm="1">
        <f t="array" ref="H1075">_xlfn.XLOOKUP(Table4[[#This Row],[vehicle_segment]]&amp;Table4[[#This Row],[powertrain_type]],Table3[vehicle_segment]&amp;Table3[powertrain_type],Table3[vehicle_id])</f>
        <v>3</v>
      </c>
      <c r="I1075">
        <v>35</v>
      </c>
      <c r="J1075">
        <v>224018</v>
      </c>
      <c r="K1075">
        <v>19480</v>
      </c>
      <c r="L1075">
        <v>243533</v>
      </c>
      <c r="M1075">
        <v>0.01</v>
      </c>
      <c r="N1075">
        <v>65</v>
      </c>
      <c r="O1075">
        <v>5.0999999999999996</v>
      </c>
      <c r="P1075">
        <v>162</v>
      </c>
      <c r="Q1075">
        <v>1.36</v>
      </c>
      <c r="R1075">
        <v>0.1</v>
      </c>
      <c r="S1075">
        <v>10985</v>
      </c>
      <c r="T1075">
        <v>73.099999999999994</v>
      </c>
      <c r="U1075">
        <v>59</v>
      </c>
      <c r="V1075">
        <v>1374</v>
      </c>
      <c r="W1075">
        <v>31.8</v>
      </c>
      <c r="X1075">
        <v>39.119999999999997</v>
      </c>
      <c r="Y1075">
        <v>0</v>
      </c>
    </row>
    <row r="1076" spans="1:25" x14ac:dyDescent="0.25">
      <c r="A1076" t="s">
        <v>57</v>
      </c>
      <c r="B1076">
        <f>_xlfn.XLOOKUP(Table4[[#This Row],[country]],Table2[country],Table2[country_id],FALSE)</f>
        <v>23</v>
      </c>
      <c r="C1076" t="s">
        <v>32</v>
      </c>
      <c r="D1076">
        <v>2016</v>
      </c>
      <c r="E1076">
        <f>_xlfn.XLOOKUP(Table4[[#This Row],[year]],Table1[year],Table1[year_id])</f>
        <v>7</v>
      </c>
      <c r="F1076" t="s">
        <v>27</v>
      </c>
      <c r="G1076" t="s">
        <v>28</v>
      </c>
      <c r="H1076" cm="1">
        <f t="array" ref="H1076">_xlfn.XLOOKUP(Table4[[#This Row],[vehicle_segment]]&amp;Table4[[#This Row],[powertrain_type]],Table3[vehicle_segment]&amp;Table3[powertrain_type],Table3[vehicle_id])</f>
        <v>1</v>
      </c>
      <c r="I1076">
        <v>10</v>
      </c>
      <c r="J1076">
        <v>85497</v>
      </c>
      <c r="K1076">
        <v>56998</v>
      </c>
      <c r="L1076">
        <v>142505</v>
      </c>
      <c r="M1076">
        <v>0.01</v>
      </c>
      <c r="N1076">
        <v>75</v>
      </c>
      <c r="O1076">
        <v>5.9</v>
      </c>
      <c r="P1076">
        <v>177</v>
      </c>
      <c r="Q1076">
        <v>1.3069999999999999</v>
      </c>
      <c r="R1076">
        <v>9.5000000000000001E-2</v>
      </c>
      <c r="S1076">
        <v>10520</v>
      </c>
      <c r="T1076">
        <v>73.7</v>
      </c>
      <c r="U1076">
        <v>59.3</v>
      </c>
      <c r="V1076">
        <v>1620</v>
      </c>
      <c r="W1076">
        <v>35.299999999999997</v>
      </c>
      <c r="X1076">
        <v>3.57</v>
      </c>
      <c r="Y1076">
        <v>0</v>
      </c>
    </row>
    <row r="1077" spans="1:25" x14ac:dyDescent="0.25">
      <c r="A1077" t="s">
        <v>57</v>
      </c>
      <c r="B1077">
        <f>_xlfn.XLOOKUP(Table4[[#This Row],[country]],Table2[country],Table2[country_id],FALSE)</f>
        <v>23</v>
      </c>
      <c r="C1077" t="s">
        <v>32</v>
      </c>
      <c r="D1077">
        <v>2016</v>
      </c>
      <c r="E1077">
        <f>_xlfn.XLOOKUP(Table4[[#This Row],[year]],Table1[year],Table1[year_id])</f>
        <v>7</v>
      </c>
      <c r="F1077" t="s">
        <v>29</v>
      </c>
      <c r="G1077" t="s">
        <v>28</v>
      </c>
      <c r="H1077" cm="1">
        <f t="array" ref="H1077">_xlfn.XLOOKUP(Table4[[#This Row],[vehicle_segment]]&amp;Table4[[#This Row],[powertrain_type]],Table3[vehicle_segment]&amp;Table3[powertrain_type],Table3[vehicle_id])</f>
        <v>2</v>
      </c>
      <c r="I1077">
        <v>113</v>
      </c>
      <c r="J1077">
        <v>497189</v>
      </c>
      <c r="K1077">
        <v>67798</v>
      </c>
      <c r="L1077">
        <v>565100</v>
      </c>
      <c r="M1077">
        <v>0.02</v>
      </c>
      <c r="N1077">
        <v>75</v>
      </c>
      <c r="O1077">
        <v>5.9</v>
      </c>
      <c r="P1077">
        <v>177</v>
      </c>
      <c r="Q1077">
        <v>1.3069999999999999</v>
      </c>
      <c r="R1077">
        <v>9.5000000000000001E-2</v>
      </c>
      <c r="S1077">
        <v>10520</v>
      </c>
      <c r="T1077">
        <v>73.7</v>
      </c>
      <c r="U1077">
        <v>59.3</v>
      </c>
      <c r="V1077">
        <v>1620</v>
      </c>
      <c r="W1077">
        <v>35.299999999999997</v>
      </c>
      <c r="X1077">
        <v>30.37</v>
      </c>
      <c r="Y1077">
        <v>0</v>
      </c>
    </row>
    <row r="1078" spans="1:25" x14ac:dyDescent="0.25">
      <c r="A1078" t="s">
        <v>57</v>
      </c>
      <c r="B1078">
        <f>_xlfn.XLOOKUP(Table4[[#This Row],[country]],Table2[country],Table2[country_id],FALSE)</f>
        <v>23</v>
      </c>
      <c r="C1078" t="s">
        <v>32</v>
      </c>
      <c r="D1078">
        <v>2016</v>
      </c>
      <c r="E1078">
        <f>_xlfn.XLOOKUP(Table4[[#This Row],[year]],Table1[year],Table1[year_id])</f>
        <v>7</v>
      </c>
      <c r="F1078" t="s">
        <v>30</v>
      </c>
      <c r="G1078" t="s">
        <v>28</v>
      </c>
      <c r="H1078" cm="1">
        <f t="array" ref="H1078">_xlfn.XLOOKUP(Table4[[#This Row],[vehicle_segment]]&amp;Table4[[#This Row],[powertrain_type]],Table3[vehicle_segment]&amp;Table3[powertrain_type],Table3[vehicle_id])</f>
        <v>3</v>
      </c>
      <c r="I1078">
        <v>69</v>
      </c>
      <c r="J1078">
        <v>217464</v>
      </c>
      <c r="K1078">
        <v>18910</v>
      </c>
      <c r="L1078">
        <v>236443</v>
      </c>
      <c r="M1078">
        <v>0.03</v>
      </c>
      <c r="N1078">
        <v>75</v>
      </c>
      <c r="O1078">
        <v>5.9</v>
      </c>
      <c r="P1078">
        <v>177</v>
      </c>
      <c r="Q1078">
        <v>1.3069999999999999</v>
      </c>
      <c r="R1078">
        <v>9.5000000000000001E-2</v>
      </c>
      <c r="S1078">
        <v>10520</v>
      </c>
      <c r="T1078">
        <v>73.7</v>
      </c>
      <c r="U1078">
        <v>59.3</v>
      </c>
      <c r="V1078">
        <v>1620</v>
      </c>
      <c r="W1078">
        <v>35.299999999999997</v>
      </c>
      <c r="X1078">
        <v>32</v>
      </c>
      <c r="Y1078">
        <v>0</v>
      </c>
    </row>
    <row r="1079" spans="1:25" x14ac:dyDescent="0.25">
      <c r="A1079" t="s">
        <v>57</v>
      </c>
      <c r="B1079">
        <f>_xlfn.XLOOKUP(Table4[[#This Row],[country]],Table2[country],Table2[country_id],FALSE)</f>
        <v>23</v>
      </c>
      <c r="C1079" t="s">
        <v>32</v>
      </c>
      <c r="D1079">
        <v>2017</v>
      </c>
      <c r="E1079">
        <f>_xlfn.XLOOKUP(Table4[[#This Row],[year]],Table1[year],Table1[year_id])</f>
        <v>8</v>
      </c>
      <c r="F1079" t="s">
        <v>27</v>
      </c>
      <c r="G1079" t="s">
        <v>28</v>
      </c>
      <c r="H1079" cm="1">
        <f t="array" ref="H1079">_xlfn.XLOOKUP(Table4[[#This Row],[vehicle_segment]]&amp;Table4[[#This Row],[powertrain_type]],Table3[vehicle_segment]&amp;Table3[powertrain_type],Table3[vehicle_id])</f>
        <v>1</v>
      </c>
      <c r="I1079">
        <v>21</v>
      </c>
      <c r="J1079">
        <v>88095</v>
      </c>
      <c r="K1079">
        <v>58730</v>
      </c>
      <c r="L1079">
        <v>146846</v>
      </c>
      <c r="M1079">
        <v>0.01</v>
      </c>
      <c r="N1079">
        <v>85</v>
      </c>
      <c r="O1079">
        <v>7.1</v>
      </c>
      <c r="P1079">
        <v>202</v>
      </c>
      <c r="Q1079">
        <v>1.2</v>
      </c>
      <c r="R1079">
        <v>8.8999999999999996E-2</v>
      </c>
      <c r="S1079">
        <v>9859</v>
      </c>
      <c r="T1079">
        <v>74.8</v>
      </c>
      <c r="U1079">
        <v>58.3</v>
      </c>
      <c r="V1079">
        <v>1911</v>
      </c>
      <c r="W1079">
        <v>37</v>
      </c>
      <c r="X1079">
        <v>61.34</v>
      </c>
      <c r="Y1079">
        <v>0</v>
      </c>
    </row>
    <row r="1080" spans="1:25" x14ac:dyDescent="0.25">
      <c r="A1080" t="s">
        <v>57</v>
      </c>
      <c r="B1080">
        <f>_xlfn.XLOOKUP(Table4[[#This Row],[country]],Table2[country],Table2[country_id],FALSE)</f>
        <v>23</v>
      </c>
      <c r="C1080" t="s">
        <v>32</v>
      </c>
      <c r="D1080">
        <v>2017</v>
      </c>
      <c r="E1080">
        <f>_xlfn.XLOOKUP(Table4[[#This Row],[year]],Table1[year],Table1[year_id])</f>
        <v>8</v>
      </c>
      <c r="F1080" t="s">
        <v>29</v>
      </c>
      <c r="G1080" t="s">
        <v>28</v>
      </c>
      <c r="H1080" cm="1">
        <f t="array" ref="H1080">_xlfn.XLOOKUP(Table4[[#This Row],[vehicle_segment]]&amp;Table4[[#This Row],[powertrain_type]],Table3[vehicle_segment]&amp;Table3[powertrain_type],Table3[vehicle_id])</f>
        <v>2</v>
      </c>
      <c r="I1080">
        <v>237</v>
      </c>
      <c r="J1080">
        <v>521165</v>
      </c>
      <c r="K1080">
        <v>71068</v>
      </c>
      <c r="L1080">
        <v>592470</v>
      </c>
      <c r="M1080">
        <v>0.04</v>
      </c>
      <c r="N1080">
        <v>85</v>
      </c>
      <c r="O1080">
        <v>7.1</v>
      </c>
      <c r="P1080">
        <v>202</v>
      </c>
      <c r="Q1080">
        <v>1.2</v>
      </c>
      <c r="R1080">
        <v>8.8999999999999996E-2</v>
      </c>
      <c r="S1080">
        <v>9859</v>
      </c>
      <c r="T1080">
        <v>74.8</v>
      </c>
      <c r="U1080">
        <v>58.3</v>
      </c>
      <c r="V1080">
        <v>1911</v>
      </c>
      <c r="W1080">
        <v>37</v>
      </c>
      <c r="X1080">
        <v>109.73</v>
      </c>
      <c r="Y1080">
        <v>0</v>
      </c>
    </row>
    <row r="1081" spans="1:25" x14ac:dyDescent="0.25">
      <c r="A1081" t="s">
        <v>57</v>
      </c>
      <c r="B1081">
        <f>_xlfn.XLOOKUP(Table4[[#This Row],[country]],Table2[country],Table2[country_id],FALSE)</f>
        <v>23</v>
      </c>
      <c r="C1081" t="s">
        <v>32</v>
      </c>
      <c r="D1081">
        <v>2017</v>
      </c>
      <c r="E1081">
        <f>_xlfn.XLOOKUP(Table4[[#This Row],[year]],Table1[year],Table1[year_id])</f>
        <v>8</v>
      </c>
      <c r="F1081" t="s">
        <v>30</v>
      </c>
      <c r="G1081" t="s">
        <v>28</v>
      </c>
      <c r="H1081" cm="1">
        <f t="array" ref="H1081">_xlfn.XLOOKUP(Table4[[#This Row],[vehicle_segment]]&amp;Table4[[#This Row],[powertrain_type]],Table3[vehicle_segment]&amp;Table3[powertrain_type],Table3[vehicle_id])</f>
        <v>3</v>
      </c>
      <c r="I1081">
        <v>142</v>
      </c>
      <c r="J1081">
        <v>224487</v>
      </c>
      <c r="K1081">
        <v>19521</v>
      </c>
      <c r="L1081">
        <v>244150</v>
      </c>
      <c r="M1081">
        <v>0.06</v>
      </c>
      <c r="N1081">
        <v>85</v>
      </c>
      <c r="O1081">
        <v>7.1</v>
      </c>
      <c r="P1081">
        <v>202</v>
      </c>
      <c r="Q1081">
        <v>1.2</v>
      </c>
      <c r="R1081">
        <v>8.8999999999999996E-2</v>
      </c>
      <c r="S1081">
        <v>9859</v>
      </c>
      <c r="T1081">
        <v>74.8</v>
      </c>
      <c r="U1081">
        <v>58.3</v>
      </c>
      <c r="V1081">
        <v>1911</v>
      </c>
      <c r="W1081">
        <v>37</v>
      </c>
      <c r="X1081">
        <v>64.33</v>
      </c>
      <c r="Y1081">
        <v>0</v>
      </c>
    </row>
    <row r="1082" spans="1:25" x14ac:dyDescent="0.25">
      <c r="A1082" t="s">
        <v>57</v>
      </c>
      <c r="B1082">
        <f>_xlfn.XLOOKUP(Table4[[#This Row],[country]],Table2[country],Table2[country_id],FALSE)</f>
        <v>23</v>
      </c>
      <c r="C1082" t="s">
        <v>32</v>
      </c>
      <c r="D1082">
        <v>2018</v>
      </c>
      <c r="E1082">
        <f>_xlfn.XLOOKUP(Table4[[#This Row],[year]],Table1[year],Table1[year_id])</f>
        <v>9</v>
      </c>
      <c r="F1082" t="s">
        <v>27</v>
      </c>
      <c r="G1082" t="s">
        <v>28</v>
      </c>
      <c r="H1082" cm="1">
        <f t="array" ref="H1082">_xlfn.XLOOKUP(Table4[[#This Row],[vehicle_segment]]&amp;Table4[[#This Row],[powertrain_type]],Table3[vehicle_segment]&amp;Table3[powertrain_type],Table3[vehicle_id])</f>
        <v>1</v>
      </c>
      <c r="I1082">
        <v>26</v>
      </c>
      <c r="J1082">
        <v>62439</v>
      </c>
      <c r="K1082">
        <v>41626</v>
      </c>
      <c r="L1082">
        <v>104091</v>
      </c>
      <c r="M1082">
        <v>0.02</v>
      </c>
      <c r="N1082">
        <v>102</v>
      </c>
      <c r="O1082">
        <v>9.5</v>
      </c>
      <c r="P1082">
        <v>238</v>
      </c>
      <c r="Q1082">
        <v>1.097</v>
      </c>
      <c r="R1082">
        <v>8.2000000000000003E-2</v>
      </c>
      <c r="S1082">
        <v>9430</v>
      </c>
      <c r="T1082">
        <v>75.3</v>
      </c>
      <c r="U1082">
        <v>58.3</v>
      </c>
      <c r="V1082">
        <v>2189</v>
      </c>
      <c r="W1082">
        <v>40.299999999999997</v>
      </c>
      <c r="X1082">
        <v>73.25</v>
      </c>
      <c r="Y1082">
        <v>0</v>
      </c>
    </row>
    <row r="1083" spans="1:25" x14ac:dyDescent="0.25">
      <c r="A1083" t="s">
        <v>57</v>
      </c>
      <c r="B1083">
        <f>_xlfn.XLOOKUP(Table4[[#This Row],[country]],Table2[country],Table2[country_id],FALSE)</f>
        <v>23</v>
      </c>
      <c r="C1083" t="s">
        <v>32</v>
      </c>
      <c r="D1083">
        <v>2018</v>
      </c>
      <c r="E1083">
        <f>_xlfn.XLOOKUP(Table4[[#This Row],[year]],Table1[year],Table1[year_id])</f>
        <v>9</v>
      </c>
      <c r="F1083" t="s">
        <v>29</v>
      </c>
      <c r="G1083" t="s">
        <v>28</v>
      </c>
      <c r="H1083" cm="1">
        <f t="array" ref="H1083">_xlfn.XLOOKUP(Table4[[#This Row],[vehicle_segment]]&amp;Table4[[#This Row],[powertrain_type]],Table3[vehicle_segment]&amp;Table3[powertrain_type],Table3[vehicle_id])</f>
        <v>2</v>
      </c>
      <c r="I1083">
        <v>299</v>
      </c>
      <c r="J1083">
        <v>375306</v>
      </c>
      <c r="K1083">
        <v>51178</v>
      </c>
      <c r="L1083">
        <v>426783</v>
      </c>
      <c r="M1083">
        <v>7.0000000000000007E-2</v>
      </c>
      <c r="N1083">
        <v>102</v>
      </c>
      <c r="O1083">
        <v>9.5</v>
      </c>
      <c r="P1083">
        <v>238</v>
      </c>
      <c r="Q1083">
        <v>1.097</v>
      </c>
      <c r="R1083">
        <v>8.2000000000000003E-2</v>
      </c>
      <c r="S1083">
        <v>9430</v>
      </c>
      <c r="T1083">
        <v>75.3</v>
      </c>
      <c r="U1083">
        <v>58.3</v>
      </c>
      <c r="V1083">
        <v>2189</v>
      </c>
      <c r="W1083">
        <v>40.299999999999997</v>
      </c>
      <c r="X1083">
        <v>26.16</v>
      </c>
      <c r="Y1083">
        <v>0</v>
      </c>
    </row>
    <row r="1084" spans="1:25" x14ac:dyDescent="0.25">
      <c r="A1084" t="s">
        <v>57</v>
      </c>
      <c r="B1084">
        <f>_xlfn.XLOOKUP(Table4[[#This Row],[country]],Table2[country],Table2[country_id],FALSE)</f>
        <v>23</v>
      </c>
      <c r="C1084" t="s">
        <v>32</v>
      </c>
      <c r="D1084">
        <v>2018</v>
      </c>
      <c r="E1084">
        <f>_xlfn.XLOOKUP(Table4[[#This Row],[year]],Table1[year],Table1[year_id])</f>
        <v>9</v>
      </c>
      <c r="F1084" t="s">
        <v>30</v>
      </c>
      <c r="G1084" t="s">
        <v>28</v>
      </c>
      <c r="H1084" cm="1">
        <f t="array" ref="H1084">_xlfn.XLOOKUP(Table4[[#This Row],[vehicle_segment]]&amp;Table4[[#This Row],[powertrain_type]],Table3[vehicle_segment]&amp;Table3[powertrain_type],Table3[vehicle_id])</f>
        <v>3</v>
      </c>
      <c r="I1084">
        <v>179</v>
      </c>
      <c r="J1084">
        <v>161831</v>
      </c>
      <c r="K1084">
        <v>14072</v>
      </c>
      <c r="L1084">
        <v>176082</v>
      </c>
      <c r="M1084">
        <v>0.1</v>
      </c>
      <c r="N1084">
        <v>102</v>
      </c>
      <c r="O1084">
        <v>9.5</v>
      </c>
      <c r="P1084">
        <v>238</v>
      </c>
      <c r="Q1084">
        <v>1.097</v>
      </c>
      <c r="R1084">
        <v>8.2000000000000003E-2</v>
      </c>
      <c r="S1084">
        <v>9430</v>
      </c>
      <c r="T1084">
        <v>75.3</v>
      </c>
      <c r="U1084">
        <v>58.3</v>
      </c>
      <c r="V1084">
        <v>2189</v>
      </c>
      <c r="W1084">
        <v>40.299999999999997</v>
      </c>
      <c r="X1084">
        <v>26.06</v>
      </c>
      <c r="Y1084">
        <v>0</v>
      </c>
    </row>
    <row r="1085" spans="1:25" x14ac:dyDescent="0.25">
      <c r="A1085" t="s">
        <v>57</v>
      </c>
      <c r="B1085">
        <f>_xlfn.XLOOKUP(Table4[[#This Row],[country]],Table2[country],Table2[country_id],FALSE)</f>
        <v>23</v>
      </c>
      <c r="C1085" t="s">
        <v>32</v>
      </c>
      <c r="D1085">
        <v>2019</v>
      </c>
      <c r="E1085">
        <f>_xlfn.XLOOKUP(Table4[[#This Row],[year]],Table1[year],Table1[year_id])</f>
        <v>10</v>
      </c>
      <c r="F1085" t="s">
        <v>27</v>
      </c>
      <c r="G1085" t="s">
        <v>28</v>
      </c>
      <c r="H1085" cm="1">
        <f t="array" ref="H1085">_xlfn.XLOOKUP(Table4[[#This Row],[vehicle_segment]]&amp;Table4[[#This Row],[powertrain_type]],Table3[vehicle_segment]&amp;Table3[powertrain_type],Table3[vehicle_id])</f>
        <v>1</v>
      </c>
      <c r="I1085">
        <v>45</v>
      </c>
      <c r="J1085">
        <v>43151</v>
      </c>
      <c r="K1085">
        <v>28767</v>
      </c>
      <c r="L1085">
        <v>71963</v>
      </c>
      <c r="M1085">
        <v>0.06</v>
      </c>
      <c r="N1085">
        <v>298</v>
      </c>
      <c r="O1085">
        <v>9.6999999999999993</v>
      </c>
      <c r="P1085">
        <v>279</v>
      </c>
      <c r="Q1085">
        <v>1.0329999999999999</v>
      </c>
      <c r="R1085">
        <v>7.4999999999999997E-2</v>
      </c>
      <c r="S1085">
        <v>9049</v>
      </c>
      <c r="T1085">
        <v>75.400000000000006</v>
      </c>
      <c r="U1085">
        <v>55.6</v>
      </c>
      <c r="V1085">
        <v>2425</v>
      </c>
      <c r="W1085">
        <v>42.7</v>
      </c>
      <c r="X1085">
        <v>65.099999999999994</v>
      </c>
      <c r="Y1085">
        <v>0</v>
      </c>
    </row>
    <row r="1086" spans="1:25" x14ac:dyDescent="0.25">
      <c r="A1086" t="s">
        <v>57</v>
      </c>
      <c r="B1086">
        <f>_xlfn.XLOOKUP(Table4[[#This Row],[country]],Table2[country],Table2[country_id],FALSE)</f>
        <v>23</v>
      </c>
      <c r="C1086" t="s">
        <v>32</v>
      </c>
      <c r="D1086">
        <v>2019</v>
      </c>
      <c r="E1086">
        <f>_xlfn.XLOOKUP(Table4[[#This Row],[year]],Table1[year],Table1[year_id])</f>
        <v>10</v>
      </c>
      <c r="F1086" t="s">
        <v>29</v>
      </c>
      <c r="G1086" t="s">
        <v>28</v>
      </c>
      <c r="H1086" cm="1">
        <f t="array" ref="H1086">_xlfn.XLOOKUP(Table4[[#This Row],[vehicle_segment]]&amp;Table4[[#This Row],[powertrain_type]],Table3[vehicle_segment]&amp;Table3[powertrain_type],Table3[vehicle_id])</f>
        <v>2</v>
      </c>
      <c r="I1086">
        <v>512</v>
      </c>
      <c r="J1086">
        <v>249742</v>
      </c>
      <c r="K1086">
        <v>34056</v>
      </c>
      <c r="L1086">
        <v>284310</v>
      </c>
      <c r="M1086">
        <v>0.18</v>
      </c>
      <c r="N1086">
        <v>298</v>
      </c>
      <c r="O1086">
        <v>9.6999999999999993</v>
      </c>
      <c r="P1086">
        <v>279</v>
      </c>
      <c r="Q1086">
        <v>1.0329999999999999</v>
      </c>
      <c r="R1086">
        <v>7.4999999999999997E-2</v>
      </c>
      <c r="S1086">
        <v>9049</v>
      </c>
      <c r="T1086">
        <v>75.400000000000006</v>
      </c>
      <c r="U1086">
        <v>55.6</v>
      </c>
      <c r="V1086">
        <v>2425</v>
      </c>
      <c r="W1086">
        <v>42.7</v>
      </c>
      <c r="X1086">
        <v>71.239999999999995</v>
      </c>
      <c r="Y1086">
        <v>0</v>
      </c>
    </row>
    <row r="1087" spans="1:25" x14ac:dyDescent="0.25">
      <c r="A1087" t="s">
        <v>57</v>
      </c>
      <c r="B1087">
        <f>_xlfn.XLOOKUP(Table4[[#This Row],[country]],Table2[country],Table2[country_id],FALSE)</f>
        <v>23</v>
      </c>
      <c r="C1087" t="s">
        <v>32</v>
      </c>
      <c r="D1087">
        <v>2019</v>
      </c>
      <c r="E1087">
        <f>_xlfn.XLOOKUP(Table4[[#This Row],[year]],Table1[year],Table1[year_id])</f>
        <v>10</v>
      </c>
      <c r="F1087" t="s">
        <v>30</v>
      </c>
      <c r="G1087" t="s">
        <v>28</v>
      </c>
      <c r="H1087" cm="1">
        <f t="array" ref="H1087">_xlfn.XLOOKUP(Table4[[#This Row],[vehicle_segment]]&amp;Table4[[#This Row],[powertrain_type]],Table3[vehicle_segment]&amp;Table3[powertrain_type],Table3[vehicle_id])</f>
        <v>3</v>
      </c>
      <c r="I1087">
        <v>310</v>
      </c>
      <c r="J1087">
        <v>108835</v>
      </c>
      <c r="K1087">
        <v>9464</v>
      </c>
      <c r="L1087">
        <v>118609</v>
      </c>
      <c r="M1087">
        <v>0.26</v>
      </c>
      <c r="N1087">
        <v>298</v>
      </c>
      <c r="O1087">
        <v>9.6999999999999993</v>
      </c>
      <c r="P1087">
        <v>279</v>
      </c>
      <c r="Q1087">
        <v>1.0329999999999999</v>
      </c>
      <c r="R1087">
        <v>7.4999999999999997E-2</v>
      </c>
      <c r="S1087">
        <v>9049</v>
      </c>
      <c r="T1087">
        <v>75.400000000000006</v>
      </c>
      <c r="U1087">
        <v>55.6</v>
      </c>
      <c r="V1087">
        <v>2425</v>
      </c>
      <c r="W1087">
        <v>42.7</v>
      </c>
      <c r="X1087">
        <v>73.180000000000007</v>
      </c>
      <c r="Y1087">
        <v>0</v>
      </c>
    </row>
    <row r="1088" spans="1:25" x14ac:dyDescent="0.25">
      <c r="A1088" t="s">
        <v>57</v>
      </c>
      <c r="B1088">
        <f>_xlfn.XLOOKUP(Table4[[#This Row],[country]],Table2[country],Table2[country_id],FALSE)</f>
        <v>23</v>
      </c>
      <c r="C1088" t="s">
        <v>32</v>
      </c>
      <c r="D1088">
        <v>2020</v>
      </c>
      <c r="E1088">
        <f>_xlfn.XLOOKUP(Table4[[#This Row],[year]],Table1[year],Table1[year_id])</f>
        <v>11</v>
      </c>
      <c r="F1088" t="s">
        <v>27</v>
      </c>
      <c r="G1088" t="s">
        <v>28</v>
      </c>
      <c r="H1088" cm="1">
        <f t="array" ref="H1088">_xlfn.XLOOKUP(Table4[[#This Row],[vehicle_segment]]&amp;Table4[[#This Row],[powertrain_type]],Table3[vehicle_segment]&amp;Table3[powertrain_type],Table3[vehicle_id])</f>
        <v>1</v>
      </c>
      <c r="I1088">
        <v>108</v>
      </c>
      <c r="J1088">
        <v>68430</v>
      </c>
      <c r="K1088">
        <v>45620</v>
      </c>
      <c r="L1088">
        <v>114158</v>
      </c>
      <c r="M1088">
        <v>0.09</v>
      </c>
      <c r="N1088">
        <v>477</v>
      </c>
      <c r="O1088">
        <v>13.7</v>
      </c>
      <c r="P1088">
        <v>308</v>
      </c>
      <c r="Q1088">
        <v>1.0169999999999999</v>
      </c>
      <c r="R1088">
        <v>7.3999999999999996E-2</v>
      </c>
      <c r="S1088">
        <v>9518</v>
      </c>
      <c r="T1088">
        <v>76.5</v>
      </c>
      <c r="U1088">
        <v>54.1</v>
      </c>
      <c r="V1088">
        <v>2697</v>
      </c>
      <c r="W1088">
        <v>46</v>
      </c>
      <c r="X1088">
        <v>72.61</v>
      </c>
      <c r="Y1088">
        <v>0</v>
      </c>
    </row>
    <row r="1089" spans="1:25" x14ac:dyDescent="0.25">
      <c r="A1089" t="s">
        <v>57</v>
      </c>
      <c r="B1089">
        <f>_xlfn.XLOOKUP(Table4[[#This Row],[country]],Table2[country],Table2[country_id],FALSE)</f>
        <v>23</v>
      </c>
      <c r="C1089" t="s">
        <v>32</v>
      </c>
      <c r="D1089">
        <v>2020</v>
      </c>
      <c r="E1089">
        <f>_xlfn.XLOOKUP(Table4[[#This Row],[year]],Table1[year],Table1[year_id])</f>
        <v>11</v>
      </c>
      <c r="F1089" t="s">
        <v>29</v>
      </c>
      <c r="G1089" t="s">
        <v>28</v>
      </c>
      <c r="H1089" cm="1">
        <f t="array" ref="H1089">_xlfn.XLOOKUP(Table4[[#This Row],[vehicle_segment]]&amp;Table4[[#This Row],[powertrain_type]],Table3[vehicle_segment]&amp;Table3[powertrain_type],Table3[vehicle_id])</f>
        <v>2</v>
      </c>
      <c r="I1089">
        <v>1213</v>
      </c>
      <c r="J1089">
        <v>394128</v>
      </c>
      <c r="K1089">
        <v>53745</v>
      </c>
      <c r="L1089">
        <v>449086</v>
      </c>
      <c r="M1089">
        <v>0.27</v>
      </c>
      <c r="N1089">
        <v>477</v>
      </c>
      <c r="O1089">
        <v>13.7</v>
      </c>
      <c r="P1089">
        <v>308</v>
      </c>
      <c r="Q1089">
        <v>1.0169999999999999</v>
      </c>
      <c r="R1089">
        <v>7.3999999999999996E-2</v>
      </c>
      <c r="S1089">
        <v>9518</v>
      </c>
      <c r="T1089">
        <v>76.5</v>
      </c>
      <c r="U1089">
        <v>54.1</v>
      </c>
      <c r="V1089">
        <v>2697</v>
      </c>
      <c r="W1089">
        <v>46</v>
      </c>
      <c r="X1089">
        <v>136.91</v>
      </c>
      <c r="Y1089">
        <v>0</v>
      </c>
    </row>
    <row r="1090" spans="1:25" x14ac:dyDescent="0.25">
      <c r="A1090" t="s">
        <v>57</v>
      </c>
      <c r="B1090">
        <f>_xlfn.XLOOKUP(Table4[[#This Row],[country]],Table2[country],Table2[country_id],FALSE)</f>
        <v>23</v>
      </c>
      <c r="C1090" t="s">
        <v>32</v>
      </c>
      <c r="D1090">
        <v>2020</v>
      </c>
      <c r="E1090">
        <f>_xlfn.XLOOKUP(Table4[[#This Row],[year]],Table1[year],Table1[year_id])</f>
        <v>11</v>
      </c>
      <c r="F1090" t="s">
        <v>30</v>
      </c>
      <c r="G1090" t="s">
        <v>28</v>
      </c>
      <c r="H1090" cm="1">
        <f t="array" ref="H1090">_xlfn.XLOOKUP(Table4[[#This Row],[vehicle_segment]]&amp;Table4[[#This Row],[powertrain_type]],Table3[vehicle_segment]&amp;Table3[powertrain_type],Table3[vehicle_id])</f>
        <v>3</v>
      </c>
      <c r="I1090">
        <v>735</v>
      </c>
      <c r="J1090">
        <v>171968</v>
      </c>
      <c r="K1090">
        <v>14954</v>
      </c>
      <c r="L1090">
        <v>187657</v>
      </c>
      <c r="M1090">
        <v>0.39</v>
      </c>
      <c r="N1090">
        <v>477</v>
      </c>
      <c r="O1090">
        <v>13.7</v>
      </c>
      <c r="P1090">
        <v>308</v>
      </c>
      <c r="Q1090">
        <v>1.0169999999999999</v>
      </c>
      <c r="R1090">
        <v>7.3999999999999996E-2</v>
      </c>
      <c r="S1090">
        <v>9518</v>
      </c>
      <c r="T1090">
        <v>76.5</v>
      </c>
      <c r="U1090">
        <v>54.1</v>
      </c>
      <c r="V1090">
        <v>2697</v>
      </c>
      <c r="W1090">
        <v>46</v>
      </c>
      <c r="X1090">
        <v>137.1</v>
      </c>
      <c r="Y1090">
        <v>0</v>
      </c>
    </row>
    <row r="1091" spans="1:25" x14ac:dyDescent="0.25">
      <c r="A1091" t="s">
        <v>57</v>
      </c>
      <c r="B1091">
        <f>_xlfn.XLOOKUP(Table4[[#This Row],[country]],Table2[country],Table2[country_id],FALSE)</f>
        <v>23</v>
      </c>
      <c r="C1091" t="s">
        <v>32</v>
      </c>
      <c r="D1091">
        <v>2021</v>
      </c>
      <c r="E1091">
        <f>_xlfn.XLOOKUP(Table4[[#This Row],[year]],Table1[year],Table1[year_id])</f>
        <v>12</v>
      </c>
      <c r="F1091" t="s">
        <v>27</v>
      </c>
      <c r="G1091" t="s">
        <v>28</v>
      </c>
      <c r="H1091" cm="1">
        <f t="array" ref="H1091">_xlfn.XLOOKUP(Table4[[#This Row],[vehicle_segment]]&amp;Table4[[#This Row],[powertrain_type]],Table3[vehicle_segment]&amp;Table3[powertrain_type],Table3[vehicle_id])</f>
        <v>1</v>
      </c>
      <c r="I1091">
        <v>260</v>
      </c>
      <c r="J1091">
        <v>68510</v>
      </c>
      <c r="K1091">
        <v>45674</v>
      </c>
      <c r="L1091">
        <v>114444</v>
      </c>
      <c r="M1091">
        <v>0.23</v>
      </c>
      <c r="N1091">
        <v>952</v>
      </c>
      <c r="O1091">
        <v>21.5</v>
      </c>
      <c r="P1091">
        <v>340</v>
      </c>
      <c r="Q1091">
        <v>1.0429999999999999</v>
      </c>
      <c r="R1091">
        <v>7.6999999999999999E-2</v>
      </c>
      <c r="S1091">
        <v>10026</v>
      </c>
      <c r="T1091">
        <v>76.3</v>
      </c>
      <c r="U1091">
        <v>53.8</v>
      </c>
      <c r="V1091">
        <v>2977</v>
      </c>
      <c r="W1091">
        <v>48.6</v>
      </c>
      <c r="X1091">
        <v>140.74</v>
      </c>
      <c r="Y1091">
        <v>0</v>
      </c>
    </row>
    <row r="1092" spans="1:25" x14ac:dyDescent="0.25">
      <c r="A1092" t="s">
        <v>57</v>
      </c>
      <c r="B1092">
        <f>_xlfn.XLOOKUP(Table4[[#This Row],[country]],Table2[country],Table2[country_id],FALSE)</f>
        <v>23</v>
      </c>
      <c r="C1092" t="s">
        <v>32</v>
      </c>
      <c r="D1092">
        <v>2021</v>
      </c>
      <c r="E1092">
        <f>_xlfn.XLOOKUP(Table4[[#This Row],[year]],Table1[year],Table1[year_id])</f>
        <v>12</v>
      </c>
      <c r="F1092" t="s">
        <v>29</v>
      </c>
      <c r="G1092" t="s">
        <v>28</v>
      </c>
      <c r="H1092" cm="1">
        <f t="array" ref="H1092">_xlfn.XLOOKUP(Table4[[#This Row],[vehicle_segment]]&amp;Table4[[#This Row],[powertrain_type]],Table3[vehicle_segment]&amp;Table3[powertrain_type],Table3[vehicle_id])</f>
        <v>2</v>
      </c>
      <c r="I1092">
        <v>3108</v>
      </c>
      <c r="J1092">
        <v>417998</v>
      </c>
      <c r="K1092">
        <v>57000</v>
      </c>
      <c r="L1092">
        <v>478106</v>
      </c>
      <c r="M1092">
        <v>0.65</v>
      </c>
      <c r="N1092">
        <v>952</v>
      </c>
      <c r="O1092">
        <v>21.5</v>
      </c>
      <c r="P1092">
        <v>340</v>
      </c>
      <c r="Q1092">
        <v>1.0429999999999999</v>
      </c>
      <c r="R1092">
        <v>7.6999999999999999E-2</v>
      </c>
      <c r="S1092">
        <v>10026</v>
      </c>
      <c r="T1092">
        <v>76.3</v>
      </c>
      <c r="U1092">
        <v>53.8</v>
      </c>
      <c r="V1092">
        <v>2977</v>
      </c>
      <c r="W1092">
        <v>48.6</v>
      </c>
      <c r="X1092">
        <v>156.22</v>
      </c>
      <c r="Y1092">
        <v>0</v>
      </c>
    </row>
    <row r="1093" spans="1:25" x14ac:dyDescent="0.25">
      <c r="A1093" t="s">
        <v>57</v>
      </c>
      <c r="B1093">
        <f>_xlfn.XLOOKUP(Table4[[#This Row],[country]],Table2[country],Table2[country_id],FALSE)</f>
        <v>23</v>
      </c>
      <c r="C1093" t="s">
        <v>32</v>
      </c>
      <c r="D1093">
        <v>2021</v>
      </c>
      <c r="E1093">
        <f>_xlfn.XLOOKUP(Table4[[#This Row],[year]],Table1[year],Table1[year_id])</f>
        <v>12</v>
      </c>
      <c r="F1093" t="s">
        <v>30</v>
      </c>
      <c r="G1093" t="s">
        <v>28</v>
      </c>
      <c r="H1093" cm="1">
        <f t="array" ref="H1093">_xlfn.XLOOKUP(Table4[[#This Row],[vehicle_segment]]&amp;Table4[[#This Row],[powertrain_type]],Table3[vehicle_segment]&amp;Table3[powertrain_type],Table3[vehicle_id])</f>
        <v>3</v>
      </c>
      <c r="I1093">
        <v>1840</v>
      </c>
      <c r="J1093">
        <v>177944</v>
      </c>
      <c r="K1093">
        <v>15473</v>
      </c>
      <c r="L1093">
        <v>195257</v>
      </c>
      <c r="M1093">
        <v>0.94</v>
      </c>
      <c r="N1093">
        <v>952</v>
      </c>
      <c r="O1093">
        <v>21.5</v>
      </c>
      <c r="P1093">
        <v>340</v>
      </c>
      <c r="Q1093">
        <v>1.0429999999999999</v>
      </c>
      <c r="R1093">
        <v>7.6999999999999999E-2</v>
      </c>
      <c r="S1093">
        <v>10026</v>
      </c>
      <c r="T1093">
        <v>76.3</v>
      </c>
      <c r="U1093">
        <v>53.8</v>
      </c>
      <c r="V1093">
        <v>2977</v>
      </c>
      <c r="W1093">
        <v>48.6</v>
      </c>
      <c r="X1093">
        <v>150.34</v>
      </c>
      <c r="Y1093">
        <v>0</v>
      </c>
    </row>
    <row r="1094" spans="1:25" x14ac:dyDescent="0.25">
      <c r="A1094" t="s">
        <v>57</v>
      </c>
      <c r="B1094">
        <f>_xlfn.XLOOKUP(Table4[[#This Row],[country]],Table2[country],Table2[country_id],FALSE)</f>
        <v>23</v>
      </c>
      <c r="C1094" t="s">
        <v>32</v>
      </c>
      <c r="D1094">
        <v>2022</v>
      </c>
      <c r="E1094">
        <f>_xlfn.XLOOKUP(Table4[[#This Row],[year]],Table1[year],Table1[year_id])</f>
        <v>13</v>
      </c>
      <c r="F1094" t="s">
        <v>27</v>
      </c>
      <c r="G1094" t="s">
        <v>28</v>
      </c>
      <c r="H1094" cm="1">
        <f t="array" ref="H1094">_xlfn.XLOOKUP(Table4[[#This Row],[vehicle_segment]]&amp;Table4[[#This Row],[powertrain_type]],Table3[vehicle_segment]&amp;Table3[powertrain_type],Table3[vehicle_id])</f>
        <v>1</v>
      </c>
      <c r="I1094">
        <v>452</v>
      </c>
      <c r="J1094">
        <v>70795</v>
      </c>
      <c r="K1094">
        <v>47196</v>
      </c>
      <c r="L1094">
        <v>118443</v>
      </c>
      <c r="M1094">
        <v>0.38</v>
      </c>
      <c r="N1094">
        <v>3026</v>
      </c>
      <c r="O1094">
        <v>26.3</v>
      </c>
      <c r="P1094">
        <v>374</v>
      </c>
      <c r="Q1094">
        <v>1.07</v>
      </c>
      <c r="R1094">
        <v>8.3000000000000004E-2</v>
      </c>
      <c r="S1094">
        <v>10587</v>
      </c>
      <c r="T1094">
        <v>76.7</v>
      </c>
      <c r="U1094">
        <v>55</v>
      </c>
      <c r="V1094">
        <v>3235</v>
      </c>
      <c r="W1094">
        <v>52.4</v>
      </c>
      <c r="X1094">
        <v>73.849999999999994</v>
      </c>
      <c r="Y1094">
        <v>0</v>
      </c>
    </row>
    <row r="1095" spans="1:25" x14ac:dyDescent="0.25">
      <c r="A1095" t="s">
        <v>57</v>
      </c>
      <c r="B1095">
        <f>_xlfn.XLOOKUP(Table4[[#This Row],[country]],Table2[country],Table2[country_id],FALSE)</f>
        <v>23</v>
      </c>
      <c r="C1095" t="s">
        <v>32</v>
      </c>
      <c r="D1095">
        <v>2022</v>
      </c>
      <c r="E1095">
        <f>_xlfn.XLOOKUP(Table4[[#This Row],[year]],Table1[year],Table1[year_id])</f>
        <v>13</v>
      </c>
      <c r="F1095" t="s">
        <v>29</v>
      </c>
      <c r="G1095" t="s">
        <v>28</v>
      </c>
      <c r="H1095" cm="1">
        <f t="array" ref="H1095">_xlfn.XLOOKUP(Table4[[#This Row],[vehicle_segment]]&amp;Table4[[#This Row],[powertrain_type]],Table3[vehicle_segment]&amp;Table3[powertrain_type],Table3[vehicle_id])</f>
        <v>2</v>
      </c>
      <c r="I1095">
        <v>5149</v>
      </c>
      <c r="J1095">
        <v>411177</v>
      </c>
      <c r="K1095">
        <v>56070</v>
      </c>
      <c r="L1095">
        <v>472396</v>
      </c>
      <c r="M1095">
        <v>1.0900000000000001</v>
      </c>
      <c r="N1095">
        <v>3026</v>
      </c>
      <c r="O1095">
        <v>26.3</v>
      </c>
      <c r="P1095">
        <v>374</v>
      </c>
      <c r="Q1095">
        <v>1.07</v>
      </c>
      <c r="R1095">
        <v>8.3000000000000004E-2</v>
      </c>
      <c r="S1095">
        <v>10587</v>
      </c>
      <c r="T1095">
        <v>76.7</v>
      </c>
      <c r="U1095">
        <v>55</v>
      </c>
      <c r="V1095">
        <v>3235</v>
      </c>
      <c r="W1095">
        <v>52.4</v>
      </c>
      <c r="X1095">
        <v>65.67</v>
      </c>
      <c r="Y1095">
        <v>0</v>
      </c>
    </row>
    <row r="1096" spans="1:25" x14ac:dyDescent="0.25">
      <c r="A1096" t="s">
        <v>57</v>
      </c>
      <c r="B1096">
        <f>_xlfn.XLOOKUP(Table4[[#This Row],[country]],Table2[country],Table2[country_id],FALSE)</f>
        <v>23</v>
      </c>
      <c r="C1096" t="s">
        <v>32</v>
      </c>
      <c r="D1096">
        <v>2022</v>
      </c>
      <c r="E1096">
        <f>_xlfn.XLOOKUP(Table4[[#This Row],[year]],Table1[year],Table1[year_id])</f>
        <v>13</v>
      </c>
      <c r="F1096" t="s">
        <v>30</v>
      </c>
      <c r="G1096" t="s">
        <v>28</v>
      </c>
      <c r="H1096" cm="1">
        <f t="array" ref="H1096">_xlfn.XLOOKUP(Table4[[#This Row],[vehicle_segment]]&amp;Table4[[#This Row],[powertrain_type]],Table3[vehicle_segment]&amp;Table3[powertrain_type],Table3[vehicle_id])</f>
        <v>3</v>
      </c>
      <c r="I1096">
        <v>3139</v>
      </c>
      <c r="J1096">
        <v>179836</v>
      </c>
      <c r="K1096">
        <v>15638</v>
      </c>
      <c r="L1096">
        <v>198613</v>
      </c>
      <c r="M1096">
        <v>1.58</v>
      </c>
      <c r="N1096">
        <v>3026</v>
      </c>
      <c r="O1096">
        <v>26.3</v>
      </c>
      <c r="P1096">
        <v>374</v>
      </c>
      <c r="Q1096">
        <v>1.07</v>
      </c>
      <c r="R1096">
        <v>8.3000000000000004E-2</v>
      </c>
      <c r="S1096">
        <v>10587</v>
      </c>
      <c r="T1096">
        <v>76.7</v>
      </c>
      <c r="U1096">
        <v>55</v>
      </c>
      <c r="V1096">
        <v>3235</v>
      </c>
      <c r="W1096">
        <v>52.4</v>
      </c>
      <c r="X1096">
        <v>70.599999999999994</v>
      </c>
      <c r="Y1096">
        <v>0</v>
      </c>
    </row>
    <row r="1097" spans="1:25" x14ac:dyDescent="0.25">
      <c r="A1097" t="s">
        <v>57</v>
      </c>
      <c r="B1097">
        <f>_xlfn.XLOOKUP(Table4[[#This Row],[country]],Table2[country],Table2[country_id],FALSE)</f>
        <v>23</v>
      </c>
      <c r="C1097" t="s">
        <v>32</v>
      </c>
      <c r="D1097">
        <v>2023</v>
      </c>
      <c r="E1097">
        <f>_xlfn.XLOOKUP(Table4[[#This Row],[year]],Table1[year],Table1[year_id])</f>
        <v>14</v>
      </c>
      <c r="F1097" t="s">
        <v>27</v>
      </c>
      <c r="G1097" t="s">
        <v>28</v>
      </c>
      <c r="H1097" cm="1">
        <f t="array" ref="H1097">_xlfn.XLOOKUP(Table4[[#This Row],[vehicle_segment]]&amp;Table4[[#This Row],[powertrain_type]],Table3[vehicle_segment]&amp;Table3[powertrain_type],Table3[vehicle_id])</f>
        <v>1</v>
      </c>
      <c r="I1097">
        <v>4067</v>
      </c>
      <c r="J1097">
        <v>104809</v>
      </c>
      <c r="K1097">
        <v>69873</v>
      </c>
      <c r="L1097">
        <v>178749</v>
      </c>
      <c r="M1097">
        <v>2.2799999999999998</v>
      </c>
      <c r="N1097">
        <v>9970</v>
      </c>
      <c r="O1097">
        <v>31.1</v>
      </c>
      <c r="P1097">
        <v>395</v>
      </c>
      <c r="Q1097">
        <v>1.083</v>
      </c>
      <c r="R1097">
        <v>8.7999999999999995E-2</v>
      </c>
      <c r="S1097">
        <v>11100</v>
      </c>
      <c r="T1097">
        <v>77.5</v>
      </c>
      <c r="U1097">
        <v>55.5</v>
      </c>
      <c r="V1097">
        <v>3517</v>
      </c>
      <c r="W1097">
        <v>55.1</v>
      </c>
      <c r="X1097">
        <v>300</v>
      </c>
      <c r="Y1097">
        <v>0</v>
      </c>
    </row>
    <row r="1098" spans="1:25" x14ac:dyDescent="0.25">
      <c r="A1098" t="s">
        <v>57</v>
      </c>
      <c r="B1098">
        <f>_xlfn.XLOOKUP(Table4[[#This Row],[country]],Table2[country],Table2[country_id],FALSE)</f>
        <v>23</v>
      </c>
      <c r="C1098" t="s">
        <v>32</v>
      </c>
      <c r="D1098">
        <v>2023</v>
      </c>
      <c r="E1098">
        <f>_xlfn.XLOOKUP(Table4[[#This Row],[year]],Table1[year],Table1[year_id])</f>
        <v>14</v>
      </c>
      <c r="F1098" t="s">
        <v>29</v>
      </c>
      <c r="G1098" t="s">
        <v>28</v>
      </c>
      <c r="H1098" cm="1">
        <f t="array" ref="H1098">_xlfn.XLOOKUP(Table4[[#This Row],[vehicle_segment]]&amp;Table4[[#This Row],[powertrain_type]],Table3[vehicle_segment]&amp;Table3[powertrain_type],Table3[vehicle_id])</f>
        <v>2</v>
      </c>
      <c r="I1098">
        <v>46300</v>
      </c>
      <c r="J1098">
        <v>586080</v>
      </c>
      <c r="K1098">
        <v>79920</v>
      </c>
      <c r="L1098">
        <v>712300</v>
      </c>
      <c r="M1098">
        <v>6.5</v>
      </c>
      <c r="N1098">
        <v>9970</v>
      </c>
      <c r="O1098">
        <v>31.1</v>
      </c>
      <c r="P1098">
        <v>395</v>
      </c>
      <c r="Q1098">
        <v>1.083</v>
      </c>
      <c r="R1098">
        <v>8.7999999999999995E-2</v>
      </c>
      <c r="S1098">
        <v>11100</v>
      </c>
      <c r="T1098">
        <v>77.5</v>
      </c>
      <c r="U1098">
        <v>55.5</v>
      </c>
      <c r="V1098">
        <v>3517</v>
      </c>
      <c r="W1098">
        <v>55.1</v>
      </c>
      <c r="X1098">
        <v>300</v>
      </c>
      <c r="Y1098">
        <v>0</v>
      </c>
    </row>
    <row r="1099" spans="1:25" x14ac:dyDescent="0.25">
      <c r="A1099" t="s">
        <v>57</v>
      </c>
      <c r="B1099">
        <f>_xlfn.XLOOKUP(Table4[[#This Row],[country]],Table2[country],Table2[country_id],FALSE)</f>
        <v>23</v>
      </c>
      <c r="C1099" t="s">
        <v>32</v>
      </c>
      <c r="D1099">
        <v>2023</v>
      </c>
      <c r="E1099">
        <f>_xlfn.XLOOKUP(Table4[[#This Row],[year]],Table1[year],Table1[year_id])</f>
        <v>14</v>
      </c>
      <c r="F1099" t="s">
        <v>30</v>
      </c>
      <c r="G1099" t="s">
        <v>28</v>
      </c>
      <c r="H1099" cm="1">
        <f t="array" ref="H1099">_xlfn.XLOOKUP(Table4[[#This Row],[vehicle_segment]]&amp;Table4[[#This Row],[powertrain_type]],Table3[vehicle_segment]&amp;Table3[powertrain_type],Table3[vehicle_id])</f>
        <v>3</v>
      </c>
      <c r="I1099">
        <v>28260</v>
      </c>
      <c r="J1099">
        <v>249855</v>
      </c>
      <c r="K1099">
        <v>21727</v>
      </c>
      <c r="L1099">
        <v>299842</v>
      </c>
      <c r="M1099">
        <v>9.42</v>
      </c>
      <c r="N1099">
        <v>9970</v>
      </c>
      <c r="O1099">
        <v>31.1</v>
      </c>
      <c r="P1099">
        <v>395</v>
      </c>
      <c r="Q1099">
        <v>1.083</v>
      </c>
      <c r="R1099">
        <v>8.7999999999999995E-2</v>
      </c>
      <c r="S1099">
        <v>11100</v>
      </c>
      <c r="T1099">
        <v>77.5</v>
      </c>
      <c r="U1099">
        <v>55.5</v>
      </c>
      <c r="V1099">
        <v>3517</v>
      </c>
      <c r="W1099">
        <v>55.1</v>
      </c>
      <c r="X1099">
        <v>300</v>
      </c>
      <c r="Y1099">
        <v>0</v>
      </c>
    </row>
    <row r="1100" spans="1:25" x14ac:dyDescent="0.25">
      <c r="A1100" t="s">
        <v>57</v>
      </c>
      <c r="B1100">
        <f>_xlfn.XLOOKUP(Table4[[#This Row],[country]],Table2[country],Table2[country_id],FALSE)</f>
        <v>23</v>
      </c>
      <c r="C1100" t="s">
        <v>32</v>
      </c>
      <c r="D1100">
        <v>2024</v>
      </c>
      <c r="E1100">
        <f>_xlfn.XLOOKUP(Table4[[#This Row],[year]],Table1[year],Table1[year_id])</f>
        <v>15</v>
      </c>
      <c r="F1100" t="s">
        <v>27</v>
      </c>
      <c r="G1100" t="s">
        <v>28</v>
      </c>
      <c r="H1100" cm="1">
        <f t="array" ref="H1100">_xlfn.XLOOKUP(Table4[[#This Row],[vehicle_segment]]&amp;Table4[[#This Row],[powertrain_type]],Table3[vehicle_segment]&amp;Table3[powertrain_type],Table3[vehicle_id])</f>
        <v>1</v>
      </c>
      <c r="I1100">
        <v>5567</v>
      </c>
      <c r="J1100">
        <v>96900</v>
      </c>
      <c r="K1100">
        <v>64600</v>
      </c>
      <c r="L1100">
        <v>167067</v>
      </c>
      <c r="M1100">
        <v>3.33</v>
      </c>
      <c r="N1100">
        <v>18314</v>
      </c>
      <c r="O1100">
        <v>27.7</v>
      </c>
      <c r="P1100">
        <v>418</v>
      </c>
      <c r="Q1100">
        <v>1.06</v>
      </c>
      <c r="R1100">
        <v>9.4E-2</v>
      </c>
      <c r="S1100">
        <v>11175</v>
      </c>
      <c r="T1100">
        <v>77.7</v>
      </c>
      <c r="U1100">
        <v>54.4</v>
      </c>
      <c r="V1100">
        <v>3486</v>
      </c>
      <c r="W1100">
        <v>58.1</v>
      </c>
      <c r="X1100">
        <v>36.880000000000003</v>
      </c>
      <c r="Y1100">
        <v>0</v>
      </c>
    </row>
    <row r="1101" spans="1:25" x14ac:dyDescent="0.25">
      <c r="A1101" t="s">
        <v>57</v>
      </c>
      <c r="B1101">
        <f>_xlfn.XLOOKUP(Table4[[#This Row],[country]],Table2[country],Table2[country_id],FALSE)</f>
        <v>23</v>
      </c>
      <c r="C1101" t="s">
        <v>32</v>
      </c>
      <c r="D1101">
        <v>2024</v>
      </c>
      <c r="E1101">
        <f>_xlfn.XLOOKUP(Table4[[#This Row],[year]],Table1[year],Table1[year_id])</f>
        <v>15</v>
      </c>
      <c r="F1101" t="s">
        <v>29</v>
      </c>
      <c r="G1101" t="s">
        <v>28</v>
      </c>
      <c r="H1101" cm="1">
        <f t="array" ref="H1101">_xlfn.XLOOKUP(Table4[[#This Row],[vehicle_segment]]&amp;Table4[[#This Row],[powertrain_type]],Table3[vehicle_segment]&amp;Table3[powertrain_type],Table3[vehicle_id])</f>
        <v>2</v>
      </c>
      <c r="I1101">
        <v>63742</v>
      </c>
      <c r="J1101">
        <v>533118</v>
      </c>
      <c r="K1101">
        <v>72698</v>
      </c>
      <c r="L1101">
        <v>669558</v>
      </c>
      <c r="M1101">
        <v>9.52</v>
      </c>
      <c r="N1101">
        <v>18314</v>
      </c>
      <c r="O1101">
        <v>27.7</v>
      </c>
      <c r="P1101">
        <v>418</v>
      </c>
      <c r="Q1101">
        <v>1.06</v>
      </c>
      <c r="R1101">
        <v>9.4E-2</v>
      </c>
      <c r="S1101">
        <v>11175</v>
      </c>
      <c r="T1101">
        <v>77.7</v>
      </c>
      <c r="U1101">
        <v>54.4</v>
      </c>
      <c r="V1101">
        <v>3486</v>
      </c>
      <c r="W1101">
        <v>58.1</v>
      </c>
      <c r="X1101">
        <v>37.67</v>
      </c>
      <c r="Y1101">
        <v>0</v>
      </c>
    </row>
    <row r="1102" spans="1:25" x14ac:dyDescent="0.25">
      <c r="A1102" t="s">
        <v>57</v>
      </c>
      <c r="B1102">
        <f>_xlfn.XLOOKUP(Table4[[#This Row],[country]],Table2[country],Table2[country_id],FALSE)</f>
        <v>23</v>
      </c>
      <c r="C1102" t="s">
        <v>32</v>
      </c>
      <c r="D1102">
        <v>2024</v>
      </c>
      <c r="E1102">
        <f>_xlfn.XLOOKUP(Table4[[#This Row],[year]],Table1[year],Table1[year_id])</f>
        <v>15</v>
      </c>
      <c r="F1102" t="s">
        <v>30</v>
      </c>
      <c r="G1102" t="s">
        <v>28</v>
      </c>
      <c r="H1102" cm="1">
        <f t="array" ref="H1102">_xlfn.XLOOKUP(Table4[[#This Row],[vehicle_segment]]&amp;Table4[[#This Row],[powertrain_type]],Table3[vehicle_segment]&amp;Table3[powertrain_type],Table3[vehicle_id])</f>
        <v>3</v>
      </c>
      <c r="I1102">
        <v>38925</v>
      </c>
      <c r="J1102">
        <v>223612</v>
      </c>
      <c r="K1102">
        <v>19445</v>
      </c>
      <c r="L1102">
        <v>281982</v>
      </c>
      <c r="M1102">
        <v>13.8</v>
      </c>
      <c r="N1102">
        <v>18314</v>
      </c>
      <c r="O1102">
        <v>27.7</v>
      </c>
      <c r="P1102">
        <v>418</v>
      </c>
      <c r="Q1102">
        <v>1.06</v>
      </c>
      <c r="R1102">
        <v>9.4E-2</v>
      </c>
      <c r="S1102">
        <v>11175</v>
      </c>
      <c r="T1102">
        <v>77.7</v>
      </c>
      <c r="U1102">
        <v>54.4</v>
      </c>
      <c r="V1102">
        <v>3486</v>
      </c>
      <c r="W1102">
        <v>58.1</v>
      </c>
      <c r="X1102">
        <v>37.74</v>
      </c>
      <c r="Y1102">
        <v>0</v>
      </c>
    </row>
    <row r="1103" spans="1:25" x14ac:dyDescent="0.25">
      <c r="A1103" t="s">
        <v>57</v>
      </c>
      <c r="B1103">
        <f>_xlfn.XLOOKUP(Table4[[#This Row],[country]],Table2[country],Table2[country_id],FALSE)</f>
        <v>23</v>
      </c>
      <c r="C1103" t="s">
        <v>32</v>
      </c>
      <c r="D1103">
        <v>2025</v>
      </c>
      <c r="E1103">
        <f>_xlfn.XLOOKUP(Table4[[#This Row],[year]],Table1[year],Table1[year_id])</f>
        <v>16</v>
      </c>
      <c r="F1103" t="s">
        <v>27</v>
      </c>
      <c r="G1103" t="s">
        <v>28</v>
      </c>
      <c r="H1103" cm="1">
        <f t="array" ref="H1103">_xlfn.XLOOKUP(Table4[[#This Row],[vehicle_segment]]&amp;Table4[[#This Row],[powertrain_type]],Table3[vehicle_segment]&amp;Table3[powertrain_type],Table3[vehicle_id])</f>
        <v>1</v>
      </c>
      <c r="I1103">
        <v>6105</v>
      </c>
      <c r="J1103">
        <v>93067</v>
      </c>
      <c r="K1103">
        <v>62044</v>
      </c>
      <c r="L1103">
        <v>161216</v>
      </c>
      <c r="M1103">
        <v>3.79</v>
      </c>
      <c r="N1103">
        <v>27835</v>
      </c>
      <c r="O1103">
        <v>36.5</v>
      </c>
      <c r="P1103">
        <v>434</v>
      </c>
      <c r="Q1103">
        <v>1.02</v>
      </c>
      <c r="R1103">
        <v>0.1</v>
      </c>
      <c r="S1103">
        <v>11439</v>
      </c>
      <c r="T1103">
        <v>77.400000000000006</v>
      </c>
      <c r="U1103">
        <v>53.9</v>
      </c>
      <c r="V1103">
        <v>3515</v>
      </c>
      <c r="W1103">
        <v>61</v>
      </c>
      <c r="X1103">
        <v>9.66</v>
      </c>
      <c r="Y1103">
        <v>0</v>
      </c>
    </row>
    <row r="1104" spans="1:25" x14ac:dyDescent="0.25">
      <c r="A1104" t="s">
        <v>57</v>
      </c>
      <c r="B1104">
        <f>_xlfn.XLOOKUP(Table4[[#This Row],[country]],Table2[country],Table2[country_id],FALSE)</f>
        <v>23</v>
      </c>
      <c r="C1104" t="s">
        <v>32</v>
      </c>
      <c r="D1104">
        <v>2025</v>
      </c>
      <c r="E1104">
        <f>_xlfn.XLOOKUP(Table4[[#This Row],[year]],Table1[year],Table1[year_id])</f>
        <v>16</v>
      </c>
      <c r="F1104" t="s">
        <v>29</v>
      </c>
      <c r="G1104" t="s">
        <v>28</v>
      </c>
      <c r="H1104" cm="1">
        <f t="array" ref="H1104">_xlfn.XLOOKUP(Table4[[#This Row],[vehicle_segment]]&amp;Table4[[#This Row],[powertrain_type]],Table3[vehicle_segment]&amp;Table3[powertrain_type],Table3[vehicle_id])</f>
        <v>2</v>
      </c>
      <c r="I1104">
        <v>70514</v>
      </c>
      <c r="J1104">
        <v>511448</v>
      </c>
      <c r="K1104">
        <v>69743</v>
      </c>
      <c r="L1104">
        <v>651705</v>
      </c>
      <c r="M1104">
        <v>10.82</v>
      </c>
      <c r="N1104">
        <v>27835</v>
      </c>
      <c r="O1104">
        <v>36.5</v>
      </c>
      <c r="P1104">
        <v>434</v>
      </c>
      <c r="Q1104">
        <v>1.02</v>
      </c>
      <c r="R1104">
        <v>0.1</v>
      </c>
      <c r="S1104">
        <v>11439</v>
      </c>
      <c r="T1104">
        <v>77.400000000000006</v>
      </c>
      <c r="U1104">
        <v>53.9</v>
      </c>
      <c r="V1104">
        <v>3515</v>
      </c>
      <c r="W1104">
        <v>61</v>
      </c>
      <c r="X1104">
        <v>10.62</v>
      </c>
      <c r="Y1104">
        <v>0</v>
      </c>
    </row>
    <row r="1105" spans="1:25" x14ac:dyDescent="0.25">
      <c r="A1105" t="s">
        <v>57</v>
      </c>
      <c r="B1105">
        <f>_xlfn.XLOOKUP(Table4[[#This Row],[country]],Table2[country],Table2[country_id],FALSE)</f>
        <v>23</v>
      </c>
      <c r="C1105" t="s">
        <v>32</v>
      </c>
      <c r="D1105">
        <v>2025</v>
      </c>
      <c r="E1105">
        <f>_xlfn.XLOOKUP(Table4[[#This Row],[year]],Table1[year],Table1[year_id])</f>
        <v>16</v>
      </c>
      <c r="F1105" t="s">
        <v>30</v>
      </c>
      <c r="G1105" t="s">
        <v>28</v>
      </c>
      <c r="H1105" cm="1">
        <f t="array" ref="H1105">_xlfn.XLOOKUP(Table4[[#This Row],[vehicle_segment]]&amp;Table4[[#This Row],[powertrain_type]],Table3[vehicle_segment]&amp;Table3[powertrain_type],Table3[vehicle_id])</f>
        <v>3</v>
      </c>
      <c r="I1105">
        <v>42921</v>
      </c>
      <c r="J1105">
        <v>212204</v>
      </c>
      <c r="K1105">
        <v>18452</v>
      </c>
      <c r="L1105">
        <v>273577</v>
      </c>
      <c r="M1105">
        <v>15.69</v>
      </c>
      <c r="N1105">
        <v>27835</v>
      </c>
      <c r="O1105">
        <v>36.5</v>
      </c>
      <c r="P1105">
        <v>434</v>
      </c>
      <c r="Q1105">
        <v>1.02</v>
      </c>
      <c r="R1105">
        <v>0.1</v>
      </c>
      <c r="S1105">
        <v>11439</v>
      </c>
      <c r="T1105">
        <v>77.400000000000006</v>
      </c>
      <c r="U1105">
        <v>53.9</v>
      </c>
      <c r="V1105">
        <v>3515</v>
      </c>
      <c r="W1105">
        <v>61</v>
      </c>
      <c r="X1105">
        <v>10.27</v>
      </c>
      <c r="Y1105">
        <v>0</v>
      </c>
    </row>
    <row r="1106" spans="1:25" x14ac:dyDescent="0.25">
      <c r="A1106" t="s">
        <v>58</v>
      </c>
      <c r="B1106">
        <f>_xlfn.XLOOKUP(Table4[[#This Row],[country]],Table2[country],Table2[country_id],FALSE)</f>
        <v>24</v>
      </c>
      <c r="C1106" t="s">
        <v>32</v>
      </c>
      <c r="D1106">
        <v>2010</v>
      </c>
      <c r="E1106">
        <f>_xlfn.XLOOKUP(Table4[[#This Row],[year]],Table1[year],Table1[year_id])</f>
        <v>1</v>
      </c>
      <c r="F1106" t="s">
        <v>27</v>
      </c>
      <c r="G1106" t="s">
        <v>28</v>
      </c>
      <c r="H1106" cm="1">
        <f t="array" ref="H1106">_xlfn.XLOOKUP(Table4[[#This Row],[vehicle_segment]]&amp;Table4[[#This Row],[powertrain_type]],Table3[vehicle_segment]&amp;Table3[powertrain_type],Table3[vehicle_id])</f>
        <v>1</v>
      </c>
      <c r="I1106">
        <v>35</v>
      </c>
      <c r="J1106">
        <v>182996</v>
      </c>
      <c r="K1106">
        <v>122020</v>
      </c>
      <c r="L1106">
        <v>305051</v>
      </c>
      <c r="M1106">
        <v>0.01</v>
      </c>
      <c r="N1106">
        <v>104</v>
      </c>
      <c r="O1106">
        <v>3</v>
      </c>
      <c r="P1106">
        <v>114</v>
      </c>
      <c r="Q1106">
        <v>1.43</v>
      </c>
      <c r="R1106">
        <v>0.158</v>
      </c>
      <c r="S1106">
        <v>38619</v>
      </c>
      <c r="T1106">
        <v>81</v>
      </c>
      <c r="U1106">
        <v>118.2</v>
      </c>
      <c r="V1106">
        <v>5030</v>
      </c>
      <c r="W1106">
        <v>54.9</v>
      </c>
      <c r="X1106">
        <v>0</v>
      </c>
      <c r="Y1106">
        <v>0</v>
      </c>
    </row>
    <row r="1107" spans="1:25" x14ac:dyDescent="0.25">
      <c r="A1107" t="s">
        <v>58</v>
      </c>
      <c r="B1107">
        <f>_xlfn.XLOOKUP(Table4[[#This Row],[country]],Table2[country],Table2[country_id],FALSE)</f>
        <v>24</v>
      </c>
      <c r="C1107" t="s">
        <v>32</v>
      </c>
      <c r="D1107">
        <v>2010</v>
      </c>
      <c r="E1107">
        <f>_xlfn.XLOOKUP(Table4[[#This Row],[year]],Table1[year],Table1[year_id])</f>
        <v>1</v>
      </c>
      <c r="F1107" t="s">
        <v>29</v>
      </c>
      <c r="G1107" t="s">
        <v>28</v>
      </c>
      <c r="H1107" cm="1">
        <f t="array" ref="H1107">_xlfn.XLOOKUP(Table4[[#This Row],[vehicle_segment]]&amp;Table4[[#This Row],[powertrain_type]],Table3[vehicle_segment]&amp;Table3[powertrain_type],Table3[vehicle_id])</f>
        <v>2</v>
      </c>
      <c r="I1107">
        <v>414</v>
      </c>
      <c r="J1107">
        <v>1066605</v>
      </c>
      <c r="K1107">
        <v>145503</v>
      </c>
      <c r="L1107">
        <v>1212522</v>
      </c>
      <c r="M1107">
        <v>0.03</v>
      </c>
      <c r="N1107">
        <v>104</v>
      </c>
      <c r="O1107">
        <v>3</v>
      </c>
      <c r="P1107">
        <v>114</v>
      </c>
      <c r="Q1107">
        <v>1.43</v>
      </c>
      <c r="R1107">
        <v>0.158</v>
      </c>
      <c r="S1107">
        <v>38619</v>
      </c>
      <c r="T1107">
        <v>81</v>
      </c>
      <c r="U1107">
        <v>118.2</v>
      </c>
      <c r="V1107">
        <v>5030</v>
      </c>
      <c r="W1107">
        <v>54.9</v>
      </c>
      <c r="X1107">
        <v>0</v>
      </c>
      <c r="Y1107">
        <v>0</v>
      </c>
    </row>
    <row r="1108" spans="1:25" x14ac:dyDescent="0.25">
      <c r="A1108" t="s">
        <v>58</v>
      </c>
      <c r="B1108">
        <f>_xlfn.XLOOKUP(Table4[[#This Row],[country]],Table2[country],Table2[country_id],FALSE)</f>
        <v>24</v>
      </c>
      <c r="C1108" t="s">
        <v>32</v>
      </c>
      <c r="D1108">
        <v>2010</v>
      </c>
      <c r="E1108">
        <f>_xlfn.XLOOKUP(Table4[[#This Row],[year]],Table1[year],Table1[year_id])</f>
        <v>1</v>
      </c>
      <c r="F1108" t="s">
        <v>30</v>
      </c>
      <c r="G1108" t="s">
        <v>28</v>
      </c>
      <c r="H1108" cm="1">
        <f t="array" ref="H1108">_xlfn.XLOOKUP(Table4[[#This Row],[vehicle_segment]]&amp;Table4[[#This Row],[powertrain_type]],Table3[vehicle_segment]&amp;Table3[powertrain_type],Table3[vehicle_id])</f>
        <v>3</v>
      </c>
      <c r="I1108">
        <v>226</v>
      </c>
      <c r="J1108">
        <v>460859</v>
      </c>
      <c r="K1108">
        <v>40094</v>
      </c>
      <c r="L1108">
        <v>501179</v>
      </c>
      <c r="M1108">
        <v>0.05</v>
      </c>
      <c r="N1108">
        <v>104</v>
      </c>
      <c r="O1108">
        <v>3</v>
      </c>
      <c r="P1108">
        <v>114</v>
      </c>
      <c r="Q1108">
        <v>1.43</v>
      </c>
      <c r="R1108">
        <v>0.158</v>
      </c>
      <c r="S1108">
        <v>38619</v>
      </c>
      <c r="T1108">
        <v>81</v>
      </c>
      <c r="U1108">
        <v>118.2</v>
      </c>
      <c r="V1108">
        <v>5030</v>
      </c>
      <c r="W1108">
        <v>54.9</v>
      </c>
      <c r="X1108">
        <v>0</v>
      </c>
      <c r="Y1108">
        <v>0</v>
      </c>
    </row>
    <row r="1109" spans="1:25" x14ac:dyDescent="0.25">
      <c r="A1109" t="s">
        <v>58</v>
      </c>
      <c r="B1109">
        <f>_xlfn.XLOOKUP(Table4[[#This Row],[country]],Table2[country],Table2[country_id],FALSE)</f>
        <v>24</v>
      </c>
      <c r="C1109" t="s">
        <v>32</v>
      </c>
      <c r="D1109">
        <v>2011</v>
      </c>
      <c r="E1109">
        <f>_xlfn.XLOOKUP(Table4[[#This Row],[year]],Table1[year],Table1[year_id])</f>
        <v>2</v>
      </c>
      <c r="F1109" t="s">
        <v>27</v>
      </c>
      <c r="G1109" t="s">
        <v>28</v>
      </c>
      <c r="H1109" cm="1">
        <f t="array" ref="H1109">_xlfn.XLOOKUP(Table4[[#This Row],[vehicle_segment]]&amp;Table4[[#This Row],[powertrain_type]],Table3[vehicle_segment]&amp;Table3[powertrain_type],Table3[vehicle_id])</f>
        <v>1</v>
      </c>
      <c r="I1109">
        <v>76</v>
      </c>
      <c r="J1109">
        <v>185246</v>
      </c>
      <c r="K1109">
        <v>123497</v>
      </c>
      <c r="L1109">
        <v>308819</v>
      </c>
      <c r="M1109">
        <v>0.02</v>
      </c>
      <c r="N1109">
        <v>605</v>
      </c>
      <c r="O1109">
        <v>4.4000000000000004</v>
      </c>
      <c r="P1109">
        <v>120</v>
      </c>
      <c r="Q1109">
        <v>1.4</v>
      </c>
      <c r="R1109">
        <v>0.16800000000000001</v>
      </c>
      <c r="S1109">
        <v>40135</v>
      </c>
      <c r="T1109">
        <v>81.599999999999994</v>
      </c>
      <c r="U1109">
        <v>121.8</v>
      </c>
      <c r="V1109">
        <v>5006</v>
      </c>
      <c r="W1109">
        <v>56.9</v>
      </c>
      <c r="X1109">
        <v>117.14</v>
      </c>
      <c r="Y1109">
        <v>0</v>
      </c>
    </row>
    <row r="1110" spans="1:25" x14ac:dyDescent="0.25">
      <c r="A1110" t="s">
        <v>58</v>
      </c>
      <c r="B1110">
        <f>_xlfn.XLOOKUP(Table4[[#This Row],[country]],Table2[country],Table2[country_id],FALSE)</f>
        <v>24</v>
      </c>
      <c r="C1110" t="s">
        <v>32</v>
      </c>
      <c r="D1110">
        <v>2011</v>
      </c>
      <c r="E1110">
        <f>_xlfn.XLOOKUP(Table4[[#This Row],[year]],Table1[year],Table1[year_id])</f>
        <v>2</v>
      </c>
      <c r="F1110" t="s">
        <v>29</v>
      </c>
      <c r="G1110" t="s">
        <v>28</v>
      </c>
      <c r="H1110" cm="1">
        <f t="array" ref="H1110">_xlfn.XLOOKUP(Table4[[#This Row],[vehicle_segment]]&amp;Table4[[#This Row],[powertrain_type]],Table3[vehicle_segment]&amp;Table3[powertrain_type],Table3[vehicle_id])</f>
        <v>2</v>
      </c>
      <c r="I1110">
        <v>872</v>
      </c>
      <c r="J1110">
        <v>1095633</v>
      </c>
      <c r="K1110">
        <v>149404</v>
      </c>
      <c r="L1110">
        <v>1245909</v>
      </c>
      <c r="M1110">
        <v>7.0000000000000007E-2</v>
      </c>
      <c r="N1110">
        <v>605</v>
      </c>
      <c r="O1110">
        <v>4.4000000000000004</v>
      </c>
      <c r="P1110">
        <v>120</v>
      </c>
      <c r="Q1110">
        <v>1.4</v>
      </c>
      <c r="R1110">
        <v>0.16800000000000001</v>
      </c>
      <c r="S1110">
        <v>40135</v>
      </c>
      <c r="T1110">
        <v>81.599999999999994</v>
      </c>
      <c r="U1110">
        <v>121.8</v>
      </c>
      <c r="V1110">
        <v>5006</v>
      </c>
      <c r="W1110">
        <v>56.9</v>
      </c>
      <c r="X1110">
        <v>110.63</v>
      </c>
      <c r="Y1110">
        <v>0</v>
      </c>
    </row>
    <row r="1111" spans="1:25" x14ac:dyDescent="0.25">
      <c r="A1111" t="s">
        <v>58</v>
      </c>
      <c r="B1111">
        <f>_xlfn.XLOOKUP(Table4[[#This Row],[country]],Table2[country],Table2[country_id],FALSE)</f>
        <v>24</v>
      </c>
      <c r="C1111" t="s">
        <v>32</v>
      </c>
      <c r="D1111">
        <v>2011</v>
      </c>
      <c r="E1111">
        <f>_xlfn.XLOOKUP(Table4[[#This Row],[year]],Table1[year],Table1[year_id])</f>
        <v>2</v>
      </c>
      <c r="F1111" t="s">
        <v>30</v>
      </c>
      <c r="G1111" t="s">
        <v>28</v>
      </c>
      <c r="H1111" cm="1">
        <f t="array" ref="H1111">_xlfn.XLOOKUP(Table4[[#This Row],[vehicle_segment]]&amp;Table4[[#This Row],[powertrain_type]],Table3[vehicle_segment]&amp;Table3[powertrain_type],Table3[vehicle_id])</f>
        <v>3</v>
      </c>
      <c r="I1111">
        <v>520</v>
      </c>
      <c r="J1111">
        <v>470904</v>
      </c>
      <c r="K1111">
        <v>40948</v>
      </c>
      <c r="L1111">
        <v>512372</v>
      </c>
      <c r="M1111">
        <v>0.1</v>
      </c>
      <c r="N1111">
        <v>605</v>
      </c>
      <c r="O1111">
        <v>4.4000000000000004</v>
      </c>
      <c r="P1111">
        <v>120</v>
      </c>
      <c r="Q1111">
        <v>1.4</v>
      </c>
      <c r="R1111">
        <v>0.16800000000000001</v>
      </c>
      <c r="S1111">
        <v>40135</v>
      </c>
      <c r="T1111">
        <v>81.599999999999994</v>
      </c>
      <c r="U1111">
        <v>121.8</v>
      </c>
      <c r="V1111">
        <v>5006</v>
      </c>
      <c r="W1111">
        <v>56.9</v>
      </c>
      <c r="X1111">
        <v>130.09</v>
      </c>
      <c r="Y1111">
        <v>0</v>
      </c>
    </row>
    <row r="1112" spans="1:25" x14ac:dyDescent="0.25">
      <c r="A1112" t="s">
        <v>58</v>
      </c>
      <c r="B1112">
        <f>_xlfn.XLOOKUP(Table4[[#This Row],[country]],Table2[country],Table2[country_id],FALSE)</f>
        <v>24</v>
      </c>
      <c r="C1112" t="s">
        <v>32</v>
      </c>
      <c r="D1112">
        <v>2012</v>
      </c>
      <c r="E1112">
        <f>_xlfn.XLOOKUP(Table4[[#This Row],[year]],Table1[year],Table1[year_id])</f>
        <v>3</v>
      </c>
      <c r="F1112" t="s">
        <v>27</v>
      </c>
      <c r="G1112" t="s">
        <v>28</v>
      </c>
      <c r="H1112" cm="1">
        <f t="array" ref="H1112">_xlfn.XLOOKUP(Table4[[#This Row],[vehicle_segment]]&amp;Table4[[#This Row],[powertrain_type]],Table3[vehicle_segment]&amp;Table3[powertrain_type],Table3[vehicle_id])</f>
        <v>1</v>
      </c>
      <c r="I1112">
        <v>126</v>
      </c>
      <c r="J1112">
        <v>196380</v>
      </c>
      <c r="K1112">
        <v>130920</v>
      </c>
      <c r="L1112">
        <v>327426</v>
      </c>
      <c r="M1112">
        <v>0.04</v>
      </c>
      <c r="N1112">
        <v>1046</v>
      </c>
      <c r="O1112">
        <v>5.3</v>
      </c>
      <c r="P1112">
        <v>140</v>
      </c>
      <c r="Q1112">
        <v>1.39</v>
      </c>
      <c r="R1112">
        <v>0.17599999999999999</v>
      </c>
      <c r="S1112">
        <v>41128</v>
      </c>
      <c r="T1112">
        <v>81.8</v>
      </c>
      <c r="U1112">
        <v>124.1</v>
      </c>
      <c r="V1112">
        <v>5017</v>
      </c>
      <c r="W1112">
        <v>59.6</v>
      </c>
      <c r="X1112">
        <v>89.74</v>
      </c>
      <c r="Y1112">
        <v>0</v>
      </c>
    </row>
    <row r="1113" spans="1:25" x14ac:dyDescent="0.25">
      <c r="A1113" t="s">
        <v>58</v>
      </c>
      <c r="B1113">
        <f>_xlfn.XLOOKUP(Table4[[#This Row],[country]],Table2[country],Table2[country_id],FALSE)</f>
        <v>24</v>
      </c>
      <c r="C1113" t="s">
        <v>32</v>
      </c>
      <c r="D1113">
        <v>2012</v>
      </c>
      <c r="E1113">
        <f>_xlfn.XLOOKUP(Table4[[#This Row],[year]],Table1[year],Table1[year_id])</f>
        <v>3</v>
      </c>
      <c r="F1113" t="s">
        <v>29</v>
      </c>
      <c r="G1113" t="s">
        <v>28</v>
      </c>
      <c r="H1113" cm="1">
        <f t="array" ref="H1113">_xlfn.XLOOKUP(Table4[[#This Row],[vehicle_segment]]&amp;Table4[[#This Row],[powertrain_type]],Table3[vehicle_segment]&amp;Table3[powertrain_type],Table3[vehicle_id])</f>
        <v>2</v>
      </c>
      <c r="I1113">
        <v>1441</v>
      </c>
      <c r="J1113">
        <v>1151581</v>
      </c>
      <c r="K1113">
        <v>157034</v>
      </c>
      <c r="L1113">
        <v>1310056</v>
      </c>
      <c r="M1113">
        <v>0.11</v>
      </c>
      <c r="N1113">
        <v>1046</v>
      </c>
      <c r="O1113">
        <v>5.3</v>
      </c>
      <c r="P1113">
        <v>140</v>
      </c>
      <c r="Q1113">
        <v>1.39</v>
      </c>
      <c r="R1113">
        <v>0.17599999999999999</v>
      </c>
      <c r="S1113">
        <v>41128</v>
      </c>
      <c r="T1113">
        <v>81.8</v>
      </c>
      <c r="U1113">
        <v>124.1</v>
      </c>
      <c r="V1113">
        <v>5017</v>
      </c>
      <c r="W1113">
        <v>59.6</v>
      </c>
      <c r="X1113">
        <v>65.25</v>
      </c>
      <c r="Y1113">
        <v>0</v>
      </c>
    </row>
    <row r="1114" spans="1:25" x14ac:dyDescent="0.25">
      <c r="A1114" t="s">
        <v>58</v>
      </c>
      <c r="B1114">
        <f>_xlfn.XLOOKUP(Table4[[#This Row],[country]],Table2[country],Table2[country_id],FALSE)</f>
        <v>24</v>
      </c>
      <c r="C1114" t="s">
        <v>32</v>
      </c>
      <c r="D1114">
        <v>2012</v>
      </c>
      <c r="E1114">
        <f>_xlfn.XLOOKUP(Table4[[#This Row],[year]],Table1[year],Table1[year_id])</f>
        <v>3</v>
      </c>
      <c r="F1114" t="s">
        <v>30</v>
      </c>
      <c r="G1114" t="s">
        <v>28</v>
      </c>
      <c r="H1114" cm="1">
        <f t="array" ref="H1114">_xlfn.XLOOKUP(Table4[[#This Row],[vehicle_segment]]&amp;Table4[[#This Row],[powertrain_type]],Table3[vehicle_segment]&amp;Table3[powertrain_type],Table3[vehicle_id])</f>
        <v>3</v>
      </c>
      <c r="I1114">
        <v>889</v>
      </c>
      <c r="J1114">
        <v>511954</v>
      </c>
      <c r="K1114">
        <v>44518</v>
      </c>
      <c r="L1114">
        <v>557361</v>
      </c>
      <c r="M1114">
        <v>0.16</v>
      </c>
      <c r="N1114">
        <v>1046</v>
      </c>
      <c r="O1114">
        <v>5.3</v>
      </c>
      <c r="P1114">
        <v>140</v>
      </c>
      <c r="Q1114">
        <v>1.39</v>
      </c>
      <c r="R1114">
        <v>0.17599999999999999</v>
      </c>
      <c r="S1114">
        <v>41128</v>
      </c>
      <c r="T1114">
        <v>81.8</v>
      </c>
      <c r="U1114">
        <v>124.1</v>
      </c>
      <c r="V1114">
        <v>5017</v>
      </c>
      <c r="W1114">
        <v>59.6</v>
      </c>
      <c r="X1114">
        <v>70.959999999999994</v>
      </c>
      <c r="Y1114">
        <v>0</v>
      </c>
    </row>
    <row r="1115" spans="1:25" x14ac:dyDescent="0.25">
      <c r="A1115" t="s">
        <v>58</v>
      </c>
      <c r="B1115">
        <f>_xlfn.XLOOKUP(Table4[[#This Row],[country]],Table2[country],Table2[country_id],FALSE)</f>
        <v>24</v>
      </c>
      <c r="C1115" t="s">
        <v>32</v>
      </c>
      <c r="D1115">
        <v>2013</v>
      </c>
      <c r="E1115">
        <f>_xlfn.XLOOKUP(Table4[[#This Row],[year]],Table1[year],Table1[year_id])</f>
        <v>4</v>
      </c>
      <c r="F1115" t="s">
        <v>27</v>
      </c>
      <c r="G1115" t="s">
        <v>28</v>
      </c>
      <c r="H1115" cm="1">
        <f t="array" ref="H1115">_xlfn.XLOOKUP(Table4[[#This Row],[vehicle_segment]]&amp;Table4[[#This Row],[powertrain_type]],Table3[vehicle_segment]&amp;Table3[powertrain_type],Table3[vehicle_id])</f>
        <v>1</v>
      </c>
      <c r="I1115">
        <v>417</v>
      </c>
      <c r="J1115">
        <v>198389</v>
      </c>
      <c r="K1115">
        <v>132259</v>
      </c>
      <c r="L1115">
        <v>331065</v>
      </c>
      <c r="M1115">
        <v>0.13</v>
      </c>
      <c r="N1115">
        <v>1441</v>
      </c>
      <c r="O1115">
        <v>7.3</v>
      </c>
      <c r="P1115">
        <v>146</v>
      </c>
      <c r="Q1115">
        <v>1.38</v>
      </c>
      <c r="R1115">
        <v>0.187</v>
      </c>
      <c r="S1115">
        <v>42339</v>
      </c>
      <c r="T1115">
        <v>82.1</v>
      </c>
      <c r="U1115">
        <v>122.9</v>
      </c>
      <c r="V1115">
        <v>5083</v>
      </c>
      <c r="W1115">
        <v>61.2</v>
      </c>
      <c r="X1115">
        <v>230.95</v>
      </c>
      <c r="Y1115">
        <v>0</v>
      </c>
    </row>
    <row r="1116" spans="1:25" x14ac:dyDescent="0.25">
      <c r="A1116" t="s">
        <v>58</v>
      </c>
      <c r="B1116">
        <f>_xlfn.XLOOKUP(Table4[[#This Row],[country]],Table2[country],Table2[country_id],FALSE)</f>
        <v>24</v>
      </c>
      <c r="C1116" t="s">
        <v>32</v>
      </c>
      <c r="D1116">
        <v>2013</v>
      </c>
      <c r="E1116">
        <f>_xlfn.XLOOKUP(Table4[[#This Row],[year]],Table1[year],Table1[year_id])</f>
        <v>4</v>
      </c>
      <c r="F1116" t="s">
        <v>29</v>
      </c>
      <c r="G1116" t="s">
        <v>28</v>
      </c>
      <c r="H1116" cm="1">
        <f t="array" ref="H1116">_xlfn.XLOOKUP(Table4[[#This Row],[vehicle_segment]]&amp;Table4[[#This Row],[powertrain_type]],Table3[vehicle_segment]&amp;Table3[powertrain_type],Table3[vehicle_id])</f>
        <v>2</v>
      </c>
      <c r="I1116">
        <v>4898</v>
      </c>
      <c r="J1116">
        <v>1192990</v>
      </c>
      <c r="K1116">
        <v>162680</v>
      </c>
      <c r="L1116">
        <v>1360568</v>
      </c>
      <c r="M1116">
        <v>0.36</v>
      </c>
      <c r="N1116">
        <v>1441</v>
      </c>
      <c r="O1116">
        <v>7.3</v>
      </c>
      <c r="P1116">
        <v>146</v>
      </c>
      <c r="Q1116">
        <v>1.38</v>
      </c>
      <c r="R1116">
        <v>0.187</v>
      </c>
      <c r="S1116">
        <v>42339</v>
      </c>
      <c r="T1116">
        <v>82.1</v>
      </c>
      <c r="U1116">
        <v>122.9</v>
      </c>
      <c r="V1116">
        <v>5083</v>
      </c>
      <c r="W1116">
        <v>61.2</v>
      </c>
      <c r="X1116">
        <v>239.9</v>
      </c>
      <c r="Y1116">
        <v>0</v>
      </c>
    </row>
    <row r="1117" spans="1:25" x14ac:dyDescent="0.25">
      <c r="A1117" t="s">
        <v>58</v>
      </c>
      <c r="B1117">
        <f>_xlfn.XLOOKUP(Table4[[#This Row],[country]],Table2[country],Table2[country_id],FALSE)</f>
        <v>24</v>
      </c>
      <c r="C1117" t="s">
        <v>32</v>
      </c>
      <c r="D1117">
        <v>2013</v>
      </c>
      <c r="E1117">
        <f>_xlfn.XLOOKUP(Table4[[#This Row],[year]],Table1[year],Table1[year_id])</f>
        <v>4</v>
      </c>
      <c r="F1117" t="s">
        <v>30</v>
      </c>
      <c r="G1117" t="s">
        <v>28</v>
      </c>
      <c r="H1117" cm="1">
        <f t="array" ref="H1117">_xlfn.XLOOKUP(Table4[[#This Row],[vehicle_segment]]&amp;Table4[[#This Row],[powertrain_type]],Table3[vehicle_segment]&amp;Table3[powertrain_type],Table3[vehicle_id])</f>
        <v>3</v>
      </c>
      <c r="I1117">
        <v>2890</v>
      </c>
      <c r="J1117">
        <v>506744</v>
      </c>
      <c r="K1117">
        <v>44065</v>
      </c>
      <c r="L1117">
        <v>553699</v>
      </c>
      <c r="M1117">
        <v>0.52</v>
      </c>
      <c r="N1117">
        <v>1441</v>
      </c>
      <c r="O1117">
        <v>7.3</v>
      </c>
      <c r="P1117">
        <v>146</v>
      </c>
      <c r="Q1117">
        <v>1.38</v>
      </c>
      <c r="R1117">
        <v>0.187</v>
      </c>
      <c r="S1117">
        <v>42339</v>
      </c>
      <c r="T1117">
        <v>82.1</v>
      </c>
      <c r="U1117">
        <v>122.9</v>
      </c>
      <c r="V1117">
        <v>5083</v>
      </c>
      <c r="W1117">
        <v>61.2</v>
      </c>
      <c r="X1117">
        <v>225.08</v>
      </c>
      <c r="Y1117">
        <v>0</v>
      </c>
    </row>
    <row r="1118" spans="1:25" x14ac:dyDescent="0.25">
      <c r="A1118" t="s">
        <v>58</v>
      </c>
      <c r="B1118">
        <f>_xlfn.XLOOKUP(Table4[[#This Row],[country]],Table2[country],Table2[country_id],FALSE)</f>
        <v>24</v>
      </c>
      <c r="C1118" t="s">
        <v>32</v>
      </c>
      <c r="D1118">
        <v>2014</v>
      </c>
      <c r="E1118">
        <f>_xlfn.XLOOKUP(Table4[[#This Row],[year]],Table1[year],Table1[year_id])</f>
        <v>5</v>
      </c>
      <c r="F1118" t="s">
        <v>27</v>
      </c>
      <c r="G1118" t="s">
        <v>28</v>
      </c>
      <c r="H1118" cm="1">
        <f t="array" ref="H1118">_xlfn.XLOOKUP(Table4[[#This Row],[vehicle_segment]]&amp;Table4[[#This Row],[powertrain_type]],Table3[vehicle_segment]&amp;Table3[powertrain_type],Table3[vehicle_id])</f>
        <v>1</v>
      </c>
      <c r="I1118">
        <v>710</v>
      </c>
      <c r="J1118">
        <v>229062</v>
      </c>
      <c r="K1118">
        <v>152708</v>
      </c>
      <c r="L1118">
        <v>382480</v>
      </c>
      <c r="M1118">
        <v>0.19</v>
      </c>
      <c r="N1118">
        <v>3169</v>
      </c>
      <c r="O1118">
        <v>8.6</v>
      </c>
      <c r="P1118">
        <v>149</v>
      </c>
      <c r="Q1118">
        <v>1.367</v>
      </c>
      <c r="R1118">
        <v>0.20200000000000001</v>
      </c>
      <c r="S1118">
        <v>43303</v>
      </c>
      <c r="T1118">
        <v>82.2</v>
      </c>
      <c r="U1118">
        <v>123.7</v>
      </c>
      <c r="V1118">
        <v>4930</v>
      </c>
      <c r="W1118">
        <v>61.8</v>
      </c>
      <c r="X1118">
        <v>70.260000000000005</v>
      </c>
      <c r="Y1118">
        <v>0</v>
      </c>
    </row>
    <row r="1119" spans="1:25" x14ac:dyDescent="0.25">
      <c r="A1119" t="s">
        <v>58</v>
      </c>
      <c r="B1119">
        <f>_xlfn.XLOOKUP(Table4[[#This Row],[country]],Table2[country],Table2[country_id],FALSE)</f>
        <v>24</v>
      </c>
      <c r="C1119" t="s">
        <v>32</v>
      </c>
      <c r="D1119">
        <v>2014</v>
      </c>
      <c r="E1119">
        <f>_xlfn.XLOOKUP(Table4[[#This Row],[year]],Table1[year],Table1[year_id])</f>
        <v>5</v>
      </c>
      <c r="F1119" t="s">
        <v>29</v>
      </c>
      <c r="G1119" t="s">
        <v>28</v>
      </c>
      <c r="H1119" cm="1">
        <f t="array" ref="H1119">_xlfn.XLOOKUP(Table4[[#This Row],[vehicle_segment]]&amp;Table4[[#This Row],[powertrain_type]],Table3[vehicle_segment]&amp;Table3[powertrain_type],Table3[vehicle_id])</f>
        <v>2</v>
      </c>
      <c r="I1119">
        <v>8006</v>
      </c>
      <c r="J1119">
        <v>1322276</v>
      </c>
      <c r="K1119">
        <v>180310</v>
      </c>
      <c r="L1119">
        <v>1510592</v>
      </c>
      <c r="M1119">
        <v>0.53</v>
      </c>
      <c r="N1119">
        <v>3169</v>
      </c>
      <c r="O1119">
        <v>8.6</v>
      </c>
      <c r="P1119">
        <v>149</v>
      </c>
      <c r="Q1119">
        <v>1.367</v>
      </c>
      <c r="R1119">
        <v>0.20200000000000001</v>
      </c>
      <c r="S1119">
        <v>43303</v>
      </c>
      <c r="T1119">
        <v>82.2</v>
      </c>
      <c r="U1119">
        <v>123.7</v>
      </c>
      <c r="V1119">
        <v>4930</v>
      </c>
      <c r="W1119">
        <v>61.8</v>
      </c>
      <c r="X1119">
        <v>63.45</v>
      </c>
      <c r="Y1119">
        <v>0</v>
      </c>
    </row>
    <row r="1120" spans="1:25" x14ac:dyDescent="0.25">
      <c r="A1120" t="s">
        <v>58</v>
      </c>
      <c r="B1120">
        <f>_xlfn.XLOOKUP(Table4[[#This Row],[country]],Table2[country],Table2[country_id],FALSE)</f>
        <v>24</v>
      </c>
      <c r="C1120" t="s">
        <v>32</v>
      </c>
      <c r="D1120">
        <v>2014</v>
      </c>
      <c r="E1120">
        <f>_xlfn.XLOOKUP(Table4[[#This Row],[year]],Table1[year],Table1[year_id])</f>
        <v>5</v>
      </c>
      <c r="F1120" t="s">
        <v>30</v>
      </c>
      <c r="G1120" t="s">
        <v>28</v>
      </c>
      <c r="H1120" cm="1">
        <f t="array" ref="H1120">_xlfn.XLOOKUP(Table4[[#This Row],[vehicle_segment]]&amp;Table4[[#This Row],[powertrain_type]],Table3[vehicle_segment]&amp;Table3[powertrain_type],Table3[vehicle_id])</f>
        <v>3</v>
      </c>
      <c r="I1120">
        <v>4750</v>
      </c>
      <c r="J1120">
        <v>564315</v>
      </c>
      <c r="K1120">
        <v>49071</v>
      </c>
      <c r="L1120">
        <v>618136</v>
      </c>
      <c r="M1120">
        <v>0.77</v>
      </c>
      <c r="N1120">
        <v>3169</v>
      </c>
      <c r="O1120">
        <v>8.6</v>
      </c>
      <c r="P1120">
        <v>149</v>
      </c>
      <c r="Q1120">
        <v>1.367</v>
      </c>
      <c r="R1120">
        <v>0.20200000000000001</v>
      </c>
      <c r="S1120">
        <v>43303</v>
      </c>
      <c r="T1120">
        <v>82.2</v>
      </c>
      <c r="U1120">
        <v>123.7</v>
      </c>
      <c r="V1120">
        <v>4930</v>
      </c>
      <c r="W1120">
        <v>61.8</v>
      </c>
      <c r="X1120">
        <v>64.36</v>
      </c>
      <c r="Y1120">
        <v>0</v>
      </c>
    </row>
    <row r="1121" spans="1:25" x14ac:dyDescent="0.25">
      <c r="A1121" t="s">
        <v>58</v>
      </c>
      <c r="B1121">
        <f>_xlfn.XLOOKUP(Table4[[#This Row],[country]],Table2[country],Table2[country_id],FALSE)</f>
        <v>24</v>
      </c>
      <c r="C1121" t="s">
        <v>32</v>
      </c>
      <c r="D1121">
        <v>2015</v>
      </c>
      <c r="E1121">
        <f>_xlfn.XLOOKUP(Table4[[#This Row],[year]],Table1[year],Table1[year_id])</f>
        <v>6</v>
      </c>
      <c r="F1121" t="s">
        <v>27</v>
      </c>
      <c r="G1121" t="s">
        <v>28</v>
      </c>
      <c r="H1121" cm="1">
        <f t="array" ref="H1121">_xlfn.XLOOKUP(Table4[[#This Row],[vehicle_segment]]&amp;Table4[[#This Row],[powertrain_type]],Table3[vehicle_segment]&amp;Table3[powertrain_type],Table3[vehicle_id])</f>
        <v>1</v>
      </c>
      <c r="I1121">
        <v>1279</v>
      </c>
      <c r="J1121">
        <v>237609</v>
      </c>
      <c r="K1121">
        <v>158406</v>
      </c>
      <c r="L1121">
        <v>397294</v>
      </c>
      <c r="M1121">
        <v>0.32</v>
      </c>
      <c r="N1121">
        <v>5211</v>
      </c>
      <c r="O1121">
        <v>9.5</v>
      </c>
      <c r="P1121">
        <v>165</v>
      </c>
      <c r="Q1121">
        <v>1.373</v>
      </c>
      <c r="R1121">
        <v>0.21299999999999999</v>
      </c>
      <c r="S1121">
        <v>44387</v>
      </c>
      <c r="T1121">
        <v>82.4</v>
      </c>
      <c r="U1121">
        <v>123.3</v>
      </c>
      <c r="V1121">
        <v>4971</v>
      </c>
      <c r="W1121">
        <v>64.5</v>
      </c>
      <c r="X1121">
        <v>80.14</v>
      </c>
      <c r="Y1121">
        <v>0</v>
      </c>
    </row>
    <row r="1122" spans="1:25" x14ac:dyDescent="0.25">
      <c r="A1122" t="s">
        <v>58</v>
      </c>
      <c r="B1122">
        <f>_xlfn.XLOOKUP(Table4[[#This Row],[country]],Table2[country],Table2[country_id],FALSE)</f>
        <v>24</v>
      </c>
      <c r="C1122" t="s">
        <v>32</v>
      </c>
      <c r="D1122">
        <v>2015</v>
      </c>
      <c r="E1122">
        <f>_xlfn.XLOOKUP(Table4[[#This Row],[year]],Table1[year],Table1[year_id])</f>
        <v>6</v>
      </c>
      <c r="F1122" t="s">
        <v>29</v>
      </c>
      <c r="G1122" t="s">
        <v>28</v>
      </c>
      <c r="H1122" cm="1">
        <f t="array" ref="H1122">_xlfn.XLOOKUP(Table4[[#This Row],[vehicle_segment]]&amp;Table4[[#This Row],[powertrain_type]],Table3[vehicle_segment]&amp;Table3[powertrain_type],Table3[vehicle_id])</f>
        <v>2</v>
      </c>
      <c r="I1122">
        <v>14359</v>
      </c>
      <c r="J1122">
        <v>1360865</v>
      </c>
      <c r="K1122">
        <v>185573</v>
      </c>
      <c r="L1122">
        <v>1560797</v>
      </c>
      <c r="M1122">
        <v>0.92</v>
      </c>
      <c r="N1122">
        <v>5211</v>
      </c>
      <c r="O1122">
        <v>9.5</v>
      </c>
      <c r="P1122">
        <v>165</v>
      </c>
      <c r="Q1122">
        <v>1.373</v>
      </c>
      <c r="R1122">
        <v>0.21299999999999999</v>
      </c>
      <c r="S1122">
        <v>44387</v>
      </c>
      <c r="T1122">
        <v>82.4</v>
      </c>
      <c r="U1122">
        <v>123.3</v>
      </c>
      <c r="V1122">
        <v>4971</v>
      </c>
      <c r="W1122">
        <v>64.5</v>
      </c>
      <c r="X1122">
        <v>79.349999999999994</v>
      </c>
      <c r="Y1122">
        <v>0</v>
      </c>
    </row>
    <row r="1123" spans="1:25" x14ac:dyDescent="0.25">
      <c r="A1123" t="s">
        <v>58</v>
      </c>
      <c r="B1123">
        <f>_xlfn.XLOOKUP(Table4[[#This Row],[country]],Table2[country],Table2[country_id],FALSE)</f>
        <v>24</v>
      </c>
      <c r="C1123" t="s">
        <v>32</v>
      </c>
      <c r="D1123">
        <v>2015</v>
      </c>
      <c r="E1123">
        <f>_xlfn.XLOOKUP(Table4[[#This Row],[year]],Table1[year],Table1[year_id])</f>
        <v>6</v>
      </c>
      <c r="F1123" t="s">
        <v>30</v>
      </c>
      <c r="G1123" t="s">
        <v>28</v>
      </c>
      <c r="H1123" cm="1">
        <f t="array" ref="H1123">_xlfn.XLOOKUP(Table4[[#This Row],[vehicle_segment]]&amp;Table4[[#This Row],[powertrain_type]],Table3[vehicle_segment]&amp;Table3[powertrain_type],Table3[vehicle_id])</f>
        <v>3</v>
      </c>
      <c r="I1123">
        <v>8793</v>
      </c>
      <c r="J1123">
        <v>598324</v>
      </c>
      <c r="K1123">
        <v>52028</v>
      </c>
      <c r="L1123">
        <v>659145</v>
      </c>
      <c r="M1123">
        <v>1.33</v>
      </c>
      <c r="N1123">
        <v>5211</v>
      </c>
      <c r="O1123">
        <v>9.5</v>
      </c>
      <c r="P1123">
        <v>165</v>
      </c>
      <c r="Q1123">
        <v>1.373</v>
      </c>
      <c r="R1123">
        <v>0.21299999999999999</v>
      </c>
      <c r="S1123">
        <v>44387</v>
      </c>
      <c r="T1123">
        <v>82.4</v>
      </c>
      <c r="U1123">
        <v>123.3</v>
      </c>
      <c r="V1123">
        <v>4971</v>
      </c>
      <c r="W1123">
        <v>64.5</v>
      </c>
      <c r="X1123">
        <v>85.12</v>
      </c>
      <c r="Y1123">
        <v>0</v>
      </c>
    </row>
    <row r="1124" spans="1:25" x14ac:dyDescent="0.25">
      <c r="A1124" t="s">
        <v>58</v>
      </c>
      <c r="B1124">
        <f>_xlfn.XLOOKUP(Table4[[#This Row],[country]],Table2[country],Table2[country_id],FALSE)</f>
        <v>24</v>
      </c>
      <c r="C1124" t="s">
        <v>32</v>
      </c>
      <c r="D1124">
        <v>2016</v>
      </c>
      <c r="E1124">
        <f>_xlfn.XLOOKUP(Table4[[#This Row],[year]],Table1[year],Table1[year_id])</f>
        <v>7</v>
      </c>
      <c r="F1124" t="s">
        <v>27</v>
      </c>
      <c r="G1124" t="s">
        <v>28</v>
      </c>
      <c r="H1124" cm="1">
        <f t="array" ref="H1124">_xlfn.XLOOKUP(Table4[[#This Row],[vehicle_segment]]&amp;Table4[[#This Row],[powertrain_type]],Table3[vehicle_segment]&amp;Table3[powertrain_type],Table3[vehicle_id])</f>
        <v>1</v>
      </c>
      <c r="I1124">
        <v>2053</v>
      </c>
      <c r="J1124">
        <v>233407</v>
      </c>
      <c r="K1124">
        <v>155604</v>
      </c>
      <c r="L1124">
        <v>391064</v>
      </c>
      <c r="M1124">
        <v>0.52</v>
      </c>
      <c r="N1124">
        <v>8891</v>
      </c>
      <c r="O1124">
        <v>11.6</v>
      </c>
      <c r="P1124">
        <v>190</v>
      </c>
      <c r="Q1124">
        <v>1.387</v>
      </c>
      <c r="R1124">
        <v>0.219</v>
      </c>
      <c r="S1124">
        <v>43543</v>
      </c>
      <c r="T1124">
        <v>83.3</v>
      </c>
      <c r="U1124">
        <v>122.3</v>
      </c>
      <c r="V1124">
        <v>4599</v>
      </c>
      <c r="W1124">
        <v>69.599999999999994</v>
      </c>
      <c r="X1124">
        <v>60.52</v>
      </c>
      <c r="Y1124">
        <v>0</v>
      </c>
    </row>
    <row r="1125" spans="1:25" x14ac:dyDescent="0.25">
      <c r="A1125" t="s">
        <v>58</v>
      </c>
      <c r="B1125">
        <f>_xlfn.XLOOKUP(Table4[[#This Row],[country]],Table2[country],Table2[country_id],FALSE)</f>
        <v>24</v>
      </c>
      <c r="C1125" t="s">
        <v>32</v>
      </c>
      <c r="D1125">
        <v>2016</v>
      </c>
      <c r="E1125">
        <f>_xlfn.XLOOKUP(Table4[[#This Row],[year]],Table1[year],Table1[year_id])</f>
        <v>7</v>
      </c>
      <c r="F1125" t="s">
        <v>29</v>
      </c>
      <c r="G1125" t="s">
        <v>28</v>
      </c>
      <c r="H1125" cm="1">
        <f t="array" ref="H1125">_xlfn.XLOOKUP(Table4[[#This Row],[vehicle_segment]]&amp;Table4[[#This Row],[powertrain_type]],Table3[vehicle_segment]&amp;Table3[powertrain_type],Table3[vehicle_id])</f>
        <v>2</v>
      </c>
      <c r="I1125">
        <v>23607</v>
      </c>
      <c r="J1125">
        <v>1364198</v>
      </c>
      <c r="K1125">
        <v>186027</v>
      </c>
      <c r="L1125">
        <v>1573832</v>
      </c>
      <c r="M1125">
        <v>1.5</v>
      </c>
      <c r="N1125">
        <v>8891</v>
      </c>
      <c r="O1125">
        <v>11.6</v>
      </c>
      <c r="P1125">
        <v>190</v>
      </c>
      <c r="Q1125">
        <v>1.387</v>
      </c>
      <c r="R1125">
        <v>0.219</v>
      </c>
      <c r="S1125">
        <v>43543</v>
      </c>
      <c r="T1125">
        <v>83.3</v>
      </c>
      <c r="U1125">
        <v>122.3</v>
      </c>
      <c r="V1125">
        <v>4599</v>
      </c>
      <c r="W1125">
        <v>69.599999999999994</v>
      </c>
      <c r="X1125">
        <v>64.41</v>
      </c>
      <c r="Y1125">
        <v>0</v>
      </c>
    </row>
    <row r="1126" spans="1:25" x14ac:dyDescent="0.25">
      <c r="A1126" t="s">
        <v>58</v>
      </c>
      <c r="B1126">
        <f>_xlfn.XLOOKUP(Table4[[#This Row],[country]],Table2[country],Table2[country_id],FALSE)</f>
        <v>24</v>
      </c>
      <c r="C1126" t="s">
        <v>32</v>
      </c>
      <c r="D1126">
        <v>2016</v>
      </c>
      <c r="E1126">
        <f>_xlfn.XLOOKUP(Table4[[#This Row],[year]],Table1[year],Table1[year_id])</f>
        <v>7</v>
      </c>
      <c r="F1126" t="s">
        <v>30</v>
      </c>
      <c r="G1126" t="s">
        <v>28</v>
      </c>
      <c r="H1126" cm="1">
        <f t="array" ref="H1126">_xlfn.XLOOKUP(Table4[[#This Row],[vehicle_segment]]&amp;Table4[[#This Row],[powertrain_type]],Table3[vehicle_segment]&amp;Table3[powertrain_type],Table3[vehicle_id])</f>
        <v>3</v>
      </c>
      <c r="I1126">
        <v>14237</v>
      </c>
      <c r="J1126">
        <v>589105</v>
      </c>
      <c r="K1126">
        <v>51227</v>
      </c>
      <c r="L1126">
        <v>654569</v>
      </c>
      <c r="M1126">
        <v>2.1800000000000002</v>
      </c>
      <c r="N1126">
        <v>8891</v>
      </c>
      <c r="O1126">
        <v>11.6</v>
      </c>
      <c r="P1126">
        <v>190</v>
      </c>
      <c r="Q1126">
        <v>1.387</v>
      </c>
      <c r="R1126">
        <v>0.219</v>
      </c>
      <c r="S1126">
        <v>43543</v>
      </c>
      <c r="T1126">
        <v>83.3</v>
      </c>
      <c r="U1126">
        <v>122.3</v>
      </c>
      <c r="V1126">
        <v>4599</v>
      </c>
      <c r="W1126">
        <v>69.599999999999994</v>
      </c>
      <c r="X1126">
        <v>61.91</v>
      </c>
      <c r="Y1126">
        <v>0</v>
      </c>
    </row>
    <row r="1127" spans="1:25" x14ac:dyDescent="0.25">
      <c r="A1127" t="s">
        <v>58</v>
      </c>
      <c r="B1127">
        <f>_xlfn.XLOOKUP(Table4[[#This Row],[country]],Table2[country],Table2[country_id],FALSE)</f>
        <v>24</v>
      </c>
      <c r="C1127" t="s">
        <v>32</v>
      </c>
      <c r="D1127">
        <v>2017</v>
      </c>
      <c r="E1127">
        <f>_xlfn.XLOOKUP(Table4[[#This Row],[year]],Table1[year],Table1[year_id])</f>
        <v>8</v>
      </c>
      <c r="F1127" t="s">
        <v>27</v>
      </c>
      <c r="G1127" t="s">
        <v>28</v>
      </c>
      <c r="H1127" cm="1">
        <f t="array" ref="H1127">_xlfn.XLOOKUP(Table4[[#This Row],[vehicle_segment]]&amp;Table4[[#This Row],[powertrain_type]],Table3[vehicle_segment]&amp;Table3[powertrain_type],Table3[vehicle_id])</f>
        <v>1</v>
      </c>
      <c r="I1127">
        <v>2599</v>
      </c>
      <c r="J1127">
        <v>229292</v>
      </c>
      <c r="K1127">
        <v>152862</v>
      </c>
      <c r="L1127">
        <v>384753</v>
      </c>
      <c r="M1127">
        <v>0.68</v>
      </c>
      <c r="N1127">
        <v>11246</v>
      </c>
      <c r="O1127">
        <v>13.5</v>
      </c>
      <c r="P1127">
        <v>223</v>
      </c>
      <c r="Q1127">
        <v>1.387</v>
      </c>
      <c r="R1127">
        <v>0.222</v>
      </c>
      <c r="S1127">
        <v>43598</v>
      </c>
      <c r="T1127">
        <v>83.2</v>
      </c>
      <c r="U1127">
        <v>121.2</v>
      </c>
      <c r="V1127">
        <v>4266</v>
      </c>
      <c r="W1127">
        <v>71.599999999999994</v>
      </c>
      <c r="X1127">
        <v>26.6</v>
      </c>
      <c r="Y1127">
        <v>0</v>
      </c>
    </row>
    <row r="1128" spans="1:25" x14ac:dyDescent="0.25">
      <c r="A1128" t="s">
        <v>58</v>
      </c>
      <c r="B1128">
        <f>_xlfn.XLOOKUP(Table4[[#This Row],[country]],Table2[country],Table2[country_id],FALSE)</f>
        <v>24</v>
      </c>
      <c r="C1128" t="s">
        <v>32</v>
      </c>
      <c r="D1128">
        <v>2017</v>
      </c>
      <c r="E1128">
        <f>_xlfn.XLOOKUP(Table4[[#This Row],[year]],Table1[year],Table1[year_id])</f>
        <v>8</v>
      </c>
      <c r="F1128" t="s">
        <v>29</v>
      </c>
      <c r="G1128" t="s">
        <v>28</v>
      </c>
      <c r="H1128" cm="1">
        <f t="array" ref="H1128">_xlfn.XLOOKUP(Table4[[#This Row],[vehicle_segment]]&amp;Table4[[#This Row],[powertrain_type]],Table3[vehicle_segment]&amp;Table3[powertrain_type],Table3[vehicle_id])</f>
        <v>2</v>
      </c>
      <c r="I1128">
        <v>29540</v>
      </c>
      <c r="J1128">
        <v>1320914</v>
      </c>
      <c r="K1128">
        <v>180125</v>
      </c>
      <c r="L1128">
        <v>1530579</v>
      </c>
      <c r="M1128">
        <v>1.93</v>
      </c>
      <c r="N1128">
        <v>11246</v>
      </c>
      <c r="O1128">
        <v>13.5</v>
      </c>
      <c r="P1128">
        <v>223</v>
      </c>
      <c r="Q1128">
        <v>1.387</v>
      </c>
      <c r="R1128">
        <v>0.222</v>
      </c>
      <c r="S1128">
        <v>43598</v>
      </c>
      <c r="T1128">
        <v>83.2</v>
      </c>
      <c r="U1128">
        <v>121.2</v>
      </c>
      <c r="V1128">
        <v>4266</v>
      </c>
      <c r="W1128">
        <v>71.599999999999994</v>
      </c>
      <c r="X1128">
        <v>25.13</v>
      </c>
      <c r="Y1128">
        <v>0</v>
      </c>
    </row>
    <row r="1129" spans="1:25" x14ac:dyDescent="0.25">
      <c r="A1129" t="s">
        <v>58</v>
      </c>
      <c r="B1129">
        <f>_xlfn.XLOOKUP(Table4[[#This Row],[country]],Table2[country],Table2[country_id],FALSE)</f>
        <v>24</v>
      </c>
      <c r="C1129" t="s">
        <v>32</v>
      </c>
      <c r="D1129">
        <v>2017</v>
      </c>
      <c r="E1129">
        <f>_xlfn.XLOOKUP(Table4[[#This Row],[year]],Table1[year],Table1[year_id])</f>
        <v>8</v>
      </c>
      <c r="F1129" t="s">
        <v>30</v>
      </c>
      <c r="G1129" t="s">
        <v>28</v>
      </c>
      <c r="H1129" cm="1">
        <f t="array" ref="H1129">_xlfn.XLOOKUP(Table4[[#This Row],[vehicle_segment]]&amp;Table4[[#This Row],[powertrain_type]],Table3[vehicle_segment]&amp;Table3[powertrain_type],Table3[vehicle_id])</f>
        <v>3</v>
      </c>
      <c r="I1129">
        <v>17799</v>
      </c>
      <c r="J1129">
        <v>568772</v>
      </c>
      <c r="K1129">
        <v>49458</v>
      </c>
      <c r="L1129">
        <v>636029</v>
      </c>
      <c r="M1129">
        <v>2.8</v>
      </c>
      <c r="N1129">
        <v>11246</v>
      </c>
      <c r="O1129">
        <v>13.5</v>
      </c>
      <c r="P1129">
        <v>223</v>
      </c>
      <c r="Q1129">
        <v>1.387</v>
      </c>
      <c r="R1129">
        <v>0.222</v>
      </c>
      <c r="S1129">
        <v>43598</v>
      </c>
      <c r="T1129">
        <v>83.2</v>
      </c>
      <c r="U1129">
        <v>121.2</v>
      </c>
      <c r="V1129">
        <v>4266</v>
      </c>
      <c r="W1129">
        <v>71.599999999999994</v>
      </c>
      <c r="X1129">
        <v>25.02</v>
      </c>
      <c r="Y1129">
        <v>0</v>
      </c>
    </row>
    <row r="1130" spans="1:25" x14ac:dyDescent="0.25">
      <c r="A1130" t="s">
        <v>58</v>
      </c>
      <c r="B1130">
        <f>_xlfn.XLOOKUP(Table4[[#This Row],[country]],Table2[country],Table2[country_id],FALSE)</f>
        <v>24</v>
      </c>
      <c r="C1130" t="s">
        <v>32</v>
      </c>
      <c r="D1130">
        <v>2018</v>
      </c>
      <c r="E1130">
        <f>_xlfn.XLOOKUP(Table4[[#This Row],[year]],Table1[year],Table1[year_id])</f>
        <v>9</v>
      </c>
      <c r="F1130" t="s">
        <v>27</v>
      </c>
      <c r="G1130" t="s">
        <v>28</v>
      </c>
      <c r="H1130" cm="1">
        <f t="array" ref="H1130">_xlfn.XLOOKUP(Table4[[#This Row],[vehicle_segment]]&amp;Table4[[#This Row],[powertrain_type]],Table3[vehicle_segment]&amp;Table3[powertrain_type],Table3[vehicle_id])</f>
        <v>1</v>
      </c>
      <c r="I1130">
        <v>3231</v>
      </c>
      <c r="J1130">
        <v>220506</v>
      </c>
      <c r="K1130">
        <v>147004</v>
      </c>
      <c r="L1130">
        <v>370741</v>
      </c>
      <c r="M1130">
        <v>0.87</v>
      </c>
      <c r="N1130">
        <v>18600</v>
      </c>
      <c r="O1130">
        <v>16.399999999999999</v>
      </c>
      <c r="P1130">
        <v>265</v>
      </c>
      <c r="Q1130">
        <v>1.397</v>
      </c>
      <c r="R1130">
        <v>0.22800000000000001</v>
      </c>
      <c r="S1130">
        <v>43026</v>
      </c>
      <c r="T1130">
        <v>83.4</v>
      </c>
      <c r="U1130">
        <v>119.5</v>
      </c>
      <c r="V1130">
        <v>3826</v>
      </c>
      <c r="W1130">
        <v>73.900000000000006</v>
      </c>
      <c r="X1130">
        <v>24.32</v>
      </c>
      <c r="Y1130">
        <v>0</v>
      </c>
    </row>
    <row r="1131" spans="1:25" x14ac:dyDescent="0.25">
      <c r="A1131" t="s">
        <v>58</v>
      </c>
      <c r="B1131">
        <f>_xlfn.XLOOKUP(Table4[[#This Row],[country]],Table2[country],Table2[country_id],FALSE)</f>
        <v>24</v>
      </c>
      <c r="C1131" t="s">
        <v>32</v>
      </c>
      <c r="D1131">
        <v>2018</v>
      </c>
      <c r="E1131">
        <f>_xlfn.XLOOKUP(Table4[[#This Row],[year]],Table1[year],Table1[year_id])</f>
        <v>9</v>
      </c>
      <c r="F1131" t="s">
        <v>29</v>
      </c>
      <c r="G1131" t="s">
        <v>28</v>
      </c>
      <c r="H1131" cm="1">
        <f t="array" ref="H1131">_xlfn.XLOOKUP(Table4[[#This Row],[vehicle_segment]]&amp;Table4[[#This Row],[powertrain_type]],Table3[vehicle_segment]&amp;Table3[powertrain_type],Table3[vehicle_id])</f>
        <v>2</v>
      </c>
      <c r="I1131">
        <v>36411</v>
      </c>
      <c r="J1131">
        <v>1254759</v>
      </c>
      <c r="K1131">
        <v>171104</v>
      </c>
      <c r="L1131">
        <v>1462274</v>
      </c>
      <c r="M1131">
        <v>2.4900000000000002</v>
      </c>
      <c r="N1131">
        <v>18600</v>
      </c>
      <c r="O1131">
        <v>16.399999999999999</v>
      </c>
      <c r="P1131">
        <v>265</v>
      </c>
      <c r="Q1131">
        <v>1.397</v>
      </c>
      <c r="R1131">
        <v>0.22800000000000001</v>
      </c>
      <c r="S1131">
        <v>43026</v>
      </c>
      <c r="T1131">
        <v>83.4</v>
      </c>
      <c r="U1131">
        <v>119.5</v>
      </c>
      <c r="V1131">
        <v>3826</v>
      </c>
      <c r="W1131">
        <v>73.900000000000006</v>
      </c>
      <c r="X1131">
        <v>23.26</v>
      </c>
      <c r="Y1131">
        <v>0</v>
      </c>
    </row>
    <row r="1132" spans="1:25" x14ac:dyDescent="0.25">
      <c r="A1132" t="s">
        <v>58</v>
      </c>
      <c r="B1132">
        <f>_xlfn.XLOOKUP(Table4[[#This Row],[country]],Table2[country],Table2[country_id],FALSE)</f>
        <v>24</v>
      </c>
      <c r="C1132" t="s">
        <v>32</v>
      </c>
      <c r="D1132">
        <v>2018</v>
      </c>
      <c r="E1132">
        <f>_xlfn.XLOOKUP(Table4[[#This Row],[year]],Table1[year],Table1[year_id])</f>
        <v>9</v>
      </c>
      <c r="F1132" t="s">
        <v>30</v>
      </c>
      <c r="G1132" t="s">
        <v>28</v>
      </c>
      <c r="H1132" cm="1">
        <f t="array" ref="H1132">_xlfn.XLOOKUP(Table4[[#This Row],[vehicle_segment]]&amp;Table4[[#This Row],[powertrain_type]],Table3[vehicle_segment]&amp;Table3[powertrain_type],Table3[vehicle_id])</f>
        <v>3</v>
      </c>
      <c r="I1132">
        <v>22252</v>
      </c>
      <c r="J1132">
        <v>546540</v>
      </c>
      <c r="K1132">
        <v>47525</v>
      </c>
      <c r="L1132">
        <v>616317</v>
      </c>
      <c r="M1132">
        <v>3.61</v>
      </c>
      <c r="N1132">
        <v>18600</v>
      </c>
      <c r="O1132">
        <v>16.399999999999999</v>
      </c>
      <c r="P1132">
        <v>265</v>
      </c>
      <c r="Q1132">
        <v>1.397</v>
      </c>
      <c r="R1132">
        <v>0.22800000000000001</v>
      </c>
      <c r="S1132">
        <v>43026</v>
      </c>
      <c r="T1132">
        <v>83.4</v>
      </c>
      <c r="U1132">
        <v>119.5</v>
      </c>
      <c r="V1132">
        <v>3826</v>
      </c>
      <c r="W1132">
        <v>73.900000000000006</v>
      </c>
      <c r="X1132">
        <v>25.02</v>
      </c>
      <c r="Y1132">
        <v>0</v>
      </c>
    </row>
    <row r="1133" spans="1:25" x14ac:dyDescent="0.25">
      <c r="A1133" t="s">
        <v>58</v>
      </c>
      <c r="B1133">
        <f>_xlfn.XLOOKUP(Table4[[#This Row],[country]],Table2[country],Table2[country_id],FALSE)</f>
        <v>24</v>
      </c>
      <c r="C1133" t="s">
        <v>32</v>
      </c>
      <c r="D1133">
        <v>2019</v>
      </c>
      <c r="E1133">
        <f>_xlfn.XLOOKUP(Table4[[#This Row],[year]],Table1[year],Table1[year_id])</f>
        <v>10</v>
      </c>
      <c r="F1133" t="s">
        <v>27</v>
      </c>
      <c r="G1133" t="s">
        <v>28</v>
      </c>
      <c r="H1133" cm="1">
        <f t="array" ref="H1133">_xlfn.XLOOKUP(Table4[[#This Row],[vehicle_segment]]&amp;Table4[[#This Row],[powertrain_type]],Table3[vehicle_segment]&amp;Table3[powertrain_type],Table3[vehicle_id])</f>
        <v>1</v>
      </c>
      <c r="I1133">
        <v>3896</v>
      </c>
      <c r="J1133">
        <v>201883</v>
      </c>
      <c r="K1133">
        <v>134589</v>
      </c>
      <c r="L1133">
        <v>340368</v>
      </c>
      <c r="M1133">
        <v>1.1399999999999999</v>
      </c>
      <c r="N1133">
        <v>24654</v>
      </c>
      <c r="O1133">
        <v>18</v>
      </c>
      <c r="P1133">
        <v>300</v>
      </c>
      <c r="Q1133">
        <v>1.4630000000000001</v>
      </c>
      <c r="R1133">
        <v>0.23400000000000001</v>
      </c>
      <c r="S1133">
        <v>42135</v>
      </c>
      <c r="T1133">
        <v>83.7</v>
      </c>
      <c r="U1133">
        <v>113.4</v>
      </c>
      <c r="V1133">
        <v>3485</v>
      </c>
      <c r="W1133">
        <v>77.099999999999994</v>
      </c>
      <c r="X1133">
        <v>20.58</v>
      </c>
      <c r="Y1133">
        <v>0</v>
      </c>
    </row>
    <row r="1134" spans="1:25" x14ac:dyDescent="0.25">
      <c r="A1134" t="s">
        <v>58</v>
      </c>
      <c r="B1134">
        <f>_xlfn.XLOOKUP(Table4[[#This Row],[country]],Table2[country],Table2[country_id],FALSE)</f>
        <v>24</v>
      </c>
      <c r="C1134" t="s">
        <v>32</v>
      </c>
      <c r="D1134">
        <v>2019</v>
      </c>
      <c r="E1134">
        <f>_xlfn.XLOOKUP(Table4[[#This Row],[year]],Table1[year],Table1[year_id])</f>
        <v>10</v>
      </c>
      <c r="F1134" t="s">
        <v>29</v>
      </c>
      <c r="G1134" t="s">
        <v>28</v>
      </c>
      <c r="H1134" cm="1">
        <f t="array" ref="H1134">_xlfn.XLOOKUP(Table4[[#This Row],[vehicle_segment]]&amp;Table4[[#This Row],[powertrain_type]],Table3[vehicle_segment]&amp;Table3[powertrain_type],Table3[vehicle_id])</f>
        <v>2</v>
      </c>
      <c r="I1134">
        <v>45266</v>
      </c>
      <c r="J1134">
        <v>1178324</v>
      </c>
      <c r="K1134">
        <v>160680</v>
      </c>
      <c r="L1134">
        <v>1384270</v>
      </c>
      <c r="M1134">
        <v>3.27</v>
      </c>
      <c r="N1134">
        <v>24654</v>
      </c>
      <c r="O1134">
        <v>18</v>
      </c>
      <c r="P1134">
        <v>300</v>
      </c>
      <c r="Q1134">
        <v>1.4630000000000001</v>
      </c>
      <c r="R1134">
        <v>0.23400000000000001</v>
      </c>
      <c r="S1134">
        <v>42135</v>
      </c>
      <c r="T1134">
        <v>83.7</v>
      </c>
      <c r="U1134">
        <v>113.4</v>
      </c>
      <c r="V1134">
        <v>3485</v>
      </c>
      <c r="W1134">
        <v>77.099999999999994</v>
      </c>
      <c r="X1134">
        <v>24.32</v>
      </c>
      <c r="Y1134">
        <v>0</v>
      </c>
    </row>
    <row r="1135" spans="1:25" x14ac:dyDescent="0.25">
      <c r="A1135" t="s">
        <v>58</v>
      </c>
      <c r="B1135">
        <f>_xlfn.XLOOKUP(Table4[[#This Row],[country]],Table2[country],Table2[country_id],FALSE)</f>
        <v>24</v>
      </c>
      <c r="C1135" t="s">
        <v>32</v>
      </c>
      <c r="D1135">
        <v>2019</v>
      </c>
      <c r="E1135">
        <f>_xlfn.XLOOKUP(Table4[[#This Row],[year]],Table1[year],Table1[year_id])</f>
        <v>10</v>
      </c>
      <c r="F1135" t="s">
        <v>30</v>
      </c>
      <c r="G1135" t="s">
        <v>28</v>
      </c>
      <c r="H1135" cm="1">
        <f t="array" ref="H1135">_xlfn.XLOOKUP(Table4[[#This Row],[vehicle_segment]]&amp;Table4[[#This Row],[powertrain_type]],Table3[vehicle_segment]&amp;Table3[powertrain_type],Table3[vehicle_id])</f>
        <v>3</v>
      </c>
      <c r="I1135">
        <v>26642</v>
      </c>
      <c r="J1135">
        <v>492430</v>
      </c>
      <c r="K1135">
        <v>42820</v>
      </c>
      <c r="L1135">
        <v>561892</v>
      </c>
      <c r="M1135">
        <v>4.74</v>
      </c>
      <c r="N1135">
        <v>24654</v>
      </c>
      <c r="O1135">
        <v>18</v>
      </c>
      <c r="P1135">
        <v>300</v>
      </c>
      <c r="Q1135">
        <v>1.4630000000000001</v>
      </c>
      <c r="R1135">
        <v>0.23400000000000001</v>
      </c>
      <c r="S1135">
        <v>42135</v>
      </c>
      <c r="T1135">
        <v>83.7</v>
      </c>
      <c r="U1135">
        <v>113.4</v>
      </c>
      <c r="V1135">
        <v>3485</v>
      </c>
      <c r="W1135">
        <v>77.099999999999994</v>
      </c>
      <c r="X1135">
        <v>19.73</v>
      </c>
      <c r="Y1135">
        <v>0</v>
      </c>
    </row>
    <row r="1136" spans="1:25" x14ac:dyDescent="0.25">
      <c r="A1136" t="s">
        <v>58</v>
      </c>
      <c r="B1136">
        <f>_xlfn.XLOOKUP(Table4[[#This Row],[country]],Table2[country],Table2[country_id],FALSE)</f>
        <v>24</v>
      </c>
      <c r="C1136" t="s">
        <v>32</v>
      </c>
      <c r="D1136">
        <v>2020</v>
      </c>
      <c r="E1136">
        <f>_xlfn.XLOOKUP(Table4[[#This Row],[year]],Table1[year],Table1[year_id])</f>
        <v>11</v>
      </c>
      <c r="F1136" t="s">
        <v>27</v>
      </c>
      <c r="G1136" t="s">
        <v>28</v>
      </c>
      <c r="H1136" cm="1">
        <f t="array" ref="H1136">_xlfn.XLOOKUP(Table4[[#This Row],[vehicle_segment]]&amp;Table4[[#This Row],[powertrain_type]],Table3[vehicle_segment]&amp;Table3[powertrain_type],Table3[vehicle_id])</f>
        <v>1</v>
      </c>
      <c r="I1136">
        <v>9287</v>
      </c>
      <c r="J1136">
        <v>140359</v>
      </c>
      <c r="K1136">
        <v>93573</v>
      </c>
      <c r="L1136">
        <v>243219</v>
      </c>
      <c r="M1136">
        <v>3.82</v>
      </c>
      <c r="N1136">
        <v>36758</v>
      </c>
      <c r="O1136">
        <v>19.399999999999999</v>
      </c>
      <c r="P1136">
        <v>338</v>
      </c>
      <c r="Q1136">
        <v>1.627</v>
      </c>
      <c r="R1136">
        <v>0.25700000000000001</v>
      </c>
      <c r="S1136">
        <v>44242</v>
      </c>
      <c r="T1136">
        <v>83.9</v>
      </c>
      <c r="U1136">
        <v>108.3</v>
      </c>
      <c r="V1136">
        <v>2955</v>
      </c>
      <c r="W1136">
        <v>79.400000000000006</v>
      </c>
      <c r="X1136">
        <v>138.37</v>
      </c>
      <c r="Y1136">
        <v>0</v>
      </c>
    </row>
    <row r="1137" spans="1:25" x14ac:dyDescent="0.25">
      <c r="A1137" t="s">
        <v>58</v>
      </c>
      <c r="B1137">
        <f>_xlfn.XLOOKUP(Table4[[#This Row],[country]],Table2[country],Table2[country_id],FALSE)</f>
        <v>24</v>
      </c>
      <c r="C1137" t="s">
        <v>32</v>
      </c>
      <c r="D1137">
        <v>2020</v>
      </c>
      <c r="E1137">
        <f>_xlfn.XLOOKUP(Table4[[#This Row],[year]],Table1[year],Table1[year_id])</f>
        <v>11</v>
      </c>
      <c r="F1137" t="s">
        <v>29</v>
      </c>
      <c r="G1137" t="s">
        <v>28</v>
      </c>
      <c r="H1137" cm="1">
        <f t="array" ref="H1137">_xlfn.XLOOKUP(Table4[[#This Row],[vehicle_segment]]&amp;Table4[[#This Row],[powertrain_type]],Table3[vehicle_segment]&amp;Table3[powertrain_type],Table3[vehicle_id])</f>
        <v>2</v>
      </c>
      <c r="I1137">
        <v>104287</v>
      </c>
      <c r="J1137">
        <v>749402</v>
      </c>
      <c r="K1137">
        <v>102191</v>
      </c>
      <c r="L1137">
        <v>955880</v>
      </c>
      <c r="M1137">
        <v>10.91</v>
      </c>
      <c r="N1137">
        <v>36758</v>
      </c>
      <c r="O1137">
        <v>19.399999999999999</v>
      </c>
      <c r="P1137">
        <v>338</v>
      </c>
      <c r="Q1137">
        <v>1.627</v>
      </c>
      <c r="R1137">
        <v>0.25700000000000001</v>
      </c>
      <c r="S1137">
        <v>44242</v>
      </c>
      <c r="T1137">
        <v>83.9</v>
      </c>
      <c r="U1137">
        <v>108.3</v>
      </c>
      <c r="V1137">
        <v>2955</v>
      </c>
      <c r="W1137">
        <v>79.400000000000006</v>
      </c>
      <c r="X1137">
        <v>130.38999999999999</v>
      </c>
      <c r="Y1137">
        <v>0</v>
      </c>
    </row>
    <row r="1138" spans="1:25" x14ac:dyDescent="0.25">
      <c r="A1138" t="s">
        <v>58</v>
      </c>
      <c r="B1138">
        <f>_xlfn.XLOOKUP(Table4[[#This Row],[country]],Table2[country],Table2[country_id],FALSE)</f>
        <v>24</v>
      </c>
      <c r="C1138" t="s">
        <v>32</v>
      </c>
      <c r="D1138">
        <v>2020</v>
      </c>
      <c r="E1138">
        <f>_xlfn.XLOOKUP(Table4[[#This Row],[year]],Table1[year],Table1[year_id])</f>
        <v>11</v>
      </c>
      <c r="F1138" t="s">
        <v>30</v>
      </c>
      <c r="G1138" t="s">
        <v>28</v>
      </c>
      <c r="H1138" cm="1">
        <f t="array" ref="H1138">_xlfn.XLOOKUP(Table4[[#This Row],[vehicle_segment]]&amp;Table4[[#This Row],[powertrain_type]],Table3[vehicle_segment]&amp;Table3[powertrain_type],Table3[vehicle_id])</f>
        <v>3</v>
      </c>
      <c r="I1138">
        <v>64152</v>
      </c>
      <c r="J1138">
        <v>314061</v>
      </c>
      <c r="K1138">
        <v>27310</v>
      </c>
      <c r="L1138">
        <v>405523</v>
      </c>
      <c r="M1138">
        <v>15.82</v>
      </c>
      <c r="N1138">
        <v>36758</v>
      </c>
      <c r="O1138">
        <v>19.399999999999999</v>
      </c>
      <c r="P1138">
        <v>338</v>
      </c>
      <c r="Q1138">
        <v>1.627</v>
      </c>
      <c r="R1138">
        <v>0.25700000000000001</v>
      </c>
      <c r="S1138">
        <v>44242</v>
      </c>
      <c r="T1138">
        <v>83.9</v>
      </c>
      <c r="U1138">
        <v>108.3</v>
      </c>
      <c r="V1138">
        <v>2955</v>
      </c>
      <c r="W1138">
        <v>79.400000000000006</v>
      </c>
      <c r="X1138">
        <v>140.79</v>
      </c>
      <c r="Y1138">
        <v>0</v>
      </c>
    </row>
    <row r="1139" spans="1:25" x14ac:dyDescent="0.25">
      <c r="A1139" t="s">
        <v>58</v>
      </c>
      <c r="B1139">
        <f>_xlfn.XLOOKUP(Table4[[#This Row],[country]],Table2[country],Table2[country_id],FALSE)</f>
        <v>24</v>
      </c>
      <c r="C1139" t="s">
        <v>32</v>
      </c>
      <c r="D1139">
        <v>2021</v>
      </c>
      <c r="E1139">
        <f>_xlfn.XLOOKUP(Table4[[#This Row],[year]],Table1[year],Table1[year_id])</f>
        <v>12</v>
      </c>
      <c r="F1139" t="s">
        <v>27</v>
      </c>
      <c r="G1139" t="s">
        <v>28</v>
      </c>
      <c r="H1139" cm="1">
        <f t="array" ref="H1139">_xlfn.XLOOKUP(Table4[[#This Row],[vehicle_segment]]&amp;Table4[[#This Row],[powertrain_type]],Table3[vehicle_segment]&amp;Table3[powertrain_type],Table3[vehicle_id])</f>
        <v>1</v>
      </c>
      <c r="I1139">
        <v>16747</v>
      </c>
      <c r="J1139">
        <v>141535</v>
      </c>
      <c r="K1139">
        <v>94356</v>
      </c>
      <c r="L1139">
        <v>252638</v>
      </c>
      <c r="M1139">
        <v>6.63</v>
      </c>
      <c r="N1139">
        <v>43790</v>
      </c>
      <c r="O1139">
        <v>22.1</v>
      </c>
      <c r="P1139">
        <v>370</v>
      </c>
      <c r="Q1139">
        <v>1.7829999999999999</v>
      </c>
      <c r="R1139">
        <v>0.28999999999999998</v>
      </c>
      <c r="S1139">
        <v>44705</v>
      </c>
      <c r="T1139">
        <v>84</v>
      </c>
      <c r="U1139">
        <v>105.8</v>
      </c>
      <c r="V1139">
        <v>2539</v>
      </c>
      <c r="W1139">
        <v>83.6</v>
      </c>
      <c r="X1139">
        <v>80.33</v>
      </c>
      <c r="Y1139">
        <v>0</v>
      </c>
    </row>
    <row r="1140" spans="1:25" x14ac:dyDescent="0.25">
      <c r="A1140" t="s">
        <v>58</v>
      </c>
      <c r="B1140">
        <f>_xlfn.XLOOKUP(Table4[[#This Row],[country]],Table2[country],Table2[country_id],FALSE)</f>
        <v>24</v>
      </c>
      <c r="C1140" t="s">
        <v>32</v>
      </c>
      <c r="D1140">
        <v>2021</v>
      </c>
      <c r="E1140">
        <f>_xlfn.XLOOKUP(Table4[[#This Row],[year]],Table1[year],Table1[year_id])</f>
        <v>12</v>
      </c>
      <c r="F1140" t="s">
        <v>29</v>
      </c>
      <c r="G1140" t="s">
        <v>28</v>
      </c>
      <c r="H1140" cm="1">
        <f t="array" ref="H1140">_xlfn.XLOOKUP(Table4[[#This Row],[vehicle_segment]]&amp;Table4[[#This Row],[powertrain_type]],Table3[vehicle_segment]&amp;Table3[powertrain_type],Table3[vehicle_id])</f>
        <v>2</v>
      </c>
      <c r="I1140">
        <v>189100</v>
      </c>
      <c r="J1140">
        <v>712199</v>
      </c>
      <c r="K1140">
        <v>97118</v>
      </c>
      <c r="L1140">
        <v>998417</v>
      </c>
      <c r="M1140">
        <v>18.940000000000001</v>
      </c>
      <c r="N1140">
        <v>43790</v>
      </c>
      <c r="O1140">
        <v>22.1</v>
      </c>
      <c r="P1140">
        <v>370</v>
      </c>
      <c r="Q1140">
        <v>1.7829999999999999</v>
      </c>
      <c r="R1140">
        <v>0.28999999999999998</v>
      </c>
      <c r="S1140">
        <v>44705</v>
      </c>
      <c r="T1140">
        <v>84</v>
      </c>
      <c r="U1140">
        <v>105.8</v>
      </c>
      <c r="V1140">
        <v>2539</v>
      </c>
      <c r="W1140">
        <v>83.6</v>
      </c>
      <c r="X1140">
        <v>81.33</v>
      </c>
      <c r="Y1140">
        <v>0</v>
      </c>
    </row>
    <row r="1141" spans="1:25" x14ac:dyDescent="0.25">
      <c r="A1141" t="s">
        <v>58</v>
      </c>
      <c r="B1141">
        <f>_xlfn.XLOOKUP(Table4[[#This Row],[country]],Table2[country],Table2[country_id],FALSE)</f>
        <v>24</v>
      </c>
      <c r="C1141" t="s">
        <v>32</v>
      </c>
      <c r="D1141">
        <v>2021</v>
      </c>
      <c r="E1141">
        <f>_xlfn.XLOOKUP(Table4[[#This Row],[year]],Table1[year],Table1[year_id])</f>
        <v>12</v>
      </c>
      <c r="F1141" t="s">
        <v>30</v>
      </c>
      <c r="G1141" t="s">
        <v>28</v>
      </c>
      <c r="H1141" cm="1">
        <f t="array" ref="H1141">_xlfn.XLOOKUP(Table4[[#This Row],[vehicle_segment]]&amp;Table4[[#This Row],[powertrain_type]],Table3[vehicle_segment]&amp;Table3[powertrain_type],Table3[vehicle_id])</f>
        <v>3</v>
      </c>
      <c r="I1141">
        <v>112369</v>
      </c>
      <c r="J1141">
        <v>273052</v>
      </c>
      <c r="K1141">
        <v>23744</v>
      </c>
      <c r="L1141">
        <v>409165</v>
      </c>
      <c r="M1141">
        <v>27.46</v>
      </c>
      <c r="N1141">
        <v>43790</v>
      </c>
      <c r="O1141">
        <v>22.1</v>
      </c>
      <c r="P1141">
        <v>370</v>
      </c>
      <c r="Q1141">
        <v>1.7829999999999999</v>
      </c>
      <c r="R1141">
        <v>0.28999999999999998</v>
      </c>
      <c r="S1141">
        <v>44705</v>
      </c>
      <c r="T1141">
        <v>84</v>
      </c>
      <c r="U1141">
        <v>105.8</v>
      </c>
      <c r="V1141">
        <v>2539</v>
      </c>
      <c r="W1141">
        <v>83.6</v>
      </c>
      <c r="X1141">
        <v>75.16</v>
      </c>
      <c r="Y1141">
        <v>0</v>
      </c>
    </row>
    <row r="1142" spans="1:25" x14ac:dyDescent="0.25">
      <c r="A1142" t="s">
        <v>58</v>
      </c>
      <c r="B1142">
        <f>_xlfn.XLOOKUP(Table4[[#This Row],[country]],Table2[country],Table2[country_id],FALSE)</f>
        <v>24</v>
      </c>
      <c r="C1142" t="s">
        <v>32</v>
      </c>
      <c r="D1142">
        <v>2022</v>
      </c>
      <c r="E1142">
        <f>_xlfn.XLOOKUP(Table4[[#This Row],[year]],Table1[year],Table1[year_id])</f>
        <v>13</v>
      </c>
      <c r="F1142" t="s">
        <v>27</v>
      </c>
      <c r="G1142" t="s">
        <v>28</v>
      </c>
      <c r="H1142" cm="1">
        <f t="array" ref="H1142">_xlfn.XLOOKUP(Table4[[#This Row],[vehicle_segment]]&amp;Table4[[#This Row],[powertrain_type]],Table3[vehicle_segment]&amp;Table3[powertrain_type],Table3[vehicle_id])</f>
        <v>1</v>
      </c>
      <c r="I1142">
        <v>18993</v>
      </c>
      <c r="J1142">
        <v>131342</v>
      </c>
      <c r="K1142">
        <v>87562</v>
      </c>
      <c r="L1142">
        <v>237897</v>
      </c>
      <c r="M1142">
        <v>7.98</v>
      </c>
      <c r="N1142">
        <v>46365</v>
      </c>
      <c r="O1142">
        <v>23.9</v>
      </c>
      <c r="P1142">
        <v>399</v>
      </c>
      <c r="Q1142">
        <v>1.883</v>
      </c>
      <c r="R1142">
        <v>0.32</v>
      </c>
      <c r="S1142">
        <v>46109</v>
      </c>
      <c r="T1142">
        <v>84.3</v>
      </c>
      <c r="U1142">
        <v>109.2</v>
      </c>
      <c r="V1142">
        <v>1485</v>
      </c>
      <c r="W1142">
        <v>85.8</v>
      </c>
      <c r="X1142">
        <v>13.41</v>
      </c>
      <c r="Y1142">
        <v>0</v>
      </c>
    </row>
    <row r="1143" spans="1:25" x14ac:dyDescent="0.25">
      <c r="A1143" t="s">
        <v>58</v>
      </c>
      <c r="B1143">
        <f>_xlfn.XLOOKUP(Table4[[#This Row],[country]],Table2[country],Table2[country_id],FALSE)</f>
        <v>24</v>
      </c>
      <c r="C1143" t="s">
        <v>32</v>
      </c>
      <c r="D1143">
        <v>2022</v>
      </c>
      <c r="E1143">
        <f>_xlfn.XLOOKUP(Table4[[#This Row],[year]],Table1[year],Table1[year_id])</f>
        <v>13</v>
      </c>
      <c r="F1143" t="s">
        <v>29</v>
      </c>
      <c r="G1143" t="s">
        <v>28</v>
      </c>
      <c r="H1143" cm="1">
        <f t="array" ref="H1143">_xlfn.XLOOKUP(Table4[[#This Row],[vehicle_segment]]&amp;Table4[[#This Row],[powertrain_type]],Table3[vehicle_segment]&amp;Table3[powertrain_type],Table3[vehicle_id])</f>
        <v>2</v>
      </c>
      <c r="I1143">
        <v>220435</v>
      </c>
      <c r="J1143">
        <v>656447</v>
      </c>
      <c r="K1143">
        <v>89516</v>
      </c>
      <c r="L1143">
        <v>966398</v>
      </c>
      <c r="M1143">
        <v>22.81</v>
      </c>
      <c r="N1143">
        <v>46365</v>
      </c>
      <c r="O1143">
        <v>23.9</v>
      </c>
      <c r="P1143">
        <v>399</v>
      </c>
      <c r="Q1143">
        <v>1.883</v>
      </c>
      <c r="R1143">
        <v>0.32</v>
      </c>
      <c r="S1143">
        <v>46109</v>
      </c>
      <c r="T1143">
        <v>84.3</v>
      </c>
      <c r="U1143">
        <v>109.2</v>
      </c>
      <c r="V1143">
        <v>1485</v>
      </c>
      <c r="W1143">
        <v>85.8</v>
      </c>
      <c r="X1143">
        <v>16.57</v>
      </c>
      <c r="Y1143">
        <v>0</v>
      </c>
    </row>
    <row r="1144" spans="1:25" x14ac:dyDescent="0.25">
      <c r="A1144" t="s">
        <v>58</v>
      </c>
      <c r="B1144">
        <f>_xlfn.XLOOKUP(Table4[[#This Row],[country]],Table2[country],Table2[country_id],FALSE)</f>
        <v>24</v>
      </c>
      <c r="C1144" t="s">
        <v>32</v>
      </c>
      <c r="D1144">
        <v>2022</v>
      </c>
      <c r="E1144">
        <f>_xlfn.XLOOKUP(Table4[[#This Row],[year]],Table1[year],Table1[year_id])</f>
        <v>13</v>
      </c>
      <c r="F1144" t="s">
        <v>30</v>
      </c>
      <c r="G1144" t="s">
        <v>28</v>
      </c>
      <c r="H1144" cm="1">
        <f t="array" ref="H1144">_xlfn.XLOOKUP(Table4[[#This Row],[vehicle_segment]]&amp;Table4[[#This Row],[powertrain_type]],Table3[vehicle_segment]&amp;Table3[powertrain_type],Table3[vehicle_id])</f>
        <v>3</v>
      </c>
      <c r="I1144">
        <v>132109</v>
      </c>
      <c r="J1144">
        <v>245934</v>
      </c>
      <c r="K1144">
        <v>21386</v>
      </c>
      <c r="L1144">
        <v>399429</v>
      </c>
      <c r="M1144">
        <v>33.07</v>
      </c>
      <c r="N1144">
        <v>46365</v>
      </c>
      <c r="O1144">
        <v>23.9</v>
      </c>
      <c r="P1144">
        <v>399</v>
      </c>
      <c r="Q1144">
        <v>1.883</v>
      </c>
      <c r="R1144">
        <v>0.32</v>
      </c>
      <c r="S1144">
        <v>46109</v>
      </c>
      <c r="T1144">
        <v>84.3</v>
      </c>
      <c r="U1144">
        <v>109.2</v>
      </c>
      <c r="V1144">
        <v>1485</v>
      </c>
      <c r="W1144">
        <v>85.8</v>
      </c>
      <c r="X1144">
        <v>17.57</v>
      </c>
      <c r="Y1144">
        <v>0</v>
      </c>
    </row>
    <row r="1145" spans="1:25" x14ac:dyDescent="0.25">
      <c r="A1145" t="s">
        <v>58</v>
      </c>
      <c r="B1145">
        <f>_xlfn.XLOOKUP(Table4[[#This Row],[country]],Table2[country],Table2[country_id],FALSE)</f>
        <v>24</v>
      </c>
      <c r="C1145" t="s">
        <v>32</v>
      </c>
      <c r="D1145">
        <v>2023</v>
      </c>
      <c r="E1145">
        <f>_xlfn.XLOOKUP(Table4[[#This Row],[year]],Table1[year],Table1[year_id])</f>
        <v>14</v>
      </c>
      <c r="F1145" t="s">
        <v>27</v>
      </c>
      <c r="G1145" t="s">
        <v>28</v>
      </c>
      <c r="H1145" cm="1">
        <f t="array" ref="H1145">_xlfn.XLOOKUP(Table4[[#This Row],[vehicle_segment]]&amp;Table4[[#This Row],[powertrain_type]],Table3[vehicle_segment]&amp;Table3[powertrain_type],Table3[vehicle_id])</f>
        <v>1</v>
      </c>
      <c r="I1145">
        <v>20126</v>
      </c>
      <c r="J1145">
        <v>152535</v>
      </c>
      <c r="K1145">
        <v>101690</v>
      </c>
      <c r="L1145">
        <v>274351</v>
      </c>
      <c r="M1145">
        <v>7.34</v>
      </c>
      <c r="N1145">
        <v>56485</v>
      </c>
      <c r="O1145">
        <v>25.8</v>
      </c>
      <c r="P1145">
        <v>430</v>
      </c>
      <c r="Q1145">
        <v>1.883</v>
      </c>
      <c r="R1145">
        <v>0.32800000000000001</v>
      </c>
      <c r="S1145">
        <v>47646</v>
      </c>
      <c r="T1145">
        <v>84.5</v>
      </c>
      <c r="U1145">
        <v>108.2</v>
      </c>
      <c r="V1145">
        <v>0</v>
      </c>
      <c r="W1145">
        <v>86.9</v>
      </c>
      <c r="X1145">
        <v>5.97</v>
      </c>
      <c r="Y1145">
        <v>0</v>
      </c>
    </row>
    <row r="1146" spans="1:25" x14ac:dyDescent="0.25">
      <c r="A1146" t="s">
        <v>58</v>
      </c>
      <c r="B1146">
        <f>_xlfn.XLOOKUP(Table4[[#This Row],[country]],Table2[country],Table2[country_id],FALSE)</f>
        <v>24</v>
      </c>
      <c r="C1146" t="s">
        <v>32</v>
      </c>
      <c r="D1146">
        <v>2023</v>
      </c>
      <c r="E1146">
        <f>_xlfn.XLOOKUP(Table4[[#This Row],[year]],Table1[year],Table1[year_id])</f>
        <v>14</v>
      </c>
      <c r="F1146" t="s">
        <v>29</v>
      </c>
      <c r="G1146" t="s">
        <v>28</v>
      </c>
      <c r="H1146" cm="1">
        <f t="array" ref="H1146">_xlfn.XLOOKUP(Table4[[#This Row],[vehicle_segment]]&amp;Table4[[#This Row],[powertrain_type]],Table3[vehicle_segment]&amp;Table3[powertrain_type],Table3[vehicle_id])</f>
        <v>2</v>
      </c>
      <c r="I1146">
        <v>228986</v>
      </c>
      <c r="J1146">
        <v>759884</v>
      </c>
      <c r="K1146">
        <v>103621</v>
      </c>
      <c r="L1146">
        <v>1092491</v>
      </c>
      <c r="M1146">
        <v>20.96</v>
      </c>
      <c r="N1146">
        <v>56485</v>
      </c>
      <c r="O1146">
        <v>25.8</v>
      </c>
      <c r="P1146">
        <v>430</v>
      </c>
      <c r="Q1146">
        <v>1.883</v>
      </c>
      <c r="R1146">
        <v>0.32800000000000001</v>
      </c>
      <c r="S1146">
        <v>47646</v>
      </c>
      <c r="T1146">
        <v>84.5</v>
      </c>
      <c r="U1146">
        <v>108.2</v>
      </c>
      <c r="V1146">
        <v>0</v>
      </c>
      <c r="W1146">
        <v>86.9</v>
      </c>
      <c r="X1146">
        <v>3.88</v>
      </c>
      <c r="Y1146">
        <v>0</v>
      </c>
    </row>
    <row r="1147" spans="1:25" x14ac:dyDescent="0.25">
      <c r="A1147" t="s">
        <v>58</v>
      </c>
      <c r="B1147">
        <f>_xlfn.XLOOKUP(Table4[[#This Row],[country]],Table2[country],Table2[country_id],FALSE)</f>
        <v>24</v>
      </c>
      <c r="C1147" t="s">
        <v>32</v>
      </c>
      <c r="D1147">
        <v>2023</v>
      </c>
      <c r="E1147">
        <f>_xlfn.XLOOKUP(Table4[[#This Row],[year]],Table1[year],Table1[year_id])</f>
        <v>14</v>
      </c>
      <c r="F1147" t="s">
        <v>30</v>
      </c>
      <c r="G1147" t="s">
        <v>28</v>
      </c>
      <c r="H1147" cm="1">
        <f t="array" ref="H1147">_xlfn.XLOOKUP(Table4[[#This Row],[vehicle_segment]]&amp;Table4[[#This Row],[powertrain_type]],Table3[vehicle_segment]&amp;Table3[powertrain_type],Table3[vehicle_id])</f>
        <v>3</v>
      </c>
      <c r="I1147">
        <v>144839</v>
      </c>
      <c r="J1147">
        <v>288401</v>
      </c>
      <c r="K1147">
        <v>25548</v>
      </c>
      <c r="L1147">
        <v>458788</v>
      </c>
      <c r="M1147">
        <v>31.57</v>
      </c>
      <c r="N1147">
        <v>56485</v>
      </c>
      <c r="O1147">
        <v>25.8</v>
      </c>
      <c r="P1147">
        <v>430</v>
      </c>
      <c r="Q1147">
        <v>1.883</v>
      </c>
      <c r="R1147">
        <v>0.32800000000000001</v>
      </c>
      <c r="S1147">
        <v>47646</v>
      </c>
      <c r="T1147">
        <v>84.5</v>
      </c>
      <c r="U1147">
        <v>108.2</v>
      </c>
      <c r="V1147">
        <v>0</v>
      </c>
      <c r="W1147">
        <v>86.9</v>
      </c>
      <c r="X1147">
        <v>9.64</v>
      </c>
      <c r="Y1147">
        <v>0</v>
      </c>
    </row>
    <row r="1148" spans="1:25" x14ac:dyDescent="0.25">
      <c r="A1148" t="s">
        <v>58</v>
      </c>
      <c r="B1148">
        <f>_xlfn.XLOOKUP(Table4[[#This Row],[country]],Table2[country],Table2[country_id],FALSE)</f>
        <v>24</v>
      </c>
      <c r="C1148" t="s">
        <v>32</v>
      </c>
      <c r="D1148">
        <v>2024</v>
      </c>
      <c r="E1148">
        <f>_xlfn.XLOOKUP(Table4[[#This Row],[year]],Table1[year],Table1[year_id])</f>
        <v>15</v>
      </c>
      <c r="F1148" t="s">
        <v>27</v>
      </c>
      <c r="G1148" t="s">
        <v>28</v>
      </c>
      <c r="H1148" cm="1">
        <f t="array" ref="H1148">_xlfn.XLOOKUP(Table4[[#This Row],[vehicle_segment]]&amp;Table4[[#This Row],[powertrain_type]],Table3[vehicle_segment]&amp;Table3[powertrain_type],Table3[vehicle_id])</f>
        <v>1</v>
      </c>
      <c r="I1148">
        <v>21312</v>
      </c>
      <c r="J1148">
        <v>153582</v>
      </c>
      <c r="K1148">
        <v>102388</v>
      </c>
      <c r="L1148">
        <v>277282</v>
      </c>
      <c r="M1148">
        <v>7.69</v>
      </c>
      <c r="N1148">
        <v>68445</v>
      </c>
      <c r="O1148">
        <v>28.7</v>
      </c>
      <c r="P1148">
        <v>452</v>
      </c>
      <c r="Q1148">
        <v>1.81</v>
      </c>
      <c r="R1148">
        <v>0.32</v>
      </c>
      <c r="S1148">
        <v>48422</v>
      </c>
      <c r="T1148">
        <v>84.4</v>
      </c>
      <c r="U1148">
        <v>104</v>
      </c>
      <c r="V1148">
        <v>0</v>
      </c>
      <c r="W1148">
        <v>89.2</v>
      </c>
      <c r="X1148">
        <v>5.89</v>
      </c>
      <c r="Y1148">
        <v>0</v>
      </c>
    </row>
    <row r="1149" spans="1:25" x14ac:dyDescent="0.25">
      <c r="A1149" t="s">
        <v>58</v>
      </c>
      <c r="B1149">
        <f>_xlfn.XLOOKUP(Table4[[#This Row],[country]],Table2[country],Table2[country_id],FALSE)</f>
        <v>24</v>
      </c>
      <c r="C1149" t="s">
        <v>32</v>
      </c>
      <c r="D1149">
        <v>2024</v>
      </c>
      <c r="E1149">
        <f>_xlfn.XLOOKUP(Table4[[#This Row],[year]],Table1[year],Table1[year_id])</f>
        <v>15</v>
      </c>
      <c r="F1149" t="s">
        <v>29</v>
      </c>
      <c r="G1149" t="s">
        <v>28</v>
      </c>
      <c r="H1149" cm="1">
        <f t="array" ref="H1149">_xlfn.XLOOKUP(Table4[[#This Row],[vehicle_segment]]&amp;Table4[[#This Row],[powertrain_type]],Table3[vehicle_segment]&amp;Table3[powertrain_type],Table3[vehicle_id])</f>
        <v>2</v>
      </c>
      <c r="I1149">
        <v>245173</v>
      </c>
      <c r="J1149">
        <v>766726</v>
      </c>
      <c r="K1149">
        <v>104554</v>
      </c>
      <c r="L1149">
        <v>1116453</v>
      </c>
      <c r="M1149">
        <v>21.96</v>
      </c>
      <c r="N1149">
        <v>68445</v>
      </c>
      <c r="O1149">
        <v>28.7</v>
      </c>
      <c r="P1149">
        <v>452</v>
      </c>
      <c r="Q1149">
        <v>1.81</v>
      </c>
      <c r="R1149">
        <v>0.32</v>
      </c>
      <c r="S1149">
        <v>48422</v>
      </c>
      <c r="T1149">
        <v>84.4</v>
      </c>
      <c r="U1149">
        <v>104</v>
      </c>
      <c r="V1149">
        <v>0</v>
      </c>
      <c r="W1149">
        <v>89.2</v>
      </c>
      <c r="X1149">
        <v>7.07</v>
      </c>
      <c r="Y1149">
        <v>0</v>
      </c>
    </row>
    <row r="1150" spans="1:25" x14ac:dyDescent="0.25">
      <c r="A1150" t="s">
        <v>58</v>
      </c>
      <c r="B1150">
        <f>_xlfn.XLOOKUP(Table4[[#This Row],[country]],Table2[country],Table2[country_id],FALSE)</f>
        <v>24</v>
      </c>
      <c r="C1150" t="s">
        <v>32</v>
      </c>
      <c r="D1150">
        <v>2024</v>
      </c>
      <c r="E1150">
        <f>_xlfn.XLOOKUP(Table4[[#This Row],[year]],Table1[year],Table1[year_id])</f>
        <v>15</v>
      </c>
      <c r="F1150" t="s">
        <v>30</v>
      </c>
      <c r="G1150" t="s">
        <v>28</v>
      </c>
      <c r="H1150" cm="1">
        <f t="array" ref="H1150">_xlfn.XLOOKUP(Table4[[#This Row],[vehicle_segment]]&amp;Table4[[#This Row],[powertrain_type]],Table3[vehicle_segment]&amp;Table3[powertrain_type],Table3[vehicle_id])</f>
        <v>3</v>
      </c>
      <c r="I1150">
        <v>150014</v>
      </c>
      <c r="J1150">
        <v>295417</v>
      </c>
      <c r="K1150">
        <v>25688</v>
      </c>
      <c r="L1150">
        <v>471119</v>
      </c>
      <c r="M1150">
        <v>31.84</v>
      </c>
      <c r="N1150">
        <v>68445</v>
      </c>
      <c r="O1150">
        <v>28.7</v>
      </c>
      <c r="P1150">
        <v>452</v>
      </c>
      <c r="Q1150">
        <v>1.81</v>
      </c>
      <c r="R1150">
        <v>0.32</v>
      </c>
      <c r="S1150">
        <v>48422</v>
      </c>
      <c r="T1150">
        <v>84.4</v>
      </c>
      <c r="U1150">
        <v>104</v>
      </c>
      <c r="V1150">
        <v>0</v>
      </c>
      <c r="W1150">
        <v>89.2</v>
      </c>
      <c r="X1150">
        <v>3.57</v>
      </c>
      <c r="Y1150">
        <v>0</v>
      </c>
    </row>
    <row r="1151" spans="1:25" x14ac:dyDescent="0.25">
      <c r="A1151" t="s">
        <v>58</v>
      </c>
      <c r="B1151">
        <f>_xlfn.XLOOKUP(Table4[[#This Row],[country]],Table2[country],Table2[country_id],FALSE)</f>
        <v>24</v>
      </c>
      <c r="C1151" t="s">
        <v>32</v>
      </c>
      <c r="D1151">
        <v>2025</v>
      </c>
      <c r="E1151">
        <f>_xlfn.XLOOKUP(Table4[[#This Row],[year]],Table1[year],Table1[year_id])</f>
        <v>16</v>
      </c>
      <c r="F1151" t="s">
        <v>27</v>
      </c>
      <c r="G1151" t="s">
        <v>28</v>
      </c>
      <c r="H1151" cm="1">
        <f t="array" ref="H1151">_xlfn.XLOOKUP(Table4[[#This Row],[vehicle_segment]]&amp;Table4[[#This Row],[powertrain_type]],Table3[vehicle_segment]&amp;Table3[powertrain_type],Table3[vehicle_id])</f>
        <v>1</v>
      </c>
      <c r="I1151">
        <v>25267</v>
      </c>
      <c r="J1151">
        <v>156110</v>
      </c>
      <c r="K1151">
        <v>104074</v>
      </c>
      <c r="L1151">
        <v>285451</v>
      </c>
      <c r="M1151">
        <v>8.85</v>
      </c>
      <c r="N1151">
        <v>82665</v>
      </c>
      <c r="O1151">
        <v>34.5</v>
      </c>
      <c r="P1151">
        <v>476</v>
      </c>
      <c r="Q1151">
        <v>1.7</v>
      </c>
      <c r="R1151">
        <v>0.311</v>
      </c>
      <c r="S1151">
        <v>49906</v>
      </c>
      <c r="T1151">
        <v>84.9</v>
      </c>
      <c r="U1151">
        <v>98.7</v>
      </c>
      <c r="V1151">
        <v>0</v>
      </c>
      <c r="W1151">
        <v>92.3</v>
      </c>
      <c r="X1151">
        <v>18.559999999999999</v>
      </c>
      <c r="Y1151">
        <v>0</v>
      </c>
    </row>
    <row r="1152" spans="1:25" x14ac:dyDescent="0.25">
      <c r="A1152" t="s">
        <v>58</v>
      </c>
      <c r="B1152">
        <f>_xlfn.XLOOKUP(Table4[[#This Row],[country]],Table2[country],Table2[country_id],FALSE)</f>
        <v>24</v>
      </c>
      <c r="C1152" t="s">
        <v>32</v>
      </c>
      <c r="D1152">
        <v>2025</v>
      </c>
      <c r="E1152">
        <f>_xlfn.XLOOKUP(Table4[[#This Row],[year]],Table1[year],Table1[year_id])</f>
        <v>16</v>
      </c>
      <c r="F1152" t="s">
        <v>29</v>
      </c>
      <c r="G1152" t="s">
        <v>28</v>
      </c>
      <c r="H1152" cm="1">
        <f t="array" ref="H1152">_xlfn.XLOOKUP(Table4[[#This Row],[vehicle_segment]]&amp;Table4[[#This Row],[powertrain_type]],Table3[vehicle_segment]&amp;Table3[powertrain_type],Table3[vehicle_id])</f>
        <v>2</v>
      </c>
      <c r="I1152">
        <v>293009</v>
      </c>
      <c r="J1152">
        <v>761717</v>
      </c>
      <c r="K1152">
        <v>103870</v>
      </c>
      <c r="L1152">
        <v>1158596</v>
      </c>
      <c r="M1152">
        <v>25.29</v>
      </c>
      <c r="N1152">
        <v>82665</v>
      </c>
      <c r="O1152">
        <v>34.5</v>
      </c>
      <c r="P1152">
        <v>476</v>
      </c>
      <c r="Q1152">
        <v>1.7</v>
      </c>
      <c r="R1152">
        <v>0.311</v>
      </c>
      <c r="S1152">
        <v>49906</v>
      </c>
      <c r="T1152">
        <v>84.9</v>
      </c>
      <c r="U1152">
        <v>98.7</v>
      </c>
      <c r="V1152">
        <v>0</v>
      </c>
      <c r="W1152">
        <v>92.3</v>
      </c>
      <c r="X1152">
        <v>19.510000000000002</v>
      </c>
      <c r="Y1152">
        <v>0</v>
      </c>
    </row>
    <row r="1153" spans="1:25" x14ac:dyDescent="0.25">
      <c r="A1153" t="s">
        <v>58</v>
      </c>
      <c r="B1153">
        <f>_xlfn.XLOOKUP(Table4[[#This Row],[country]],Table2[country],Table2[country_id],FALSE)</f>
        <v>24</v>
      </c>
      <c r="C1153" t="s">
        <v>32</v>
      </c>
      <c r="D1153">
        <v>2025</v>
      </c>
      <c r="E1153">
        <f>_xlfn.XLOOKUP(Table4[[#This Row],[year]],Table1[year],Table1[year_id])</f>
        <v>16</v>
      </c>
      <c r="F1153" t="s">
        <v>30</v>
      </c>
      <c r="G1153" t="s">
        <v>28</v>
      </c>
      <c r="H1153" cm="1">
        <f t="array" ref="H1153">_xlfn.XLOOKUP(Table4[[#This Row],[vehicle_segment]]&amp;Table4[[#This Row],[powertrain_type]],Table3[vehicle_segment]&amp;Table3[powertrain_type],Table3[vehicle_id])</f>
        <v>3</v>
      </c>
      <c r="I1153">
        <v>176462</v>
      </c>
      <c r="J1153">
        <v>280367</v>
      </c>
      <c r="K1153">
        <v>24380</v>
      </c>
      <c r="L1153">
        <v>481209</v>
      </c>
      <c r="M1153">
        <v>36.67</v>
      </c>
      <c r="N1153">
        <v>82665</v>
      </c>
      <c r="O1153">
        <v>34.5</v>
      </c>
      <c r="P1153">
        <v>476</v>
      </c>
      <c r="Q1153">
        <v>1.7</v>
      </c>
      <c r="R1153">
        <v>0.311</v>
      </c>
      <c r="S1153">
        <v>49906</v>
      </c>
      <c r="T1153">
        <v>84.9</v>
      </c>
      <c r="U1153">
        <v>98.7</v>
      </c>
      <c r="V1153">
        <v>0</v>
      </c>
      <c r="W1153">
        <v>92.3</v>
      </c>
      <c r="X1153">
        <v>17.63</v>
      </c>
      <c r="Y1153">
        <v>0</v>
      </c>
    </row>
    <row r="1154" spans="1:25" x14ac:dyDescent="0.25">
      <c r="A1154" t="s">
        <v>59</v>
      </c>
      <c r="B1154">
        <f>_xlfn.XLOOKUP(Table4[[#This Row],[country]],Table2[country],Table2[country_id],FALSE)</f>
        <v>25</v>
      </c>
      <c r="C1154" t="s">
        <v>38</v>
      </c>
      <c r="D1154">
        <v>2010</v>
      </c>
      <c r="E1154">
        <f>_xlfn.XLOOKUP(Table4[[#This Row],[year]],Table1[year],Table1[year_id])</f>
        <v>1</v>
      </c>
      <c r="F1154" t="s">
        <v>27</v>
      </c>
      <c r="G1154" t="s">
        <v>28</v>
      </c>
      <c r="H1154" cm="1">
        <f t="array" ref="H1154">_xlfn.XLOOKUP(Table4[[#This Row],[vehicle_segment]]&amp;Table4[[#This Row],[powertrain_type]],Table3[vehicle_segment]&amp;Table3[powertrain_type],Table3[vehicle_id])</f>
        <v>1</v>
      </c>
      <c r="I1154">
        <v>630</v>
      </c>
      <c r="J1154">
        <v>1014179</v>
      </c>
      <c r="K1154">
        <v>676540</v>
      </c>
      <c r="L1154">
        <v>1691349</v>
      </c>
      <c r="M1154">
        <v>0.04</v>
      </c>
      <c r="N1154">
        <v>500</v>
      </c>
      <c r="O1154">
        <v>5.4</v>
      </c>
      <c r="P1154">
        <v>127</v>
      </c>
      <c r="Q1154">
        <v>0.79</v>
      </c>
      <c r="R1154">
        <v>0.11899999999999999</v>
      </c>
      <c r="S1154">
        <v>48771</v>
      </c>
      <c r="T1154">
        <v>80.5</v>
      </c>
      <c r="U1154">
        <v>1771.2</v>
      </c>
      <c r="V1154">
        <v>7536</v>
      </c>
      <c r="W1154">
        <v>40.4</v>
      </c>
      <c r="X1154">
        <v>0</v>
      </c>
      <c r="Y1154">
        <v>0</v>
      </c>
    </row>
    <row r="1155" spans="1:25" x14ac:dyDescent="0.25">
      <c r="A1155" t="s">
        <v>59</v>
      </c>
      <c r="B1155">
        <f>_xlfn.XLOOKUP(Table4[[#This Row],[country]],Table2[country],Table2[country_id],FALSE)</f>
        <v>25</v>
      </c>
      <c r="C1155" t="s">
        <v>38</v>
      </c>
      <c r="D1155">
        <v>2010</v>
      </c>
      <c r="E1155">
        <f>_xlfn.XLOOKUP(Table4[[#This Row],[year]],Table1[year],Table1[year_id])</f>
        <v>1</v>
      </c>
      <c r="F1155" t="s">
        <v>29</v>
      </c>
      <c r="G1155" t="s">
        <v>28</v>
      </c>
      <c r="H1155" cm="1">
        <f t="array" ref="H1155">_xlfn.XLOOKUP(Table4[[#This Row],[vehicle_segment]]&amp;Table4[[#This Row],[powertrain_type]],Table3[vehicle_segment]&amp;Table3[powertrain_type],Table3[vehicle_id])</f>
        <v>2</v>
      </c>
      <c r="I1155">
        <v>7603</v>
      </c>
      <c r="J1155">
        <v>6089352</v>
      </c>
      <c r="K1155">
        <v>831403</v>
      </c>
      <c r="L1155">
        <v>6928358</v>
      </c>
      <c r="M1155">
        <v>0.11</v>
      </c>
      <c r="N1155">
        <v>500</v>
      </c>
      <c r="O1155">
        <v>5.4</v>
      </c>
      <c r="P1155">
        <v>127</v>
      </c>
      <c r="Q1155">
        <v>0.79</v>
      </c>
      <c r="R1155">
        <v>0.11899999999999999</v>
      </c>
      <c r="S1155">
        <v>48771</v>
      </c>
      <c r="T1155">
        <v>80.5</v>
      </c>
      <c r="U1155">
        <v>1771.2</v>
      </c>
      <c r="V1155">
        <v>7536</v>
      </c>
      <c r="W1155">
        <v>40.4</v>
      </c>
      <c r="X1155">
        <v>0</v>
      </c>
      <c r="Y1155">
        <v>0</v>
      </c>
    </row>
    <row r="1156" spans="1:25" x14ac:dyDescent="0.25">
      <c r="A1156" t="s">
        <v>59</v>
      </c>
      <c r="B1156">
        <f>_xlfn.XLOOKUP(Table4[[#This Row],[country]],Table2[country],Table2[country_id],FALSE)</f>
        <v>25</v>
      </c>
      <c r="C1156" t="s">
        <v>38</v>
      </c>
      <c r="D1156">
        <v>2010</v>
      </c>
      <c r="E1156">
        <f>_xlfn.XLOOKUP(Table4[[#This Row],[year]],Table1[year],Table1[year_id])</f>
        <v>1</v>
      </c>
      <c r="F1156" t="s">
        <v>30</v>
      </c>
      <c r="G1156" t="s">
        <v>28</v>
      </c>
      <c r="H1156" cm="1">
        <f t="array" ref="H1156">_xlfn.XLOOKUP(Table4[[#This Row],[vehicle_segment]]&amp;Table4[[#This Row],[powertrain_type]],Table3[vehicle_segment]&amp;Table3[powertrain_type],Table3[vehicle_id])</f>
        <v>3</v>
      </c>
      <c r="I1156">
        <v>4734</v>
      </c>
      <c r="J1156">
        <v>2634122</v>
      </c>
      <c r="K1156">
        <v>229466</v>
      </c>
      <c r="L1156">
        <v>2868322</v>
      </c>
      <c r="M1156">
        <v>0.17</v>
      </c>
      <c r="N1156">
        <v>500</v>
      </c>
      <c r="O1156">
        <v>5.4</v>
      </c>
      <c r="P1156">
        <v>127</v>
      </c>
      <c r="Q1156">
        <v>0.79</v>
      </c>
      <c r="R1156">
        <v>0.11899999999999999</v>
      </c>
      <c r="S1156">
        <v>48771</v>
      </c>
      <c r="T1156">
        <v>80.5</v>
      </c>
      <c r="U1156">
        <v>1771.2</v>
      </c>
      <c r="V1156">
        <v>7536</v>
      </c>
      <c r="W1156">
        <v>40.4</v>
      </c>
      <c r="X1156">
        <v>0</v>
      </c>
      <c r="Y1156">
        <v>0</v>
      </c>
    </row>
    <row r="1157" spans="1:25" x14ac:dyDescent="0.25">
      <c r="A1157" t="s">
        <v>59</v>
      </c>
      <c r="B1157">
        <f>_xlfn.XLOOKUP(Table4[[#This Row],[country]],Table2[country],Table2[country_id],FALSE)</f>
        <v>25</v>
      </c>
      <c r="C1157" t="s">
        <v>38</v>
      </c>
      <c r="D1157">
        <v>2011</v>
      </c>
      <c r="E1157">
        <f>_xlfn.XLOOKUP(Table4[[#This Row],[year]],Table1[year],Table1[year_id])</f>
        <v>2</v>
      </c>
      <c r="F1157" t="s">
        <v>27</v>
      </c>
      <c r="G1157" t="s">
        <v>28</v>
      </c>
      <c r="H1157" cm="1">
        <f t="array" ref="H1157">_xlfn.XLOOKUP(Table4[[#This Row],[vehicle_segment]]&amp;Table4[[#This Row],[powertrain_type]],Table3[vehicle_segment]&amp;Table3[powertrain_type],Table3[vehicle_id])</f>
        <v>1</v>
      </c>
      <c r="I1157">
        <v>1408</v>
      </c>
      <c r="J1157">
        <v>1148891</v>
      </c>
      <c r="K1157">
        <v>765928</v>
      </c>
      <c r="L1157">
        <v>1916227</v>
      </c>
      <c r="M1157">
        <v>7.0000000000000007E-2</v>
      </c>
      <c r="N1157">
        <v>2327</v>
      </c>
      <c r="O1157">
        <v>6.7</v>
      </c>
      <c r="P1157">
        <v>135</v>
      </c>
      <c r="Q1157">
        <v>0.73299999999999998</v>
      </c>
      <c r="R1157">
        <v>0.121</v>
      </c>
      <c r="S1157">
        <v>50576</v>
      </c>
      <c r="T1157">
        <v>81</v>
      </c>
      <c r="U1157">
        <v>1767.4</v>
      </c>
      <c r="V1157">
        <v>7513</v>
      </c>
      <c r="W1157">
        <v>41.6</v>
      </c>
      <c r="X1157">
        <v>123.49</v>
      </c>
      <c r="Y1157">
        <v>0</v>
      </c>
    </row>
    <row r="1158" spans="1:25" x14ac:dyDescent="0.25">
      <c r="A1158" t="s">
        <v>59</v>
      </c>
      <c r="B1158">
        <f>_xlfn.XLOOKUP(Table4[[#This Row],[country]],Table2[country],Table2[country_id],FALSE)</f>
        <v>25</v>
      </c>
      <c r="C1158" t="s">
        <v>38</v>
      </c>
      <c r="D1158">
        <v>2011</v>
      </c>
      <c r="E1158">
        <f>_xlfn.XLOOKUP(Table4[[#This Row],[year]],Table1[year],Table1[year_id])</f>
        <v>2</v>
      </c>
      <c r="F1158" t="s">
        <v>29</v>
      </c>
      <c r="G1158" t="s">
        <v>28</v>
      </c>
      <c r="H1158" cm="1">
        <f t="array" ref="H1158">_xlfn.XLOOKUP(Table4[[#This Row],[vehicle_segment]]&amp;Table4[[#This Row],[powertrain_type]],Table3[vehicle_segment]&amp;Table3[powertrain_type],Table3[vehicle_id])</f>
        <v>2</v>
      </c>
      <c r="I1158">
        <v>16457</v>
      </c>
      <c r="J1158">
        <v>6881698</v>
      </c>
      <c r="K1158">
        <v>938413</v>
      </c>
      <c r="L1158">
        <v>7836568</v>
      </c>
      <c r="M1158">
        <v>0.21</v>
      </c>
      <c r="N1158">
        <v>2327</v>
      </c>
      <c r="O1158">
        <v>6.7</v>
      </c>
      <c r="P1158">
        <v>135</v>
      </c>
      <c r="Q1158">
        <v>0.73299999999999998</v>
      </c>
      <c r="R1158">
        <v>0.121</v>
      </c>
      <c r="S1158">
        <v>50576</v>
      </c>
      <c r="T1158">
        <v>81</v>
      </c>
      <c r="U1158">
        <v>1767.4</v>
      </c>
      <c r="V1158">
        <v>7513</v>
      </c>
      <c r="W1158">
        <v>41.6</v>
      </c>
      <c r="X1158">
        <v>116.45</v>
      </c>
      <c r="Y1158">
        <v>0</v>
      </c>
    </row>
    <row r="1159" spans="1:25" x14ac:dyDescent="0.25">
      <c r="A1159" t="s">
        <v>59</v>
      </c>
      <c r="B1159">
        <f>_xlfn.XLOOKUP(Table4[[#This Row],[country]],Table2[country],Table2[country_id],FALSE)</f>
        <v>25</v>
      </c>
      <c r="C1159" t="s">
        <v>38</v>
      </c>
      <c r="D1159">
        <v>2011</v>
      </c>
      <c r="E1159">
        <f>_xlfn.XLOOKUP(Table4[[#This Row],[year]],Table1[year],Table1[year_id])</f>
        <v>2</v>
      </c>
      <c r="F1159" t="s">
        <v>30</v>
      </c>
      <c r="G1159" t="s">
        <v>28</v>
      </c>
      <c r="H1159" cm="1">
        <f t="array" ref="H1159">_xlfn.XLOOKUP(Table4[[#This Row],[vehicle_segment]]&amp;Table4[[#This Row],[powertrain_type]],Table3[vehicle_segment]&amp;Table3[powertrain_type],Table3[vehicle_id])</f>
        <v>3</v>
      </c>
      <c r="I1159">
        <v>9932</v>
      </c>
      <c r="J1159">
        <v>2991604</v>
      </c>
      <c r="K1159">
        <v>260140</v>
      </c>
      <c r="L1159">
        <v>3261676</v>
      </c>
      <c r="M1159">
        <v>0.3</v>
      </c>
      <c r="N1159">
        <v>2327</v>
      </c>
      <c r="O1159">
        <v>6.7</v>
      </c>
      <c r="P1159">
        <v>135</v>
      </c>
      <c r="Q1159">
        <v>0.73299999999999998</v>
      </c>
      <c r="R1159">
        <v>0.121</v>
      </c>
      <c r="S1159">
        <v>50576</v>
      </c>
      <c r="T1159">
        <v>81</v>
      </c>
      <c r="U1159">
        <v>1767.4</v>
      </c>
      <c r="V1159">
        <v>7513</v>
      </c>
      <c r="W1159">
        <v>41.6</v>
      </c>
      <c r="X1159">
        <v>109.8</v>
      </c>
      <c r="Y1159">
        <v>0</v>
      </c>
    </row>
    <row r="1160" spans="1:25" x14ac:dyDescent="0.25">
      <c r="A1160" t="s">
        <v>59</v>
      </c>
      <c r="B1160">
        <f>_xlfn.XLOOKUP(Table4[[#This Row],[country]],Table2[country],Table2[country_id],FALSE)</f>
        <v>25</v>
      </c>
      <c r="C1160" t="s">
        <v>38</v>
      </c>
      <c r="D1160">
        <v>2012</v>
      </c>
      <c r="E1160">
        <f>_xlfn.XLOOKUP(Table4[[#This Row],[year]],Table1[year],Table1[year_id])</f>
        <v>3</v>
      </c>
      <c r="F1160" t="s">
        <v>27</v>
      </c>
      <c r="G1160" t="s">
        <v>28</v>
      </c>
      <c r="H1160" cm="1">
        <f t="array" ref="H1160">_xlfn.XLOOKUP(Table4[[#This Row],[vehicle_segment]]&amp;Table4[[#This Row],[powertrain_type]],Table3[vehicle_segment]&amp;Table3[powertrain_type],Table3[vehicle_id])</f>
        <v>1</v>
      </c>
      <c r="I1160">
        <v>2708</v>
      </c>
      <c r="J1160">
        <v>1287944</v>
      </c>
      <c r="K1160">
        <v>858629</v>
      </c>
      <c r="L1160">
        <v>2149281</v>
      </c>
      <c r="M1160">
        <v>0.13</v>
      </c>
      <c r="N1160">
        <v>4176</v>
      </c>
      <c r="O1160">
        <v>8.5</v>
      </c>
      <c r="P1160">
        <v>144</v>
      </c>
      <c r="Q1160">
        <v>0.69299999999999995</v>
      </c>
      <c r="R1160">
        <v>0.124</v>
      </c>
      <c r="S1160">
        <v>52387</v>
      </c>
      <c r="T1160">
        <v>81.400000000000006</v>
      </c>
      <c r="U1160">
        <v>1791.5</v>
      </c>
      <c r="V1160">
        <v>7430</v>
      </c>
      <c r="W1160">
        <v>42.7</v>
      </c>
      <c r="X1160">
        <v>92.33</v>
      </c>
      <c r="Y1160">
        <v>0</v>
      </c>
    </row>
    <row r="1161" spans="1:25" x14ac:dyDescent="0.25">
      <c r="A1161" t="s">
        <v>59</v>
      </c>
      <c r="B1161">
        <f>_xlfn.XLOOKUP(Table4[[#This Row],[country]],Table2[country],Table2[country_id],FALSE)</f>
        <v>25</v>
      </c>
      <c r="C1161" t="s">
        <v>38</v>
      </c>
      <c r="D1161">
        <v>2012</v>
      </c>
      <c r="E1161">
        <f>_xlfn.XLOOKUP(Table4[[#This Row],[year]],Table1[year],Table1[year_id])</f>
        <v>3</v>
      </c>
      <c r="F1161" t="s">
        <v>29</v>
      </c>
      <c r="G1161" t="s">
        <v>28</v>
      </c>
      <c r="H1161" cm="1">
        <f t="array" ref="H1161">_xlfn.XLOOKUP(Table4[[#This Row],[vehicle_segment]]&amp;Table4[[#This Row],[powertrain_type]],Table3[vehicle_segment]&amp;Table3[powertrain_type],Table3[vehicle_id])</f>
        <v>2</v>
      </c>
      <c r="I1161">
        <v>31001</v>
      </c>
      <c r="J1161">
        <v>7550782</v>
      </c>
      <c r="K1161">
        <v>1029652</v>
      </c>
      <c r="L1161">
        <v>8611435</v>
      </c>
      <c r="M1161">
        <v>0.36</v>
      </c>
      <c r="N1161">
        <v>4176</v>
      </c>
      <c r="O1161">
        <v>8.5</v>
      </c>
      <c r="P1161">
        <v>144</v>
      </c>
      <c r="Q1161">
        <v>0.69299999999999995</v>
      </c>
      <c r="R1161">
        <v>0.124</v>
      </c>
      <c r="S1161">
        <v>52387</v>
      </c>
      <c r="T1161">
        <v>81.400000000000006</v>
      </c>
      <c r="U1161">
        <v>1791.5</v>
      </c>
      <c r="V1161">
        <v>7430</v>
      </c>
      <c r="W1161">
        <v>42.7</v>
      </c>
      <c r="X1161">
        <v>88.38</v>
      </c>
      <c r="Y1161">
        <v>0</v>
      </c>
    </row>
    <row r="1162" spans="1:25" x14ac:dyDescent="0.25">
      <c r="A1162" t="s">
        <v>59</v>
      </c>
      <c r="B1162">
        <f>_xlfn.XLOOKUP(Table4[[#This Row],[country]],Table2[country],Table2[country_id],FALSE)</f>
        <v>25</v>
      </c>
      <c r="C1162" t="s">
        <v>38</v>
      </c>
      <c r="D1162">
        <v>2012</v>
      </c>
      <c r="E1162">
        <f>_xlfn.XLOOKUP(Table4[[#This Row],[year]],Table1[year],Table1[year_id])</f>
        <v>3</v>
      </c>
      <c r="F1162" t="s">
        <v>30</v>
      </c>
      <c r="G1162" t="s">
        <v>28</v>
      </c>
      <c r="H1162" cm="1">
        <f t="array" ref="H1162">_xlfn.XLOOKUP(Table4[[#This Row],[vehicle_segment]]&amp;Table4[[#This Row],[powertrain_type]],Table3[vehicle_segment]&amp;Table3[powertrain_type],Table3[vehicle_id])</f>
        <v>3</v>
      </c>
      <c r="I1162">
        <v>18456</v>
      </c>
      <c r="J1162">
        <v>3235864</v>
      </c>
      <c r="K1162">
        <v>281380</v>
      </c>
      <c r="L1162">
        <v>3535700</v>
      </c>
      <c r="M1162">
        <v>0.52</v>
      </c>
      <c r="N1162">
        <v>4176</v>
      </c>
      <c r="O1162">
        <v>8.5</v>
      </c>
      <c r="P1162">
        <v>144</v>
      </c>
      <c r="Q1162">
        <v>0.69299999999999995</v>
      </c>
      <c r="R1162">
        <v>0.124</v>
      </c>
      <c r="S1162">
        <v>52387</v>
      </c>
      <c r="T1162">
        <v>81.400000000000006</v>
      </c>
      <c r="U1162">
        <v>1791.5</v>
      </c>
      <c r="V1162">
        <v>7430</v>
      </c>
      <c r="W1162">
        <v>42.7</v>
      </c>
      <c r="X1162">
        <v>85.82</v>
      </c>
      <c r="Y1162">
        <v>0</v>
      </c>
    </row>
    <row r="1163" spans="1:25" x14ac:dyDescent="0.25">
      <c r="A1163" t="s">
        <v>59</v>
      </c>
      <c r="B1163">
        <f>_xlfn.XLOOKUP(Table4[[#This Row],[country]],Table2[country],Table2[country_id],FALSE)</f>
        <v>25</v>
      </c>
      <c r="C1163" t="s">
        <v>38</v>
      </c>
      <c r="D1163">
        <v>2013</v>
      </c>
      <c r="E1163">
        <f>_xlfn.XLOOKUP(Table4[[#This Row],[year]],Table1[year],Table1[year_id])</f>
        <v>4</v>
      </c>
      <c r="F1163" t="s">
        <v>27</v>
      </c>
      <c r="G1163" t="s">
        <v>28</v>
      </c>
      <c r="H1163" cm="1">
        <f t="array" ref="H1163">_xlfn.XLOOKUP(Table4[[#This Row],[vehicle_segment]]&amp;Table4[[#This Row],[powertrain_type]],Table3[vehicle_segment]&amp;Table3[powertrain_type],Table3[vehicle_id])</f>
        <v>1</v>
      </c>
      <c r="I1163">
        <v>4592</v>
      </c>
      <c r="J1163">
        <v>1402874</v>
      </c>
      <c r="K1163">
        <v>935249</v>
      </c>
      <c r="L1163">
        <v>2342715</v>
      </c>
      <c r="M1163">
        <v>0.2</v>
      </c>
      <c r="N1163">
        <v>6925</v>
      </c>
      <c r="O1163">
        <v>11.3</v>
      </c>
      <c r="P1163">
        <v>150</v>
      </c>
      <c r="Q1163">
        <v>0.66</v>
      </c>
      <c r="R1163">
        <v>0.128</v>
      </c>
      <c r="S1163">
        <v>53854</v>
      </c>
      <c r="T1163">
        <v>81.2</v>
      </c>
      <c r="U1163">
        <v>1809.3</v>
      </c>
      <c r="V1163">
        <v>7442</v>
      </c>
      <c r="W1163">
        <v>45.4</v>
      </c>
      <c r="X1163">
        <v>69.569999999999993</v>
      </c>
      <c r="Y1163">
        <v>0</v>
      </c>
    </row>
    <row r="1164" spans="1:25" x14ac:dyDescent="0.25">
      <c r="A1164" t="s">
        <v>59</v>
      </c>
      <c r="B1164">
        <f>_xlfn.XLOOKUP(Table4[[#This Row],[country]],Table2[country],Table2[country_id],FALSE)</f>
        <v>25</v>
      </c>
      <c r="C1164" t="s">
        <v>38</v>
      </c>
      <c r="D1164">
        <v>2013</v>
      </c>
      <c r="E1164">
        <f>_xlfn.XLOOKUP(Table4[[#This Row],[year]],Table1[year],Table1[year_id])</f>
        <v>4</v>
      </c>
      <c r="F1164" t="s">
        <v>29</v>
      </c>
      <c r="G1164" t="s">
        <v>28</v>
      </c>
      <c r="H1164" cm="1">
        <f t="array" ref="H1164">_xlfn.XLOOKUP(Table4[[#This Row],[vehicle_segment]]&amp;Table4[[#This Row],[powertrain_type]],Table3[vehicle_segment]&amp;Table3[powertrain_type],Table3[vehicle_id])</f>
        <v>2</v>
      </c>
      <c r="I1164">
        <v>53229</v>
      </c>
      <c r="J1164">
        <v>8317730</v>
      </c>
      <c r="K1164">
        <v>1134236</v>
      </c>
      <c r="L1164">
        <v>9505195</v>
      </c>
      <c r="M1164">
        <v>0.56000000000000005</v>
      </c>
      <c r="N1164">
        <v>6925</v>
      </c>
      <c r="O1164">
        <v>11.3</v>
      </c>
      <c r="P1164">
        <v>150</v>
      </c>
      <c r="Q1164">
        <v>0.66</v>
      </c>
      <c r="R1164">
        <v>0.128</v>
      </c>
      <c r="S1164">
        <v>53854</v>
      </c>
      <c r="T1164">
        <v>81.2</v>
      </c>
      <c r="U1164">
        <v>1809.3</v>
      </c>
      <c r="V1164">
        <v>7442</v>
      </c>
      <c r="W1164">
        <v>45.4</v>
      </c>
      <c r="X1164">
        <v>71.7</v>
      </c>
      <c r="Y1164">
        <v>0</v>
      </c>
    </row>
    <row r="1165" spans="1:25" x14ac:dyDescent="0.25">
      <c r="A1165" t="s">
        <v>59</v>
      </c>
      <c r="B1165">
        <f>_xlfn.XLOOKUP(Table4[[#This Row],[country]],Table2[country],Table2[country_id],FALSE)</f>
        <v>25</v>
      </c>
      <c r="C1165" t="s">
        <v>38</v>
      </c>
      <c r="D1165">
        <v>2013</v>
      </c>
      <c r="E1165">
        <f>_xlfn.XLOOKUP(Table4[[#This Row],[year]],Table1[year],Table1[year_id])</f>
        <v>4</v>
      </c>
      <c r="F1165" t="s">
        <v>30</v>
      </c>
      <c r="G1165" t="s">
        <v>28</v>
      </c>
      <c r="H1165" cm="1">
        <f t="array" ref="H1165">_xlfn.XLOOKUP(Table4[[#This Row],[vehicle_segment]]&amp;Table4[[#This Row],[powertrain_type]],Table3[vehicle_segment]&amp;Table3[powertrain_type],Table3[vehicle_id])</f>
        <v>3</v>
      </c>
      <c r="I1165">
        <v>31738</v>
      </c>
      <c r="J1165">
        <v>3566691</v>
      </c>
      <c r="K1165">
        <v>310147</v>
      </c>
      <c r="L1165">
        <v>3908576</v>
      </c>
      <c r="M1165">
        <v>0.81</v>
      </c>
      <c r="N1165">
        <v>6925</v>
      </c>
      <c r="O1165">
        <v>11.3</v>
      </c>
      <c r="P1165">
        <v>150</v>
      </c>
      <c r="Q1165">
        <v>0.66</v>
      </c>
      <c r="R1165">
        <v>0.128</v>
      </c>
      <c r="S1165">
        <v>53854</v>
      </c>
      <c r="T1165">
        <v>81.2</v>
      </c>
      <c r="U1165">
        <v>1809.3</v>
      </c>
      <c r="V1165">
        <v>7442</v>
      </c>
      <c r="W1165">
        <v>45.4</v>
      </c>
      <c r="X1165">
        <v>71.97</v>
      </c>
      <c r="Y1165">
        <v>0</v>
      </c>
    </row>
    <row r="1166" spans="1:25" x14ac:dyDescent="0.25">
      <c r="A1166" t="s">
        <v>59</v>
      </c>
      <c r="B1166">
        <f>_xlfn.XLOOKUP(Table4[[#This Row],[country]],Table2[country],Table2[country_id],FALSE)</f>
        <v>25</v>
      </c>
      <c r="C1166" t="s">
        <v>38</v>
      </c>
      <c r="D1166">
        <v>2014</v>
      </c>
      <c r="E1166">
        <f>_xlfn.XLOOKUP(Table4[[#This Row],[year]],Table1[year],Table1[year_id])</f>
        <v>5</v>
      </c>
      <c r="F1166" t="s">
        <v>27</v>
      </c>
      <c r="G1166" t="s">
        <v>28</v>
      </c>
      <c r="H1166" cm="1">
        <f t="array" ref="H1166">_xlfn.XLOOKUP(Table4[[#This Row],[vehicle_segment]]&amp;Table4[[#This Row],[powertrain_type]],Table3[vehicle_segment]&amp;Table3[powertrain_type],Table3[vehicle_id])</f>
        <v>1</v>
      </c>
      <c r="I1166">
        <v>6137</v>
      </c>
      <c r="J1166">
        <v>1478149</v>
      </c>
      <c r="K1166">
        <v>985432</v>
      </c>
      <c r="L1166">
        <v>2469718</v>
      </c>
      <c r="M1166">
        <v>0.25</v>
      </c>
      <c r="N1166">
        <v>10926</v>
      </c>
      <c r="O1166">
        <v>11.8</v>
      </c>
      <c r="P1166">
        <v>159</v>
      </c>
      <c r="Q1166">
        <v>0.63700000000000001</v>
      </c>
      <c r="R1166">
        <v>0.129</v>
      </c>
      <c r="S1166">
        <v>54924</v>
      </c>
      <c r="T1166">
        <v>81.8</v>
      </c>
      <c r="U1166">
        <v>1830.2</v>
      </c>
      <c r="V1166">
        <v>7419</v>
      </c>
      <c r="W1166">
        <v>45.7</v>
      </c>
      <c r="X1166">
        <v>33.65</v>
      </c>
      <c r="Y1166">
        <v>0</v>
      </c>
    </row>
    <row r="1167" spans="1:25" x14ac:dyDescent="0.25">
      <c r="A1167" t="s">
        <v>59</v>
      </c>
      <c r="B1167">
        <f>_xlfn.XLOOKUP(Table4[[#This Row],[country]],Table2[country],Table2[country_id],FALSE)</f>
        <v>25</v>
      </c>
      <c r="C1167" t="s">
        <v>38</v>
      </c>
      <c r="D1167">
        <v>2014</v>
      </c>
      <c r="E1167">
        <f>_xlfn.XLOOKUP(Table4[[#This Row],[year]],Table1[year],Table1[year_id])</f>
        <v>5</v>
      </c>
      <c r="F1167" t="s">
        <v>29</v>
      </c>
      <c r="G1167" t="s">
        <v>28</v>
      </c>
      <c r="H1167" cm="1">
        <f t="array" ref="H1167">_xlfn.XLOOKUP(Table4[[#This Row],[vehicle_segment]]&amp;Table4[[#This Row],[powertrain_type]],Table3[vehicle_segment]&amp;Table3[powertrain_type],Table3[vehicle_id])</f>
        <v>2</v>
      </c>
      <c r="I1167">
        <v>69305</v>
      </c>
      <c r="J1167">
        <v>8528977</v>
      </c>
      <c r="K1167">
        <v>1163042</v>
      </c>
      <c r="L1167">
        <v>9761324</v>
      </c>
      <c r="M1167">
        <v>0.71</v>
      </c>
      <c r="N1167">
        <v>10926</v>
      </c>
      <c r="O1167">
        <v>11.8</v>
      </c>
      <c r="P1167">
        <v>159</v>
      </c>
      <c r="Q1167">
        <v>0.63700000000000001</v>
      </c>
      <c r="R1167">
        <v>0.129</v>
      </c>
      <c r="S1167">
        <v>54924</v>
      </c>
      <c r="T1167">
        <v>81.8</v>
      </c>
      <c r="U1167">
        <v>1830.2</v>
      </c>
      <c r="V1167">
        <v>7419</v>
      </c>
      <c r="W1167">
        <v>45.7</v>
      </c>
      <c r="X1167">
        <v>30.2</v>
      </c>
      <c r="Y1167">
        <v>0</v>
      </c>
    </row>
    <row r="1168" spans="1:25" x14ac:dyDescent="0.25">
      <c r="A1168" t="s">
        <v>59</v>
      </c>
      <c r="B1168">
        <f>_xlfn.XLOOKUP(Table4[[#This Row],[country]],Table2[country],Table2[country_id],FALSE)</f>
        <v>25</v>
      </c>
      <c r="C1168" t="s">
        <v>38</v>
      </c>
      <c r="D1168">
        <v>2014</v>
      </c>
      <c r="E1168">
        <f>_xlfn.XLOOKUP(Table4[[#This Row],[year]],Table1[year],Table1[year_id])</f>
        <v>5</v>
      </c>
      <c r="F1168" t="s">
        <v>30</v>
      </c>
      <c r="G1168" t="s">
        <v>28</v>
      </c>
      <c r="H1168" cm="1">
        <f t="array" ref="H1168">_xlfn.XLOOKUP(Table4[[#This Row],[vehicle_segment]]&amp;Table4[[#This Row],[powertrain_type]],Table3[vehicle_segment]&amp;Table3[powertrain_type],Table3[vehicle_id])</f>
        <v>3</v>
      </c>
      <c r="I1168">
        <v>42126</v>
      </c>
      <c r="J1168">
        <v>3725739</v>
      </c>
      <c r="K1168">
        <v>323977</v>
      </c>
      <c r="L1168">
        <v>4091842</v>
      </c>
      <c r="M1168">
        <v>1.03</v>
      </c>
      <c r="N1168">
        <v>10926</v>
      </c>
      <c r="O1168">
        <v>11.8</v>
      </c>
      <c r="P1168">
        <v>159</v>
      </c>
      <c r="Q1168">
        <v>0.63700000000000001</v>
      </c>
      <c r="R1168">
        <v>0.129</v>
      </c>
      <c r="S1168">
        <v>54924</v>
      </c>
      <c r="T1168">
        <v>81.8</v>
      </c>
      <c r="U1168">
        <v>1830.2</v>
      </c>
      <c r="V1168">
        <v>7419</v>
      </c>
      <c r="W1168">
        <v>45.7</v>
      </c>
      <c r="X1168">
        <v>32.729999999999997</v>
      </c>
      <c r="Y1168">
        <v>0</v>
      </c>
    </row>
    <row r="1169" spans="1:25" x14ac:dyDescent="0.25">
      <c r="A1169" t="s">
        <v>59</v>
      </c>
      <c r="B1169">
        <f>_xlfn.XLOOKUP(Table4[[#This Row],[country]],Table2[country],Table2[country_id],FALSE)</f>
        <v>25</v>
      </c>
      <c r="C1169" t="s">
        <v>38</v>
      </c>
      <c r="D1169">
        <v>2015</v>
      </c>
      <c r="E1169">
        <f>_xlfn.XLOOKUP(Table4[[#This Row],[year]],Table1[year],Table1[year_id])</f>
        <v>6</v>
      </c>
      <c r="F1169" t="s">
        <v>27</v>
      </c>
      <c r="G1169" t="s">
        <v>28</v>
      </c>
      <c r="H1169" cm="1">
        <f t="array" ref="H1169">_xlfn.XLOOKUP(Table4[[#This Row],[vehicle_segment]]&amp;Table4[[#This Row],[powertrain_type]],Table3[vehicle_segment]&amp;Table3[powertrain_type],Table3[vehicle_id])</f>
        <v>1</v>
      </c>
      <c r="I1169">
        <v>7479</v>
      </c>
      <c r="J1169">
        <v>1540155</v>
      </c>
      <c r="K1169">
        <v>1026770</v>
      </c>
      <c r="L1169">
        <v>2574404</v>
      </c>
      <c r="M1169">
        <v>0.28999999999999998</v>
      </c>
      <c r="N1169">
        <v>14121</v>
      </c>
      <c r="O1169">
        <v>15</v>
      </c>
      <c r="P1169">
        <v>170</v>
      </c>
      <c r="Q1169">
        <v>0.623</v>
      </c>
      <c r="R1169">
        <v>0.128</v>
      </c>
      <c r="S1169">
        <v>57223</v>
      </c>
      <c r="T1169">
        <v>81.2</v>
      </c>
      <c r="U1169">
        <v>1849</v>
      </c>
      <c r="V1169">
        <v>7450</v>
      </c>
      <c r="W1169">
        <v>48.7</v>
      </c>
      <c r="X1169">
        <v>21.87</v>
      </c>
      <c r="Y1169">
        <v>0</v>
      </c>
    </row>
    <row r="1170" spans="1:25" x14ac:dyDescent="0.25">
      <c r="A1170" t="s">
        <v>59</v>
      </c>
      <c r="B1170">
        <f>_xlfn.XLOOKUP(Table4[[#This Row],[country]],Table2[country],Table2[country_id],FALSE)</f>
        <v>25</v>
      </c>
      <c r="C1170" t="s">
        <v>38</v>
      </c>
      <c r="D1170">
        <v>2015</v>
      </c>
      <c r="E1170">
        <f>_xlfn.XLOOKUP(Table4[[#This Row],[year]],Table1[year],Table1[year_id])</f>
        <v>6</v>
      </c>
      <c r="F1170" t="s">
        <v>29</v>
      </c>
      <c r="G1170" t="s">
        <v>28</v>
      </c>
      <c r="H1170" cm="1">
        <f t="array" ref="H1170">_xlfn.XLOOKUP(Table4[[#This Row],[vehicle_segment]]&amp;Table4[[#This Row],[powertrain_type]],Table3[vehicle_segment]&amp;Table3[powertrain_type],Table3[vehicle_id])</f>
        <v>2</v>
      </c>
      <c r="I1170">
        <v>85014</v>
      </c>
      <c r="J1170">
        <v>8938743</v>
      </c>
      <c r="K1170">
        <v>1218919</v>
      </c>
      <c r="L1170">
        <v>10242676</v>
      </c>
      <c r="M1170">
        <v>0.83</v>
      </c>
      <c r="N1170">
        <v>14121</v>
      </c>
      <c r="O1170">
        <v>15</v>
      </c>
      <c r="P1170">
        <v>170</v>
      </c>
      <c r="Q1170">
        <v>0.623</v>
      </c>
      <c r="R1170">
        <v>0.128</v>
      </c>
      <c r="S1170">
        <v>57223</v>
      </c>
      <c r="T1170">
        <v>81.2</v>
      </c>
      <c r="U1170">
        <v>1849</v>
      </c>
      <c r="V1170">
        <v>7450</v>
      </c>
      <c r="W1170">
        <v>48.7</v>
      </c>
      <c r="X1170">
        <v>22.67</v>
      </c>
      <c r="Y1170">
        <v>0</v>
      </c>
    </row>
    <row r="1171" spans="1:25" x14ac:dyDescent="0.25">
      <c r="A1171" t="s">
        <v>59</v>
      </c>
      <c r="B1171">
        <f>_xlfn.XLOOKUP(Table4[[#This Row],[country]],Table2[country],Table2[country_id],FALSE)</f>
        <v>25</v>
      </c>
      <c r="C1171" t="s">
        <v>38</v>
      </c>
      <c r="D1171">
        <v>2015</v>
      </c>
      <c r="E1171">
        <f>_xlfn.XLOOKUP(Table4[[#This Row],[year]],Table1[year],Table1[year_id])</f>
        <v>6</v>
      </c>
      <c r="F1171" t="s">
        <v>30</v>
      </c>
      <c r="G1171" t="s">
        <v>28</v>
      </c>
      <c r="H1171" cm="1">
        <f t="array" ref="H1171">_xlfn.XLOOKUP(Table4[[#This Row],[vehicle_segment]]&amp;Table4[[#This Row],[powertrain_type]],Table3[vehicle_segment]&amp;Table3[powertrain_type],Table3[vehicle_id])</f>
        <v>3</v>
      </c>
      <c r="I1171">
        <v>52552</v>
      </c>
      <c r="J1171">
        <v>3968886</v>
      </c>
      <c r="K1171">
        <v>345120</v>
      </c>
      <c r="L1171">
        <v>4366558</v>
      </c>
      <c r="M1171">
        <v>1.2</v>
      </c>
      <c r="N1171">
        <v>14121</v>
      </c>
      <c r="O1171">
        <v>15</v>
      </c>
      <c r="P1171">
        <v>170</v>
      </c>
      <c r="Q1171">
        <v>0.623</v>
      </c>
      <c r="R1171">
        <v>0.128</v>
      </c>
      <c r="S1171">
        <v>57223</v>
      </c>
      <c r="T1171">
        <v>81.2</v>
      </c>
      <c r="U1171">
        <v>1849</v>
      </c>
      <c r="V1171">
        <v>7450</v>
      </c>
      <c r="W1171">
        <v>48.7</v>
      </c>
      <c r="X1171">
        <v>24.75</v>
      </c>
      <c r="Y1171">
        <v>0</v>
      </c>
    </row>
    <row r="1172" spans="1:25" x14ac:dyDescent="0.25">
      <c r="A1172" t="s">
        <v>59</v>
      </c>
      <c r="B1172">
        <f>_xlfn.XLOOKUP(Table4[[#This Row],[country]],Table2[country],Table2[country_id],FALSE)</f>
        <v>25</v>
      </c>
      <c r="C1172" t="s">
        <v>38</v>
      </c>
      <c r="D1172">
        <v>2016</v>
      </c>
      <c r="E1172">
        <f>_xlfn.XLOOKUP(Table4[[#This Row],[year]],Table1[year],Table1[year_id])</f>
        <v>7</v>
      </c>
      <c r="F1172" t="s">
        <v>27</v>
      </c>
      <c r="G1172" t="s">
        <v>28</v>
      </c>
      <c r="H1172" cm="1">
        <f t="array" ref="H1172">_xlfn.XLOOKUP(Table4[[#This Row],[vehicle_segment]]&amp;Table4[[#This Row],[powertrain_type]],Table3[vehicle_segment]&amp;Table3[powertrain_type],Table3[vehicle_id])</f>
        <v>1</v>
      </c>
      <c r="I1172">
        <v>8265</v>
      </c>
      <c r="J1172">
        <v>1587086</v>
      </c>
      <c r="K1172">
        <v>1058057</v>
      </c>
      <c r="L1172">
        <v>2653408</v>
      </c>
      <c r="M1172">
        <v>0.31</v>
      </c>
      <c r="N1172">
        <v>17343</v>
      </c>
      <c r="O1172">
        <v>16.399999999999999</v>
      </c>
      <c r="P1172">
        <v>193</v>
      </c>
      <c r="Q1172">
        <v>0.64700000000000002</v>
      </c>
      <c r="R1172">
        <v>0.128</v>
      </c>
      <c r="S1172">
        <v>58692</v>
      </c>
      <c r="T1172">
        <v>81.7</v>
      </c>
      <c r="U1172">
        <v>1868.4</v>
      </c>
      <c r="V1172">
        <v>7530</v>
      </c>
      <c r="W1172">
        <v>50</v>
      </c>
      <c r="X1172">
        <v>10.51</v>
      </c>
      <c r="Y1172">
        <v>0</v>
      </c>
    </row>
    <row r="1173" spans="1:25" x14ac:dyDescent="0.25">
      <c r="A1173" t="s">
        <v>59</v>
      </c>
      <c r="B1173">
        <f>_xlfn.XLOOKUP(Table4[[#This Row],[country]],Table2[country],Table2[country_id],FALSE)</f>
        <v>25</v>
      </c>
      <c r="C1173" t="s">
        <v>38</v>
      </c>
      <c r="D1173">
        <v>2016</v>
      </c>
      <c r="E1173">
        <f>_xlfn.XLOOKUP(Table4[[#This Row],[year]],Table1[year],Table1[year_id])</f>
        <v>7</v>
      </c>
      <c r="F1173" t="s">
        <v>29</v>
      </c>
      <c r="G1173" t="s">
        <v>28</v>
      </c>
      <c r="H1173" cm="1">
        <f t="array" ref="H1173">_xlfn.XLOOKUP(Table4[[#This Row],[vehicle_segment]]&amp;Table4[[#This Row],[powertrain_type]],Table3[vehicle_segment]&amp;Table3[powertrain_type],Table3[vehicle_id])</f>
        <v>2</v>
      </c>
      <c r="I1173">
        <v>92934</v>
      </c>
      <c r="J1173">
        <v>9107189</v>
      </c>
      <c r="K1173">
        <v>1241889</v>
      </c>
      <c r="L1173">
        <v>10442012</v>
      </c>
      <c r="M1173">
        <v>0.89</v>
      </c>
      <c r="N1173">
        <v>17343</v>
      </c>
      <c r="O1173">
        <v>16.399999999999999</v>
      </c>
      <c r="P1173">
        <v>193</v>
      </c>
      <c r="Q1173">
        <v>0.64700000000000002</v>
      </c>
      <c r="R1173">
        <v>0.128</v>
      </c>
      <c r="S1173">
        <v>58692</v>
      </c>
      <c r="T1173">
        <v>81.7</v>
      </c>
      <c r="U1173">
        <v>1868.4</v>
      </c>
      <c r="V1173">
        <v>7530</v>
      </c>
      <c r="W1173">
        <v>50</v>
      </c>
      <c r="X1173">
        <v>9.32</v>
      </c>
      <c r="Y1173">
        <v>0</v>
      </c>
    </row>
    <row r="1174" spans="1:25" x14ac:dyDescent="0.25">
      <c r="A1174" t="s">
        <v>59</v>
      </c>
      <c r="B1174">
        <f>_xlfn.XLOOKUP(Table4[[#This Row],[country]],Table2[country],Table2[country_id],FALSE)</f>
        <v>25</v>
      </c>
      <c r="C1174" t="s">
        <v>38</v>
      </c>
      <c r="D1174">
        <v>2016</v>
      </c>
      <c r="E1174">
        <f>_xlfn.XLOOKUP(Table4[[#This Row],[year]],Table1[year],Table1[year_id])</f>
        <v>7</v>
      </c>
      <c r="F1174" t="s">
        <v>30</v>
      </c>
      <c r="G1174" t="s">
        <v>28</v>
      </c>
      <c r="H1174" cm="1">
        <f t="array" ref="H1174">_xlfn.XLOOKUP(Table4[[#This Row],[vehicle_segment]]&amp;Table4[[#This Row],[powertrain_type]],Table3[vehicle_segment]&amp;Table3[powertrain_type],Table3[vehicle_id])</f>
        <v>3</v>
      </c>
      <c r="I1174">
        <v>55199</v>
      </c>
      <c r="J1174">
        <v>3884355</v>
      </c>
      <c r="K1174">
        <v>337770</v>
      </c>
      <c r="L1174">
        <v>4277324</v>
      </c>
      <c r="M1174">
        <v>1.29</v>
      </c>
      <c r="N1174">
        <v>17343</v>
      </c>
      <c r="O1174">
        <v>16.399999999999999</v>
      </c>
      <c r="P1174">
        <v>193</v>
      </c>
      <c r="Q1174">
        <v>0.64700000000000002</v>
      </c>
      <c r="R1174">
        <v>0.128</v>
      </c>
      <c r="S1174">
        <v>58692</v>
      </c>
      <c r="T1174">
        <v>81.7</v>
      </c>
      <c r="U1174">
        <v>1868.4</v>
      </c>
      <c r="V1174">
        <v>7530</v>
      </c>
      <c r="W1174">
        <v>50</v>
      </c>
      <c r="X1174">
        <v>5.04</v>
      </c>
      <c r="Y1174">
        <v>0</v>
      </c>
    </row>
    <row r="1175" spans="1:25" x14ac:dyDescent="0.25">
      <c r="A1175" t="s">
        <v>59</v>
      </c>
      <c r="B1175">
        <f>_xlfn.XLOOKUP(Table4[[#This Row],[country]],Table2[country],Table2[country_id],FALSE)</f>
        <v>25</v>
      </c>
      <c r="C1175" t="s">
        <v>38</v>
      </c>
      <c r="D1175">
        <v>2017</v>
      </c>
      <c r="E1175">
        <f>_xlfn.XLOOKUP(Table4[[#This Row],[year]],Table1[year],Table1[year_id])</f>
        <v>8</v>
      </c>
      <c r="F1175" t="s">
        <v>27</v>
      </c>
      <c r="G1175" t="s">
        <v>28</v>
      </c>
      <c r="H1175" cm="1">
        <f t="array" ref="H1175">_xlfn.XLOOKUP(Table4[[#This Row],[vehicle_segment]]&amp;Table4[[#This Row],[powertrain_type]],Table3[vehicle_segment]&amp;Table3[powertrain_type],Table3[vehicle_id])</f>
        <v>1</v>
      </c>
      <c r="I1175">
        <v>14094</v>
      </c>
      <c r="J1175">
        <v>1520764</v>
      </c>
      <c r="K1175">
        <v>1013843</v>
      </c>
      <c r="L1175">
        <v>2548701</v>
      </c>
      <c r="M1175">
        <v>0.55000000000000004</v>
      </c>
      <c r="N1175">
        <v>20826</v>
      </c>
      <c r="O1175">
        <v>15.2</v>
      </c>
      <c r="P1175">
        <v>235</v>
      </c>
      <c r="Q1175">
        <v>0.66</v>
      </c>
      <c r="R1175">
        <v>0.13</v>
      </c>
      <c r="S1175">
        <v>60648</v>
      </c>
      <c r="T1175">
        <v>82.2</v>
      </c>
      <c r="U1175">
        <v>1899.1</v>
      </c>
      <c r="V1175">
        <v>7430</v>
      </c>
      <c r="W1175">
        <v>52.6</v>
      </c>
      <c r="X1175">
        <v>70.53</v>
      </c>
      <c r="Y1175">
        <v>0</v>
      </c>
    </row>
    <row r="1176" spans="1:25" x14ac:dyDescent="0.25">
      <c r="A1176" t="s">
        <v>59</v>
      </c>
      <c r="B1176">
        <f>_xlfn.XLOOKUP(Table4[[#This Row],[country]],Table2[country],Table2[country_id],FALSE)</f>
        <v>25</v>
      </c>
      <c r="C1176" t="s">
        <v>38</v>
      </c>
      <c r="D1176">
        <v>2017</v>
      </c>
      <c r="E1176">
        <f>_xlfn.XLOOKUP(Table4[[#This Row],[year]],Table1[year],Table1[year_id])</f>
        <v>8</v>
      </c>
      <c r="F1176" t="s">
        <v>29</v>
      </c>
      <c r="G1176" t="s">
        <v>28</v>
      </c>
      <c r="H1176" cm="1">
        <f t="array" ref="H1176">_xlfn.XLOOKUP(Table4[[#This Row],[vehicle_segment]]&amp;Table4[[#This Row],[powertrain_type]],Table3[vehicle_segment]&amp;Table3[powertrain_type],Table3[vehicle_id])</f>
        <v>2</v>
      </c>
      <c r="I1176">
        <v>159800</v>
      </c>
      <c r="J1176">
        <v>8759644</v>
      </c>
      <c r="K1176">
        <v>1194497</v>
      </c>
      <c r="L1176">
        <v>10113941</v>
      </c>
      <c r="M1176">
        <v>1.58</v>
      </c>
      <c r="N1176">
        <v>20826</v>
      </c>
      <c r="O1176">
        <v>15.2</v>
      </c>
      <c r="P1176">
        <v>235</v>
      </c>
      <c r="Q1176">
        <v>0.66</v>
      </c>
      <c r="R1176">
        <v>0.13</v>
      </c>
      <c r="S1176">
        <v>60648</v>
      </c>
      <c r="T1176">
        <v>82.2</v>
      </c>
      <c r="U1176">
        <v>1899.1</v>
      </c>
      <c r="V1176">
        <v>7430</v>
      </c>
      <c r="W1176">
        <v>52.6</v>
      </c>
      <c r="X1176">
        <v>71.95</v>
      </c>
      <c r="Y1176">
        <v>0</v>
      </c>
    </row>
    <row r="1177" spans="1:25" x14ac:dyDescent="0.25">
      <c r="A1177" t="s">
        <v>59</v>
      </c>
      <c r="B1177">
        <f>_xlfn.XLOOKUP(Table4[[#This Row],[country]],Table2[country],Table2[country_id],FALSE)</f>
        <v>25</v>
      </c>
      <c r="C1177" t="s">
        <v>38</v>
      </c>
      <c r="D1177">
        <v>2017</v>
      </c>
      <c r="E1177">
        <f>_xlfn.XLOOKUP(Table4[[#This Row],[year]],Table1[year],Table1[year_id])</f>
        <v>8</v>
      </c>
      <c r="F1177" t="s">
        <v>30</v>
      </c>
      <c r="G1177" t="s">
        <v>28</v>
      </c>
      <c r="H1177" cm="1">
        <f t="array" ref="H1177">_xlfn.XLOOKUP(Table4[[#This Row],[vehicle_segment]]&amp;Table4[[#This Row],[powertrain_type]],Table3[vehicle_segment]&amp;Table3[powertrain_type],Table3[vehicle_id])</f>
        <v>3</v>
      </c>
      <c r="I1177">
        <v>96883</v>
      </c>
      <c r="J1177">
        <v>3801421</v>
      </c>
      <c r="K1177">
        <v>330558</v>
      </c>
      <c r="L1177">
        <v>4228862</v>
      </c>
      <c r="M1177">
        <v>2.29</v>
      </c>
      <c r="N1177">
        <v>20826</v>
      </c>
      <c r="O1177">
        <v>15.2</v>
      </c>
      <c r="P1177">
        <v>235</v>
      </c>
      <c r="Q1177">
        <v>0.66</v>
      </c>
      <c r="R1177">
        <v>0.13</v>
      </c>
      <c r="S1177">
        <v>60648</v>
      </c>
      <c r="T1177">
        <v>82.2</v>
      </c>
      <c r="U1177">
        <v>1899.1</v>
      </c>
      <c r="V1177">
        <v>7430</v>
      </c>
      <c r="W1177">
        <v>52.6</v>
      </c>
      <c r="X1177">
        <v>75.52</v>
      </c>
      <c r="Y1177">
        <v>0</v>
      </c>
    </row>
    <row r="1178" spans="1:25" x14ac:dyDescent="0.25">
      <c r="A1178" t="s">
        <v>59</v>
      </c>
      <c r="B1178">
        <f>_xlfn.XLOOKUP(Table4[[#This Row],[country]],Table2[country],Table2[country_id],FALSE)</f>
        <v>25</v>
      </c>
      <c r="C1178" t="s">
        <v>38</v>
      </c>
      <c r="D1178">
        <v>2018</v>
      </c>
      <c r="E1178">
        <f>_xlfn.XLOOKUP(Table4[[#This Row],[year]],Table1[year],Table1[year_id])</f>
        <v>9</v>
      </c>
      <c r="F1178" t="s">
        <v>27</v>
      </c>
      <c r="G1178" t="s">
        <v>28</v>
      </c>
      <c r="H1178" cm="1">
        <f t="array" ref="H1178">_xlfn.XLOOKUP(Table4[[#This Row],[vehicle_segment]]&amp;Table4[[#This Row],[powertrain_type]],Table3[vehicle_segment]&amp;Table3[powertrain_type],Table3[vehicle_id])</f>
        <v>1</v>
      </c>
      <c r="I1178">
        <v>16868</v>
      </c>
      <c r="J1178">
        <v>1511770</v>
      </c>
      <c r="K1178">
        <v>1007847</v>
      </c>
      <c r="L1178">
        <v>2536485</v>
      </c>
      <c r="M1178">
        <v>0.67</v>
      </c>
      <c r="N1178">
        <v>31182</v>
      </c>
      <c r="O1178">
        <v>16.2</v>
      </c>
      <c r="P1178">
        <v>260</v>
      </c>
      <c r="Q1178">
        <v>0.69</v>
      </c>
      <c r="R1178">
        <v>0.13</v>
      </c>
      <c r="S1178">
        <v>62911</v>
      </c>
      <c r="T1178">
        <v>82.3</v>
      </c>
      <c r="U1178">
        <v>1900.8</v>
      </c>
      <c r="V1178">
        <v>7392</v>
      </c>
      <c r="W1178">
        <v>52.7</v>
      </c>
      <c r="X1178">
        <v>19.68</v>
      </c>
      <c r="Y1178">
        <v>0</v>
      </c>
    </row>
    <row r="1179" spans="1:25" x14ac:dyDescent="0.25">
      <c r="A1179" t="s">
        <v>59</v>
      </c>
      <c r="B1179">
        <f>_xlfn.XLOOKUP(Table4[[#This Row],[country]],Table2[country],Table2[country_id],FALSE)</f>
        <v>25</v>
      </c>
      <c r="C1179" t="s">
        <v>38</v>
      </c>
      <c r="D1179">
        <v>2018</v>
      </c>
      <c r="E1179">
        <f>_xlfn.XLOOKUP(Table4[[#This Row],[year]],Table1[year],Table1[year_id])</f>
        <v>9</v>
      </c>
      <c r="F1179" t="s">
        <v>29</v>
      </c>
      <c r="G1179" t="s">
        <v>28</v>
      </c>
      <c r="H1179" cm="1">
        <f t="array" ref="H1179">_xlfn.XLOOKUP(Table4[[#This Row],[vehicle_segment]]&amp;Table4[[#This Row],[powertrain_type]],Table3[vehicle_segment]&amp;Table3[powertrain_type],Table3[vehicle_id])</f>
        <v>2</v>
      </c>
      <c r="I1179">
        <v>194189</v>
      </c>
      <c r="J1179">
        <v>8823117</v>
      </c>
      <c r="K1179">
        <v>1203152</v>
      </c>
      <c r="L1179">
        <v>10220458</v>
      </c>
      <c r="M1179">
        <v>1.9</v>
      </c>
      <c r="N1179">
        <v>31182</v>
      </c>
      <c r="O1179">
        <v>16.2</v>
      </c>
      <c r="P1179">
        <v>260</v>
      </c>
      <c r="Q1179">
        <v>0.69</v>
      </c>
      <c r="R1179">
        <v>0.13</v>
      </c>
      <c r="S1179">
        <v>62911</v>
      </c>
      <c r="T1179">
        <v>82.3</v>
      </c>
      <c r="U1179">
        <v>1900.8</v>
      </c>
      <c r="V1179">
        <v>7392</v>
      </c>
      <c r="W1179">
        <v>52.7</v>
      </c>
      <c r="X1179">
        <v>21.52</v>
      </c>
      <c r="Y1179">
        <v>0</v>
      </c>
    </row>
    <row r="1180" spans="1:25" x14ac:dyDescent="0.25">
      <c r="A1180" t="s">
        <v>59</v>
      </c>
      <c r="B1180">
        <f>_xlfn.XLOOKUP(Table4[[#This Row],[country]],Table2[country],Table2[country_id],FALSE)</f>
        <v>25</v>
      </c>
      <c r="C1180" t="s">
        <v>38</v>
      </c>
      <c r="D1180">
        <v>2018</v>
      </c>
      <c r="E1180">
        <f>_xlfn.XLOOKUP(Table4[[#This Row],[year]],Table1[year],Table1[year_id])</f>
        <v>9</v>
      </c>
      <c r="F1180" t="s">
        <v>30</v>
      </c>
      <c r="G1180" t="s">
        <v>28</v>
      </c>
      <c r="H1180" cm="1">
        <f t="array" ref="H1180">_xlfn.XLOOKUP(Table4[[#This Row],[vehicle_segment]]&amp;Table4[[#This Row],[powertrain_type]],Table3[vehicle_segment]&amp;Table3[powertrain_type],Table3[vehicle_id])</f>
        <v>3</v>
      </c>
      <c r="I1180">
        <v>118883</v>
      </c>
      <c r="J1180">
        <v>3860591</v>
      </c>
      <c r="K1180">
        <v>335704</v>
      </c>
      <c r="L1180">
        <v>4315178</v>
      </c>
      <c r="M1180">
        <v>2.75</v>
      </c>
      <c r="N1180">
        <v>31182</v>
      </c>
      <c r="O1180">
        <v>16.2</v>
      </c>
      <c r="P1180">
        <v>260</v>
      </c>
      <c r="Q1180">
        <v>0.69</v>
      </c>
      <c r="R1180">
        <v>0.13</v>
      </c>
      <c r="S1180">
        <v>62911</v>
      </c>
      <c r="T1180">
        <v>82.3</v>
      </c>
      <c r="U1180">
        <v>1900.8</v>
      </c>
      <c r="V1180">
        <v>7392</v>
      </c>
      <c r="W1180">
        <v>52.7</v>
      </c>
      <c r="X1180">
        <v>22.71</v>
      </c>
      <c r="Y1180">
        <v>0</v>
      </c>
    </row>
    <row r="1181" spans="1:25" x14ac:dyDescent="0.25">
      <c r="A1181" t="s">
        <v>59</v>
      </c>
      <c r="B1181">
        <f>_xlfn.XLOOKUP(Table4[[#This Row],[country]],Table2[country],Table2[country_id],FALSE)</f>
        <v>25</v>
      </c>
      <c r="C1181" t="s">
        <v>38</v>
      </c>
      <c r="D1181">
        <v>2019</v>
      </c>
      <c r="E1181">
        <f>_xlfn.XLOOKUP(Table4[[#This Row],[year]],Table1[year],Table1[year_id])</f>
        <v>10</v>
      </c>
      <c r="F1181" t="s">
        <v>27</v>
      </c>
      <c r="G1181" t="s">
        <v>28</v>
      </c>
      <c r="H1181" cm="1">
        <f t="array" ref="H1181">_xlfn.XLOOKUP(Table4[[#This Row],[vehicle_segment]]&amp;Table4[[#This Row],[powertrain_type]],Table3[vehicle_segment]&amp;Table3[powertrain_type],Table3[vehicle_id])</f>
        <v>1</v>
      </c>
      <c r="I1181">
        <v>17207</v>
      </c>
      <c r="J1181">
        <v>1550392</v>
      </c>
      <c r="K1181">
        <v>1033595</v>
      </c>
      <c r="L1181">
        <v>2601194</v>
      </c>
      <c r="M1181">
        <v>0.66</v>
      </c>
      <c r="N1181">
        <v>43795</v>
      </c>
      <c r="O1181">
        <v>18.2</v>
      </c>
      <c r="P1181">
        <v>301</v>
      </c>
      <c r="Q1181">
        <v>0.76300000000000001</v>
      </c>
      <c r="R1181">
        <v>0.13100000000000001</v>
      </c>
      <c r="S1181">
        <v>65046</v>
      </c>
      <c r="T1181">
        <v>82.5</v>
      </c>
      <c r="U1181">
        <v>1811.5</v>
      </c>
      <c r="V1181">
        <v>7619</v>
      </c>
      <c r="W1181">
        <v>56.2</v>
      </c>
      <c r="X1181">
        <v>2.0099999999999998</v>
      </c>
      <c r="Y1181">
        <v>0</v>
      </c>
    </row>
    <row r="1182" spans="1:25" x14ac:dyDescent="0.25">
      <c r="A1182" t="s">
        <v>59</v>
      </c>
      <c r="B1182">
        <f>_xlfn.XLOOKUP(Table4[[#This Row],[country]],Table2[country],Table2[country_id],FALSE)</f>
        <v>25</v>
      </c>
      <c r="C1182" t="s">
        <v>38</v>
      </c>
      <c r="D1182">
        <v>2019</v>
      </c>
      <c r="E1182">
        <f>_xlfn.XLOOKUP(Table4[[#This Row],[year]],Table1[year],Table1[year_id])</f>
        <v>10</v>
      </c>
      <c r="F1182" t="s">
        <v>29</v>
      </c>
      <c r="G1182" t="s">
        <v>28</v>
      </c>
      <c r="H1182" cm="1">
        <f t="array" ref="H1182">_xlfn.XLOOKUP(Table4[[#This Row],[vehicle_segment]]&amp;Table4[[#This Row],[powertrain_type]],Table3[vehicle_segment]&amp;Table3[powertrain_type],Table3[vehicle_id])</f>
        <v>2</v>
      </c>
      <c r="I1182">
        <v>194052</v>
      </c>
      <c r="J1182">
        <v>8864448</v>
      </c>
      <c r="K1182">
        <v>1208788</v>
      </c>
      <c r="L1182">
        <v>10267288</v>
      </c>
      <c r="M1182">
        <v>1.89</v>
      </c>
      <c r="N1182">
        <v>43795</v>
      </c>
      <c r="O1182">
        <v>18.2</v>
      </c>
      <c r="P1182">
        <v>301</v>
      </c>
      <c r="Q1182">
        <v>0.76300000000000001</v>
      </c>
      <c r="R1182">
        <v>0.13100000000000001</v>
      </c>
      <c r="S1182">
        <v>65046</v>
      </c>
      <c r="T1182">
        <v>82.5</v>
      </c>
      <c r="U1182">
        <v>1811.5</v>
      </c>
      <c r="V1182">
        <v>7619</v>
      </c>
      <c r="W1182">
        <v>56.2</v>
      </c>
      <c r="X1182">
        <v>-7.0000000000000007E-2</v>
      </c>
      <c r="Y1182">
        <v>0</v>
      </c>
    </row>
    <row r="1183" spans="1:25" x14ac:dyDescent="0.25">
      <c r="A1183" t="s">
        <v>59</v>
      </c>
      <c r="B1183">
        <f>_xlfn.XLOOKUP(Table4[[#This Row],[country]],Table2[country],Table2[country_id],FALSE)</f>
        <v>25</v>
      </c>
      <c r="C1183" t="s">
        <v>38</v>
      </c>
      <c r="D1183">
        <v>2019</v>
      </c>
      <c r="E1183">
        <f>_xlfn.XLOOKUP(Table4[[#This Row],[year]],Table1[year],Table1[year_id])</f>
        <v>10</v>
      </c>
      <c r="F1183" t="s">
        <v>30</v>
      </c>
      <c r="G1183" t="s">
        <v>28</v>
      </c>
      <c r="H1183" cm="1">
        <f t="array" ref="H1183">_xlfn.XLOOKUP(Table4[[#This Row],[vehicle_segment]]&amp;Table4[[#This Row],[powertrain_type]],Table3[vehicle_segment]&amp;Table3[powertrain_type],Table3[vehicle_id])</f>
        <v>3</v>
      </c>
      <c r="I1183">
        <v>119406</v>
      </c>
      <c r="J1183">
        <v>3898677</v>
      </c>
      <c r="K1183">
        <v>339015</v>
      </c>
      <c r="L1183">
        <v>4357098</v>
      </c>
      <c r="M1183">
        <v>2.74</v>
      </c>
      <c r="N1183">
        <v>43795</v>
      </c>
      <c r="O1183">
        <v>18.2</v>
      </c>
      <c r="P1183">
        <v>301</v>
      </c>
      <c r="Q1183">
        <v>0.76300000000000001</v>
      </c>
      <c r="R1183">
        <v>0.13100000000000001</v>
      </c>
      <c r="S1183">
        <v>65046</v>
      </c>
      <c r="T1183">
        <v>82.5</v>
      </c>
      <c r="U1183">
        <v>1811.5</v>
      </c>
      <c r="V1183">
        <v>7619</v>
      </c>
      <c r="W1183">
        <v>56.2</v>
      </c>
      <c r="X1183">
        <v>0.44</v>
      </c>
      <c r="Y1183">
        <v>0</v>
      </c>
    </row>
    <row r="1184" spans="1:25" x14ac:dyDescent="0.25">
      <c r="A1184" t="s">
        <v>59</v>
      </c>
      <c r="B1184">
        <f>_xlfn.XLOOKUP(Table4[[#This Row],[country]],Table2[country],Table2[country_id],FALSE)</f>
        <v>25</v>
      </c>
      <c r="C1184" t="s">
        <v>38</v>
      </c>
      <c r="D1184">
        <v>2020</v>
      </c>
      <c r="E1184">
        <f>_xlfn.XLOOKUP(Table4[[#This Row],[year]],Table1[year],Table1[year_id])</f>
        <v>11</v>
      </c>
      <c r="F1184" t="s">
        <v>27</v>
      </c>
      <c r="G1184" t="s">
        <v>28</v>
      </c>
      <c r="H1184" cm="1">
        <f t="array" ref="H1184">_xlfn.XLOOKUP(Table4[[#This Row],[vehicle_segment]]&amp;Table4[[#This Row],[powertrain_type]],Table3[vehicle_segment]&amp;Table3[powertrain_type],Table3[vehicle_id])</f>
        <v>1</v>
      </c>
      <c r="I1184">
        <v>17860</v>
      </c>
      <c r="J1184">
        <v>1259676</v>
      </c>
      <c r="K1184">
        <v>839784</v>
      </c>
      <c r="L1184">
        <v>2117320</v>
      </c>
      <c r="M1184">
        <v>0.84</v>
      </c>
      <c r="N1184">
        <v>41745</v>
      </c>
      <c r="O1184">
        <v>19.899999999999999</v>
      </c>
      <c r="P1184">
        <v>337</v>
      </c>
      <c r="Q1184">
        <v>0.90300000000000002</v>
      </c>
      <c r="R1184">
        <v>0.13300000000000001</v>
      </c>
      <c r="S1184">
        <v>68832</v>
      </c>
      <c r="T1184">
        <v>82.6</v>
      </c>
      <c r="U1184">
        <v>1750.5</v>
      </c>
      <c r="V1184">
        <v>7564</v>
      </c>
      <c r="W1184">
        <v>56.7</v>
      </c>
      <c r="X1184">
        <v>3.79</v>
      </c>
      <c r="Y1184">
        <v>0</v>
      </c>
    </row>
    <row r="1185" spans="1:25" x14ac:dyDescent="0.25">
      <c r="A1185" t="s">
        <v>59</v>
      </c>
      <c r="B1185">
        <f>_xlfn.XLOOKUP(Table4[[#This Row],[country]],Table2[country],Table2[country_id],FALSE)</f>
        <v>25</v>
      </c>
      <c r="C1185" t="s">
        <v>38</v>
      </c>
      <c r="D1185">
        <v>2020</v>
      </c>
      <c r="E1185">
        <f>_xlfn.XLOOKUP(Table4[[#This Row],[year]],Table1[year],Table1[year_id])</f>
        <v>11</v>
      </c>
      <c r="F1185" t="s">
        <v>29</v>
      </c>
      <c r="G1185" t="s">
        <v>28</v>
      </c>
      <c r="H1185" cm="1">
        <f t="array" ref="H1185">_xlfn.XLOOKUP(Table4[[#This Row],[vehicle_segment]]&amp;Table4[[#This Row],[powertrain_type]],Table3[vehicle_segment]&amp;Table3[powertrain_type],Table3[vehicle_id])</f>
        <v>2</v>
      </c>
      <c r="I1185">
        <v>208174</v>
      </c>
      <c r="J1185">
        <v>7418173</v>
      </c>
      <c r="K1185">
        <v>1011569</v>
      </c>
      <c r="L1185">
        <v>8637916</v>
      </c>
      <c r="M1185">
        <v>2.41</v>
      </c>
      <c r="N1185">
        <v>41745</v>
      </c>
      <c r="O1185">
        <v>19.899999999999999</v>
      </c>
      <c r="P1185">
        <v>337</v>
      </c>
      <c r="Q1185">
        <v>0.90300000000000002</v>
      </c>
      <c r="R1185">
        <v>0.13300000000000001</v>
      </c>
      <c r="S1185">
        <v>68832</v>
      </c>
      <c r="T1185">
        <v>82.6</v>
      </c>
      <c r="U1185">
        <v>1750.5</v>
      </c>
      <c r="V1185">
        <v>7564</v>
      </c>
      <c r="W1185">
        <v>56.7</v>
      </c>
      <c r="X1185">
        <v>7.28</v>
      </c>
      <c r="Y1185">
        <v>0</v>
      </c>
    </row>
    <row r="1186" spans="1:25" x14ac:dyDescent="0.25">
      <c r="A1186" t="s">
        <v>59</v>
      </c>
      <c r="B1186">
        <f>_xlfn.XLOOKUP(Table4[[#This Row],[country]],Table2[country],Table2[country_id],FALSE)</f>
        <v>25</v>
      </c>
      <c r="C1186" t="s">
        <v>38</v>
      </c>
      <c r="D1186">
        <v>2020</v>
      </c>
      <c r="E1186">
        <f>_xlfn.XLOOKUP(Table4[[#This Row],[year]],Table1[year],Table1[year_id])</f>
        <v>11</v>
      </c>
      <c r="F1186" t="s">
        <v>30</v>
      </c>
      <c r="G1186" t="s">
        <v>28</v>
      </c>
      <c r="H1186" cm="1">
        <f t="array" ref="H1186">_xlfn.XLOOKUP(Table4[[#This Row],[vehicle_segment]]&amp;Table4[[#This Row],[powertrain_type]],Table3[vehicle_segment]&amp;Table3[powertrain_type],Table3[vehicle_id])</f>
        <v>3</v>
      </c>
      <c r="I1186">
        <v>123410</v>
      </c>
      <c r="J1186">
        <v>3135497</v>
      </c>
      <c r="K1186">
        <v>272652</v>
      </c>
      <c r="L1186">
        <v>3531559</v>
      </c>
      <c r="M1186">
        <v>3.49</v>
      </c>
      <c r="N1186">
        <v>41745</v>
      </c>
      <c r="O1186">
        <v>19.899999999999999</v>
      </c>
      <c r="P1186">
        <v>337</v>
      </c>
      <c r="Q1186">
        <v>0.90300000000000002</v>
      </c>
      <c r="R1186">
        <v>0.13300000000000001</v>
      </c>
      <c r="S1186">
        <v>68832</v>
      </c>
      <c r="T1186">
        <v>82.6</v>
      </c>
      <c r="U1186">
        <v>1750.5</v>
      </c>
      <c r="V1186">
        <v>7564</v>
      </c>
      <c r="W1186">
        <v>56.7</v>
      </c>
      <c r="X1186">
        <v>3.35</v>
      </c>
      <c r="Y1186">
        <v>0</v>
      </c>
    </row>
    <row r="1187" spans="1:25" x14ac:dyDescent="0.25">
      <c r="A1187" t="s">
        <v>59</v>
      </c>
      <c r="B1187">
        <f>_xlfn.XLOOKUP(Table4[[#This Row],[country]],Table2[country],Table2[country_id],FALSE)</f>
        <v>25</v>
      </c>
      <c r="C1187" t="s">
        <v>38</v>
      </c>
      <c r="D1187">
        <v>2021</v>
      </c>
      <c r="E1187">
        <f>_xlfn.XLOOKUP(Table4[[#This Row],[year]],Table1[year],Table1[year_id])</f>
        <v>12</v>
      </c>
      <c r="F1187" t="s">
        <v>27</v>
      </c>
      <c r="G1187" t="s">
        <v>28</v>
      </c>
      <c r="H1187" cm="1">
        <f t="array" ref="H1187">_xlfn.XLOOKUP(Table4[[#This Row],[vehicle_segment]]&amp;Table4[[#This Row],[powertrain_type]],Table3[vehicle_segment]&amp;Table3[powertrain_type],Table3[vehicle_id])</f>
        <v>1</v>
      </c>
      <c r="I1187">
        <v>32430</v>
      </c>
      <c r="J1187">
        <v>1343135</v>
      </c>
      <c r="K1187">
        <v>895424</v>
      </c>
      <c r="L1187">
        <v>2270989</v>
      </c>
      <c r="M1187">
        <v>1.43</v>
      </c>
      <c r="N1187">
        <v>50615</v>
      </c>
      <c r="O1187">
        <v>21.5</v>
      </c>
      <c r="P1187">
        <v>382</v>
      </c>
      <c r="Q1187">
        <v>1.107</v>
      </c>
      <c r="R1187">
        <v>0.13900000000000001</v>
      </c>
      <c r="S1187">
        <v>72246</v>
      </c>
      <c r="T1187">
        <v>83</v>
      </c>
      <c r="U1187">
        <v>1731.2</v>
      </c>
      <c r="V1187">
        <v>7498</v>
      </c>
      <c r="W1187">
        <v>61</v>
      </c>
      <c r="X1187">
        <v>81.58</v>
      </c>
      <c r="Y1187">
        <v>0</v>
      </c>
    </row>
    <row r="1188" spans="1:25" x14ac:dyDescent="0.25">
      <c r="A1188" t="s">
        <v>59</v>
      </c>
      <c r="B1188">
        <f>_xlfn.XLOOKUP(Table4[[#This Row],[country]],Table2[country],Table2[country_id],FALSE)</f>
        <v>25</v>
      </c>
      <c r="C1188" t="s">
        <v>38</v>
      </c>
      <c r="D1188">
        <v>2021</v>
      </c>
      <c r="E1188">
        <f>_xlfn.XLOOKUP(Table4[[#This Row],[year]],Table1[year],Table1[year_id])</f>
        <v>12</v>
      </c>
      <c r="F1188" t="s">
        <v>29</v>
      </c>
      <c r="G1188" t="s">
        <v>28</v>
      </c>
      <c r="H1188" cm="1">
        <f t="array" ref="H1188">_xlfn.XLOOKUP(Table4[[#This Row],[vehicle_segment]]&amp;Table4[[#This Row],[powertrain_type]],Table3[vehicle_segment]&amp;Table3[powertrain_type],Table3[vehicle_id])</f>
        <v>2</v>
      </c>
      <c r="I1188">
        <v>374652</v>
      </c>
      <c r="J1188">
        <v>7751025</v>
      </c>
      <c r="K1188">
        <v>1056958</v>
      </c>
      <c r="L1188">
        <v>9182635</v>
      </c>
      <c r="M1188">
        <v>4.08</v>
      </c>
      <c r="N1188">
        <v>50615</v>
      </c>
      <c r="O1188">
        <v>21.5</v>
      </c>
      <c r="P1188">
        <v>382</v>
      </c>
      <c r="Q1188">
        <v>1.107</v>
      </c>
      <c r="R1188">
        <v>0.13900000000000001</v>
      </c>
      <c r="S1188">
        <v>72246</v>
      </c>
      <c r="T1188">
        <v>83</v>
      </c>
      <c r="U1188">
        <v>1731.2</v>
      </c>
      <c r="V1188">
        <v>7498</v>
      </c>
      <c r="W1188">
        <v>61</v>
      </c>
      <c r="X1188">
        <v>79.97</v>
      </c>
      <c r="Y1188">
        <v>0</v>
      </c>
    </row>
    <row r="1189" spans="1:25" x14ac:dyDescent="0.25">
      <c r="A1189" t="s">
        <v>59</v>
      </c>
      <c r="B1189">
        <f>_xlfn.XLOOKUP(Table4[[#This Row],[country]],Table2[country],Table2[country_id],FALSE)</f>
        <v>25</v>
      </c>
      <c r="C1189" t="s">
        <v>38</v>
      </c>
      <c r="D1189">
        <v>2021</v>
      </c>
      <c r="E1189">
        <f>_xlfn.XLOOKUP(Table4[[#This Row],[year]],Table1[year],Table1[year_id])</f>
        <v>12</v>
      </c>
      <c r="F1189" t="s">
        <v>30</v>
      </c>
      <c r="G1189" t="s">
        <v>28</v>
      </c>
      <c r="H1189" cm="1">
        <f t="array" ref="H1189">_xlfn.XLOOKUP(Table4[[#This Row],[vehicle_segment]]&amp;Table4[[#This Row],[powertrain_type]],Table3[vehicle_segment]&amp;Table3[powertrain_type],Table3[vehicle_id])</f>
        <v>3</v>
      </c>
      <c r="I1189">
        <v>221508</v>
      </c>
      <c r="J1189">
        <v>3240899</v>
      </c>
      <c r="K1189">
        <v>281817</v>
      </c>
      <c r="L1189">
        <v>3744224</v>
      </c>
      <c r="M1189">
        <v>5.92</v>
      </c>
      <c r="N1189">
        <v>50615</v>
      </c>
      <c r="O1189">
        <v>21.5</v>
      </c>
      <c r="P1189">
        <v>382</v>
      </c>
      <c r="Q1189">
        <v>1.107</v>
      </c>
      <c r="R1189">
        <v>0.13900000000000001</v>
      </c>
      <c r="S1189">
        <v>72246</v>
      </c>
      <c r="T1189">
        <v>83</v>
      </c>
      <c r="U1189">
        <v>1731.2</v>
      </c>
      <c r="V1189">
        <v>7498</v>
      </c>
      <c r="W1189">
        <v>61</v>
      </c>
      <c r="X1189">
        <v>79.489999999999995</v>
      </c>
      <c r="Y1189">
        <v>0</v>
      </c>
    </row>
    <row r="1190" spans="1:25" x14ac:dyDescent="0.25">
      <c r="A1190" t="s">
        <v>59</v>
      </c>
      <c r="B1190">
        <f>_xlfn.XLOOKUP(Table4[[#This Row],[country]],Table2[country],Table2[country_id],FALSE)</f>
        <v>25</v>
      </c>
      <c r="C1190" t="s">
        <v>38</v>
      </c>
      <c r="D1190">
        <v>2022</v>
      </c>
      <c r="E1190">
        <f>_xlfn.XLOOKUP(Table4[[#This Row],[year]],Table1[year],Table1[year_id])</f>
        <v>13</v>
      </c>
      <c r="F1190" t="s">
        <v>27</v>
      </c>
      <c r="G1190" t="s">
        <v>28</v>
      </c>
      <c r="H1190" cm="1">
        <f t="array" ref="H1190">_xlfn.XLOOKUP(Table4[[#This Row],[vehicle_segment]]&amp;Table4[[#This Row],[powertrain_type]],Table3[vehicle_segment]&amp;Table3[powertrain_type],Table3[vehicle_id])</f>
        <v>1</v>
      </c>
      <c r="I1190">
        <v>49964</v>
      </c>
      <c r="J1190">
        <v>1220420</v>
      </c>
      <c r="K1190">
        <v>813614</v>
      </c>
      <c r="L1190">
        <v>2083998</v>
      </c>
      <c r="M1190">
        <v>2.4</v>
      </c>
      <c r="N1190">
        <v>57225</v>
      </c>
      <c r="O1190">
        <v>21.8</v>
      </c>
      <c r="P1190">
        <v>405</v>
      </c>
      <c r="Q1190">
        <v>1.1930000000000001</v>
      </c>
      <c r="R1190">
        <v>0.14699999999999999</v>
      </c>
      <c r="S1190">
        <v>76960</v>
      </c>
      <c r="T1190">
        <v>83.2</v>
      </c>
      <c r="U1190">
        <v>1771.6</v>
      </c>
      <c r="V1190">
        <v>7502</v>
      </c>
      <c r="W1190">
        <v>63.9</v>
      </c>
      <c r="X1190">
        <v>54.07</v>
      </c>
      <c r="Y1190">
        <v>0</v>
      </c>
    </row>
    <row r="1191" spans="1:25" x14ac:dyDescent="0.25">
      <c r="A1191" t="s">
        <v>59</v>
      </c>
      <c r="B1191">
        <f>_xlfn.XLOOKUP(Table4[[#This Row],[country]],Table2[country],Table2[country_id],FALSE)</f>
        <v>25</v>
      </c>
      <c r="C1191" t="s">
        <v>38</v>
      </c>
      <c r="D1191">
        <v>2022</v>
      </c>
      <c r="E1191">
        <f>_xlfn.XLOOKUP(Table4[[#This Row],[year]],Table1[year],Table1[year_id])</f>
        <v>13</v>
      </c>
      <c r="F1191" t="s">
        <v>29</v>
      </c>
      <c r="G1191" t="s">
        <v>28</v>
      </c>
      <c r="H1191" cm="1">
        <f t="array" ref="H1191">_xlfn.XLOOKUP(Table4[[#This Row],[vehicle_segment]]&amp;Table4[[#This Row],[powertrain_type]],Table3[vehicle_segment]&amp;Table3[powertrain_type],Table3[vehicle_id])</f>
        <v>2</v>
      </c>
      <c r="I1191">
        <v>577091</v>
      </c>
      <c r="J1191">
        <v>6905886</v>
      </c>
      <c r="K1191">
        <v>941712</v>
      </c>
      <c r="L1191">
        <v>8424689</v>
      </c>
      <c r="M1191">
        <v>6.85</v>
      </c>
      <c r="N1191">
        <v>57225</v>
      </c>
      <c r="O1191">
        <v>21.8</v>
      </c>
      <c r="P1191">
        <v>405</v>
      </c>
      <c r="Q1191">
        <v>1.1930000000000001</v>
      </c>
      <c r="R1191">
        <v>0.14699999999999999</v>
      </c>
      <c r="S1191">
        <v>76960</v>
      </c>
      <c r="T1191">
        <v>83.2</v>
      </c>
      <c r="U1191">
        <v>1771.6</v>
      </c>
      <c r="V1191">
        <v>7502</v>
      </c>
      <c r="W1191">
        <v>63.9</v>
      </c>
      <c r="X1191">
        <v>54.03</v>
      </c>
      <c r="Y1191">
        <v>0</v>
      </c>
    </row>
    <row r="1192" spans="1:25" x14ac:dyDescent="0.25">
      <c r="A1192" t="s">
        <v>59</v>
      </c>
      <c r="B1192">
        <f>_xlfn.XLOOKUP(Table4[[#This Row],[country]],Table2[country],Table2[country_id],FALSE)</f>
        <v>25</v>
      </c>
      <c r="C1192" t="s">
        <v>38</v>
      </c>
      <c r="D1192">
        <v>2022</v>
      </c>
      <c r="E1192">
        <f>_xlfn.XLOOKUP(Table4[[#This Row],[year]],Table1[year],Table1[year_id])</f>
        <v>13</v>
      </c>
      <c r="F1192" t="s">
        <v>30</v>
      </c>
      <c r="G1192" t="s">
        <v>28</v>
      </c>
      <c r="H1192" cm="1">
        <f t="array" ref="H1192">_xlfn.XLOOKUP(Table4[[#This Row],[vehicle_segment]]&amp;Table4[[#This Row],[powertrain_type]],Table3[vehicle_segment]&amp;Table3[powertrain_type],Table3[vehicle_id])</f>
        <v>3</v>
      </c>
      <c r="I1192">
        <v>346870</v>
      </c>
      <c r="J1192">
        <v>2893773</v>
      </c>
      <c r="K1192">
        <v>251632</v>
      </c>
      <c r="L1192">
        <v>3492275</v>
      </c>
      <c r="M1192">
        <v>9.93</v>
      </c>
      <c r="N1192">
        <v>57225</v>
      </c>
      <c r="O1192">
        <v>21.8</v>
      </c>
      <c r="P1192">
        <v>405</v>
      </c>
      <c r="Q1192">
        <v>1.1930000000000001</v>
      </c>
      <c r="R1192">
        <v>0.14699999999999999</v>
      </c>
      <c r="S1192">
        <v>76960</v>
      </c>
      <c r="T1192">
        <v>83.2</v>
      </c>
      <c r="U1192">
        <v>1771.6</v>
      </c>
      <c r="V1192">
        <v>7502</v>
      </c>
      <c r="W1192">
        <v>63.9</v>
      </c>
      <c r="X1192">
        <v>56.59</v>
      </c>
      <c r="Y1192">
        <v>0</v>
      </c>
    </row>
    <row r="1193" spans="1:25" x14ac:dyDescent="0.25">
      <c r="A1193" t="s">
        <v>59</v>
      </c>
      <c r="B1193">
        <f>_xlfn.XLOOKUP(Table4[[#This Row],[country]],Table2[country],Table2[country_id],FALSE)</f>
        <v>25</v>
      </c>
      <c r="C1193" t="s">
        <v>38</v>
      </c>
      <c r="D1193">
        <v>2023</v>
      </c>
      <c r="E1193">
        <f>_xlfn.XLOOKUP(Table4[[#This Row],[year]],Table1[year],Table1[year_id])</f>
        <v>14</v>
      </c>
      <c r="F1193" t="s">
        <v>27</v>
      </c>
      <c r="G1193" t="s">
        <v>28</v>
      </c>
      <c r="H1193" cm="1">
        <f t="array" ref="H1193">_xlfn.XLOOKUP(Table4[[#This Row],[vehicle_segment]]&amp;Table4[[#This Row],[powertrain_type]],Table3[vehicle_segment]&amp;Table3[powertrain_type],Table3[vehicle_id])</f>
        <v>1</v>
      </c>
      <c r="I1193">
        <v>70685</v>
      </c>
      <c r="J1193">
        <v>1322159</v>
      </c>
      <c r="K1193">
        <v>881439</v>
      </c>
      <c r="L1193">
        <v>2274283</v>
      </c>
      <c r="M1193">
        <v>3.11</v>
      </c>
      <c r="N1193">
        <v>67646</v>
      </c>
      <c r="O1193">
        <v>24.1</v>
      </c>
      <c r="P1193">
        <v>440</v>
      </c>
      <c r="Q1193">
        <v>1.18</v>
      </c>
      <c r="R1193">
        <v>0.154</v>
      </c>
      <c r="S1193">
        <v>80821</v>
      </c>
      <c r="T1193">
        <v>82.9</v>
      </c>
      <c r="U1193">
        <v>1766.7</v>
      </c>
      <c r="V1193">
        <v>7587</v>
      </c>
      <c r="W1193">
        <v>65.7</v>
      </c>
      <c r="X1193">
        <v>41.47</v>
      </c>
      <c r="Y1193">
        <v>0</v>
      </c>
    </row>
    <row r="1194" spans="1:25" x14ac:dyDescent="0.25">
      <c r="A1194" t="s">
        <v>59</v>
      </c>
      <c r="B1194">
        <f>_xlfn.XLOOKUP(Table4[[#This Row],[country]],Table2[country],Table2[country_id],FALSE)</f>
        <v>25</v>
      </c>
      <c r="C1194" t="s">
        <v>38</v>
      </c>
      <c r="D1194">
        <v>2023</v>
      </c>
      <c r="E1194">
        <f>_xlfn.XLOOKUP(Table4[[#This Row],[year]],Table1[year],Table1[year_id])</f>
        <v>14</v>
      </c>
      <c r="F1194" t="s">
        <v>29</v>
      </c>
      <c r="G1194" t="s">
        <v>28</v>
      </c>
      <c r="H1194" cm="1">
        <f t="array" ref="H1194">_xlfn.XLOOKUP(Table4[[#This Row],[vehicle_segment]]&amp;Table4[[#This Row],[powertrain_type]],Table3[vehicle_segment]&amp;Table3[powertrain_type],Table3[vehicle_id])</f>
        <v>2</v>
      </c>
      <c r="I1194">
        <v>832852</v>
      </c>
      <c r="J1194">
        <v>7520574</v>
      </c>
      <c r="K1194">
        <v>1025533</v>
      </c>
      <c r="L1194">
        <v>9378959</v>
      </c>
      <c r="M1194">
        <v>8.8800000000000008</v>
      </c>
      <c r="N1194">
        <v>67646</v>
      </c>
      <c r="O1194">
        <v>24.1</v>
      </c>
      <c r="P1194">
        <v>440</v>
      </c>
      <c r="Q1194">
        <v>1.18</v>
      </c>
      <c r="R1194">
        <v>0.154</v>
      </c>
      <c r="S1194">
        <v>80821</v>
      </c>
      <c r="T1194">
        <v>82.9</v>
      </c>
      <c r="U1194">
        <v>1766.7</v>
      </c>
      <c r="V1194">
        <v>7587</v>
      </c>
      <c r="W1194">
        <v>65.7</v>
      </c>
      <c r="X1194">
        <v>44.32</v>
      </c>
      <c r="Y1194">
        <v>0</v>
      </c>
    </row>
    <row r="1195" spans="1:25" x14ac:dyDescent="0.25">
      <c r="A1195" t="s">
        <v>59</v>
      </c>
      <c r="B1195">
        <f>_xlfn.XLOOKUP(Table4[[#This Row],[country]],Table2[country],Table2[country_id],FALSE)</f>
        <v>25</v>
      </c>
      <c r="C1195" t="s">
        <v>38</v>
      </c>
      <c r="D1195">
        <v>2023</v>
      </c>
      <c r="E1195">
        <f>_xlfn.XLOOKUP(Table4[[#This Row],[year]],Table1[year],Table1[year_id])</f>
        <v>14</v>
      </c>
      <c r="F1195" t="s">
        <v>30</v>
      </c>
      <c r="G1195" t="s">
        <v>28</v>
      </c>
      <c r="H1195" cm="1">
        <f t="array" ref="H1195">_xlfn.XLOOKUP(Table4[[#This Row],[vehicle_segment]]&amp;Table4[[#This Row],[powertrain_type]],Table3[vehicle_segment]&amp;Table3[powertrain_type],Table3[vehicle_id])</f>
        <v>3</v>
      </c>
      <c r="I1195">
        <v>497358</v>
      </c>
      <c r="J1195">
        <v>3096091</v>
      </c>
      <c r="K1195">
        <v>269225</v>
      </c>
      <c r="L1195">
        <v>3862674</v>
      </c>
      <c r="M1195">
        <v>12.88</v>
      </c>
      <c r="N1195">
        <v>67646</v>
      </c>
      <c r="O1195">
        <v>24.1</v>
      </c>
      <c r="P1195">
        <v>440</v>
      </c>
      <c r="Q1195">
        <v>1.18</v>
      </c>
      <c r="R1195">
        <v>0.154</v>
      </c>
      <c r="S1195">
        <v>80821</v>
      </c>
      <c r="T1195">
        <v>82.9</v>
      </c>
      <c r="U1195">
        <v>1766.7</v>
      </c>
      <c r="V1195">
        <v>7587</v>
      </c>
      <c r="W1195">
        <v>65.7</v>
      </c>
      <c r="X1195">
        <v>43.38</v>
      </c>
      <c r="Y1195">
        <v>0</v>
      </c>
    </row>
    <row r="1196" spans="1:25" x14ac:dyDescent="0.25">
      <c r="A1196" t="s">
        <v>59</v>
      </c>
      <c r="B1196">
        <f>_xlfn.XLOOKUP(Table4[[#This Row],[country]],Table2[country],Table2[country_id],FALSE)</f>
        <v>25</v>
      </c>
      <c r="C1196" t="s">
        <v>38</v>
      </c>
      <c r="D1196">
        <v>2024</v>
      </c>
      <c r="E1196">
        <f>_xlfn.XLOOKUP(Table4[[#This Row],[year]],Table1[year],Table1[year_id])</f>
        <v>15</v>
      </c>
      <c r="F1196" t="s">
        <v>27</v>
      </c>
      <c r="G1196" t="s">
        <v>28</v>
      </c>
      <c r="H1196" cm="1">
        <f t="array" ref="H1196">_xlfn.XLOOKUP(Table4[[#This Row],[vehicle_segment]]&amp;Table4[[#This Row],[powertrain_type]],Table3[vehicle_segment]&amp;Table3[powertrain_type],Table3[vehicle_id])</f>
        <v>1</v>
      </c>
      <c r="I1196">
        <v>89968</v>
      </c>
      <c r="J1196">
        <v>1379392</v>
      </c>
      <c r="K1196">
        <v>919594</v>
      </c>
      <c r="L1196">
        <v>2388954</v>
      </c>
      <c r="M1196">
        <v>3.77</v>
      </c>
      <c r="N1196">
        <v>94953</v>
      </c>
      <c r="O1196">
        <v>24.8</v>
      </c>
      <c r="P1196">
        <v>467</v>
      </c>
      <c r="Q1196">
        <v>1.05</v>
      </c>
      <c r="R1196">
        <v>0.16200000000000001</v>
      </c>
      <c r="S1196">
        <v>82800</v>
      </c>
      <c r="T1196">
        <v>83.3</v>
      </c>
      <c r="U1196">
        <v>1708.2</v>
      </c>
      <c r="V1196">
        <v>7476</v>
      </c>
      <c r="W1196">
        <v>69.5</v>
      </c>
      <c r="X1196">
        <v>27.28</v>
      </c>
      <c r="Y1196">
        <v>0</v>
      </c>
    </row>
    <row r="1197" spans="1:25" x14ac:dyDescent="0.25">
      <c r="A1197" t="s">
        <v>59</v>
      </c>
      <c r="B1197">
        <f>_xlfn.XLOOKUP(Table4[[#This Row],[country]],Table2[country],Table2[country_id],FALSE)</f>
        <v>25</v>
      </c>
      <c r="C1197" t="s">
        <v>38</v>
      </c>
      <c r="D1197">
        <v>2024</v>
      </c>
      <c r="E1197">
        <f>_xlfn.XLOOKUP(Table4[[#This Row],[year]],Table1[year],Table1[year_id])</f>
        <v>15</v>
      </c>
      <c r="F1197" t="s">
        <v>29</v>
      </c>
      <c r="G1197" t="s">
        <v>28</v>
      </c>
      <c r="H1197" cm="1">
        <f t="array" ref="H1197">_xlfn.XLOOKUP(Table4[[#This Row],[vehicle_segment]]&amp;Table4[[#This Row],[powertrain_type]],Table3[vehicle_segment]&amp;Table3[powertrain_type],Table3[vehicle_id])</f>
        <v>2</v>
      </c>
      <c r="I1197">
        <v>1048083</v>
      </c>
      <c r="J1197">
        <v>7649368</v>
      </c>
      <c r="K1197">
        <v>1043096</v>
      </c>
      <c r="L1197">
        <v>9740547</v>
      </c>
      <c r="M1197">
        <v>10.76</v>
      </c>
      <c r="N1197">
        <v>94953</v>
      </c>
      <c r="O1197">
        <v>24.8</v>
      </c>
      <c r="P1197">
        <v>467</v>
      </c>
      <c r="Q1197">
        <v>1.05</v>
      </c>
      <c r="R1197">
        <v>0.16200000000000001</v>
      </c>
      <c r="S1197">
        <v>82800</v>
      </c>
      <c r="T1197">
        <v>83.3</v>
      </c>
      <c r="U1197">
        <v>1708.2</v>
      </c>
      <c r="V1197">
        <v>7476</v>
      </c>
      <c r="W1197">
        <v>69.5</v>
      </c>
      <c r="X1197">
        <v>25.84</v>
      </c>
      <c r="Y1197">
        <v>0</v>
      </c>
    </row>
    <row r="1198" spans="1:25" x14ac:dyDescent="0.25">
      <c r="A1198" t="s">
        <v>59</v>
      </c>
      <c r="B1198">
        <f>_xlfn.XLOOKUP(Table4[[#This Row],[country]],Table2[country],Table2[country_id],FALSE)</f>
        <v>25</v>
      </c>
      <c r="C1198" t="s">
        <v>38</v>
      </c>
      <c r="D1198">
        <v>2024</v>
      </c>
      <c r="E1198">
        <f>_xlfn.XLOOKUP(Table4[[#This Row],[year]],Table1[year],Table1[year_id])</f>
        <v>15</v>
      </c>
      <c r="F1198" t="s">
        <v>30</v>
      </c>
      <c r="G1198" t="s">
        <v>28</v>
      </c>
      <c r="H1198" cm="1">
        <f t="array" ref="H1198">_xlfn.XLOOKUP(Table4[[#This Row],[vehicle_segment]]&amp;Table4[[#This Row],[powertrain_type]],Table3[vehicle_segment]&amp;Table3[powertrain_type],Table3[vehicle_id])</f>
        <v>3</v>
      </c>
      <c r="I1198">
        <v>612716</v>
      </c>
      <c r="J1198">
        <v>3049289</v>
      </c>
      <c r="K1198">
        <v>265156</v>
      </c>
      <c r="L1198">
        <v>3927161</v>
      </c>
      <c r="M1198">
        <v>15.6</v>
      </c>
      <c r="N1198">
        <v>94953</v>
      </c>
      <c r="O1198">
        <v>24.8</v>
      </c>
      <c r="P1198">
        <v>467</v>
      </c>
      <c r="Q1198">
        <v>1.05</v>
      </c>
      <c r="R1198">
        <v>0.16200000000000001</v>
      </c>
      <c r="S1198">
        <v>82800</v>
      </c>
      <c r="T1198">
        <v>83.3</v>
      </c>
      <c r="U1198">
        <v>1708.2</v>
      </c>
      <c r="V1198">
        <v>7476</v>
      </c>
      <c r="W1198">
        <v>69.5</v>
      </c>
      <c r="X1198">
        <v>23.19</v>
      </c>
      <c r="Y1198">
        <v>0</v>
      </c>
    </row>
    <row r="1199" spans="1:25" x14ac:dyDescent="0.25">
      <c r="A1199" t="s">
        <v>59</v>
      </c>
      <c r="B1199">
        <f>_xlfn.XLOOKUP(Table4[[#This Row],[country]],Table2[country],Table2[country_id],FALSE)</f>
        <v>25</v>
      </c>
      <c r="C1199" t="s">
        <v>38</v>
      </c>
      <c r="D1199">
        <v>2025</v>
      </c>
      <c r="E1199">
        <f>_xlfn.XLOOKUP(Table4[[#This Row],[year]],Table1[year],Table1[year_id])</f>
        <v>16</v>
      </c>
      <c r="F1199" t="s">
        <v>27</v>
      </c>
      <c r="G1199" t="s">
        <v>28</v>
      </c>
      <c r="H1199" cm="1">
        <f t="array" ref="H1199">_xlfn.XLOOKUP(Table4[[#This Row],[vehicle_segment]]&amp;Table4[[#This Row],[powertrain_type]],Table3[vehicle_segment]&amp;Table3[powertrain_type],Table3[vehicle_id])</f>
        <v>1</v>
      </c>
      <c r="I1199">
        <v>105003</v>
      </c>
      <c r="J1199">
        <v>1393349</v>
      </c>
      <c r="K1199">
        <v>928899</v>
      </c>
      <c r="L1199">
        <v>2427251</v>
      </c>
      <c r="M1199">
        <v>4.33</v>
      </c>
      <c r="N1199">
        <v>131267</v>
      </c>
      <c r="O1199">
        <v>28.3</v>
      </c>
      <c r="P1199">
        <v>480</v>
      </c>
      <c r="Q1199">
        <v>0.94</v>
      </c>
      <c r="R1199">
        <v>0.16800000000000001</v>
      </c>
      <c r="S1199">
        <v>84696</v>
      </c>
      <c r="T1199">
        <v>83.1</v>
      </c>
      <c r="U1199">
        <v>1671.6</v>
      </c>
      <c r="V1199">
        <v>7446</v>
      </c>
      <c r="W1199">
        <v>72.5</v>
      </c>
      <c r="X1199">
        <v>16.71</v>
      </c>
      <c r="Y1199">
        <v>0</v>
      </c>
    </row>
    <row r="1200" spans="1:25" x14ac:dyDescent="0.25">
      <c r="A1200" t="s">
        <v>59</v>
      </c>
      <c r="B1200">
        <f>_xlfn.XLOOKUP(Table4[[#This Row],[country]],Table2[country],Table2[country_id],FALSE)</f>
        <v>25</v>
      </c>
      <c r="C1200" t="s">
        <v>38</v>
      </c>
      <c r="D1200">
        <v>2025</v>
      </c>
      <c r="E1200">
        <f>_xlfn.XLOOKUP(Table4[[#This Row],[year]],Table1[year],Table1[year_id])</f>
        <v>16</v>
      </c>
      <c r="F1200" t="s">
        <v>29</v>
      </c>
      <c r="G1200" t="s">
        <v>28</v>
      </c>
      <c r="H1200" cm="1">
        <f t="array" ref="H1200">_xlfn.XLOOKUP(Table4[[#This Row],[vehicle_segment]]&amp;Table4[[#This Row],[powertrain_type]],Table3[vehicle_segment]&amp;Table3[powertrain_type],Table3[vehicle_id])</f>
        <v>2</v>
      </c>
      <c r="I1200">
        <v>1233705</v>
      </c>
      <c r="J1200">
        <v>7698000</v>
      </c>
      <c r="K1200">
        <v>1049727</v>
      </c>
      <c r="L1200">
        <v>9981432</v>
      </c>
      <c r="M1200">
        <v>12.36</v>
      </c>
      <c r="N1200">
        <v>131267</v>
      </c>
      <c r="O1200">
        <v>28.3</v>
      </c>
      <c r="P1200">
        <v>480</v>
      </c>
      <c r="Q1200">
        <v>0.94</v>
      </c>
      <c r="R1200">
        <v>0.16800000000000001</v>
      </c>
      <c r="S1200">
        <v>84696</v>
      </c>
      <c r="T1200">
        <v>83.1</v>
      </c>
      <c r="U1200">
        <v>1671.6</v>
      </c>
      <c r="V1200">
        <v>7446</v>
      </c>
      <c r="W1200">
        <v>72.5</v>
      </c>
      <c r="X1200">
        <v>17.71</v>
      </c>
      <c r="Y1200">
        <v>0</v>
      </c>
    </row>
    <row r="1201" spans="1:25" x14ac:dyDescent="0.25">
      <c r="A1201" t="s">
        <v>59</v>
      </c>
      <c r="B1201">
        <f>_xlfn.XLOOKUP(Table4[[#This Row],[country]],Table2[country],Table2[country_id],FALSE)</f>
        <v>25</v>
      </c>
      <c r="C1201" t="s">
        <v>38</v>
      </c>
      <c r="D1201">
        <v>2025</v>
      </c>
      <c r="E1201">
        <f>_xlfn.XLOOKUP(Table4[[#This Row],[year]],Table1[year],Table1[year_id])</f>
        <v>16</v>
      </c>
      <c r="F1201" t="s">
        <v>30</v>
      </c>
      <c r="G1201" t="s">
        <v>28</v>
      </c>
      <c r="H1201" cm="1">
        <f t="array" ref="H1201">_xlfn.XLOOKUP(Table4[[#This Row],[vehicle_segment]]&amp;Table4[[#This Row],[powertrain_type]],Table3[vehicle_segment]&amp;Table3[powertrain_type],Table3[vehicle_id])</f>
        <v>3</v>
      </c>
      <c r="I1201">
        <v>730489</v>
      </c>
      <c r="J1201">
        <v>3077808</v>
      </c>
      <c r="K1201">
        <v>267636</v>
      </c>
      <c r="L1201">
        <v>4075933</v>
      </c>
      <c r="M1201">
        <v>17.920000000000002</v>
      </c>
      <c r="N1201">
        <v>131267</v>
      </c>
      <c r="O1201">
        <v>28.3</v>
      </c>
      <c r="P1201">
        <v>480</v>
      </c>
      <c r="Q1201">
        <v>0.94</v>
      </c>
      <c r="R1201">
        <v>0.16800000000000001</v>
      </c>
      <c r="S1201">
        <v>84696</v>
      </c>
      <c r="T1201">
        <v>83.1</v>
      </c>
      <c r="U1201">
        <v>1671.6</v>
      </c>
      <c r="V1201">
        <v>7446</v>
      </c>
      <c r="W1201">
        <v>72.5</v>
      </c>
      <c r="X1201">
        <v>19.22</v>
      </c>
      <c r="Y1201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workbookViewId="0">
      <selection activeCell="A2" sqref="A2"/>
    </sheetView>
  </sheetViews>
  <sheetFormatPr defaultRowHeight="15" x14ac:dyDescent="0.25"/>
  <cols>
    <col min="1" max="1" width="11.85546875" customWidth="1"/>
    <col min="2" max="2" width="15.28515625" customWidth="1"/>
    <col min="3" max="3" width="13.85546875" customWidth="1"/>
  </cols>
  <sheetData>
    <row r="1" spans="1:3" x14ac:dyDescent="0.25">
      <c r="A1" s="1" t="s">
        <v>22</v>
      </c>
      <c r="B1" s="1" t="s">
        <v>0</v>
      </c>
      <c r="C1" s="1" t="s">
        <v>1</v>
      </c>
    </row>
    <row r="2" spans="1:3" x14ac:dyDescent="0.25">
      <c r="A2">
        <v>1</v>
      </c>
      <c r="B2" t="s">
        <v>25</v>
      </c>
      <c r="C2" t="s">
        <v>26</v>
      </c>
    </row>
    <row r="3" spans="1:3" x14ac:dyDescent="0.25">
      <c r="A3">
        <v>2</v>
      </c>
      <c r="B3" t="s">
        <v>31</v>
      </c>
      <c r="C3" t="s">
        <v>32</v>
      </c>
    </row>
    <row r="4" spans="1:3" x14ac:dyDescent="0.25">
      <c r="A4">
        <v>3</v>
      </c>
      <c r="B4" t="s">
        <v>33</v>
      </c>
      <c r="C4" t="s">
        <v>32</v>
      </c>
    </row>
    <row r="5" spans="1:3" x14ac:dyDescent="0.25">
      <c r="A5">
        <v>4</v>
      </c>
      <c r="B5" t="s">
        <v>35</v>
      </c>
      <c r="C5" t="s">
        <v>36</v>
      </c>
    </row>
    <row r="6" spans="1:3" x14ac:dyDescent="0.25">
      <c r="A6">
        <v>5</v>
      </c>
      <c r="B6" t="s">
        <v>37</v>
      </c>
      <c r="C6" t="s">
        <v>38</v>
      </c>
    </row>
    <row r="7" spans="1:3" x14ac:dyDescent="0.25">
      <c r="A7">
        <v>6</v>
      </c>
      <c r="B7" t="s">
        <v>39</v>
      </c>
      <c r="C7" t="s">
        <v>40</v>
      </c>
    </row>
    <row r="8" spans="1:3" x14ac:dyDescent="0.25">
      <c r="A8">
        <v>7</v>
      </c>
      <c r="B8" t="s">
        <v>41</v>
      </c>
      <c r="C8" t="s">
        <v>32</v>
      </c>
    </row>
    <row r="9" spans="1:3" x14ac:dyDescent="0.25">
      <c r="A9">
        <v>8</v>
      </c>
      <c r="B9" t="s">
        <v>42</v>
      </c>
      <c r="C9" t="s">
        <v>32</v>
      </c>
    </row>
    <row r="10" spans="1:3" x14ac:dyDescent="0.25">
      <c r="A10">
        <v>9</v>
      </c>
      <c r="B10" t="s">
        <v>43</v>
      </c>
      <c r="C10" t="s">
        <v>40</v>
      </c>
    </row>
    <row r="11" spans="1:3" x14ac:dyDescent="0.25">
      <c r="A11">
        <v>10</v>
      </c>
      <c r="B11" t="s">
        <v>44</v>
      </c>
      <c r="C11" t="s">
        <v>40</v>
      </c>
    </row>
    <row r="12" spans="1:3" x14ac:dyDescent="0.25">
      <c r="A12">
        <v>11</v>
      </c>
      <c r="B12" t="s">
        <v>45</v>
      </c>
      <c r="C12" t="s">
        <v>32</v>
      </c>
    </row>
    <row r="13" spans="1:3" x14ac:dyDescent="0.25">
      <c r="A13">
        <v>12</v>
      </c>
      <c r="B13" t="s">
        <v>46</v>
      </c>
      <c r="C13" t="s">
        <v>40</v>
      </c>
    </row>
    <row r="14" spans="1:3" x14ac:dyDescent="0.25">
      <c r="A14">
        <v>13</v>
      </c>
      <c r="B14" t="s">
        <v>47</v>
      </c>
      <c r="C14" t="s">
        <v>38</v>
      </c>
    </row>
    <row r="15" spans="1:3" x14ac:dyDescent="0.25">
      <c r="A15">
        <v>14</v>
      </c>
      <c r="B15" t="s">
        <v>48</v>
      </c>
      <c r="C15" t="s">
        <v>32</v>
      </c>
    </row>
    <row r="16" spans="1:3" x14ac:dyDescent="0.25">
      <c r="A16">
        <v>15</v>
      </c>
      <c r="B16" t="s">
        <v>49</v>
      </c>
      <c r="C16" t="s">
        <v>32</v>
      </c>
    </row>
    <row r="17" spans="1:3" x14ac:dyDescent="0.25">
      <c r="A17">
        <v>16</v>
      </c>
      <c r="B17" t="s">
        <v>50</v>
      </c>
      <c r="C17" t="s">
        <v>32</v>
      </c>
    </row>
    <row r="18" spans="1:3" x14ac:dyDescent="0.25">
      <c r="A18">
        <v>17</v>
      </c>
      <c r="B18" t="s">
        <v>51</v>
      </c>
      <c r="C18" t="s">
        <v>32</v>
      </c>
    </row>
    <row r="19" spans="1:3" x14ac:dyDescent="0.25">
      <c r="A19">
        <v>18</v>
      </c>
      <c r="B19" t="s">
        <v>52</v>
      </c>
      <c r="C19" t="s">
        <v>40</v>
      </c>
    </row>
    <row r="20" spans="1:3" x14ac:dyDescent="0.25">
      <c r="A20">
        <v>19</v>
      </c>
      <c r="B20" t="s">
        <v>53</v>
      </c>
      <c r="C20" t="s">
        <v>32</v>
      </c>
    </row>
    <row r="21" spans="1:3" x14ac:dyDescent="0.25">
      <c r="A21">
        <v>20</v>
      </c>
      <c r="B21" t="s">
        <v>54</v>
      </c>
      <c r="C21" t="s">
        <v>32</v>
      </c>
    </row>
    <row r="22" spans="1:3" x14ac:dyDescent="0.25">
      <c r="A22">
        <v>21</v>
      </c>
      <c r="B22" t="s">
        <v>55</v>
      </c>
      <c r="C22" t="s">
        <v>32</v>
      </c>
    </row>
    <row r="23" spans="1:3" x14ac:dyDescent="0.25">
      <c r="A23">
        <v>22</v>
      </c>
      <c r="B23" t="s">
        <v>56</v>
      </c>
      <c r="C23" t="s">
        <v>40</v>
      </c>
    </row>
    <row r="24" spans="1:3" x14ac:dyDescent="0.25">
      <c r="A24">
        <v>23</v>
      </c>
      <c r="B24" t="s">
        <v>57</v>
      </c>
      <c r="C24" t="s">
        <v>32</v>
      </c>
    </row>
    <row r="25" spans="1:3" x14ac:dyDescent="0.25">
      <c r="A25">
        <v>24</v>
      </c>
      <c r="B25" t="s">
        <v>58</v>
      </c>
      <c r="C25" t="s">
        <v>32</v>
      </c>
    </row>
    <row r="26" spans="1:3" x14ac:dyDescent="0.25">
      <c r="A26">
        <v>25</v>
      </c>
      <c r="B26" t="s">
        <v>59</v>
      </c>
      <c r="C26" t="s">
        <v>38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sqref="A1:A17"/>
    </sheetView>
  </sheetViews>
  <sheetFormatPr defaultRowHeight="15" x14ac:dyDescent="0.25"/>
  <cols>
    <col min="1" max="1" width="9.140625" customWidth="1"/>
  </cols>
  <sheetData>
    <row r="1" spans="1:2" x14ac:dyDescent="0.25">
      <c r="A1" s="1" t="s">
        <v>23</v>
      </c>
      <c r="B1" s="1" t="s">
        <v>2</v>
      </c>
    </row>
    <row r="2" spans="1:2" x14ac:dyDescent="0.25">
      <c r="A2">
        <v>1</v>
      </c>
      <c r="B2">
        <v>2010</v>
      </c>
    </row>
    <row r="3" spans="1:2" x14ac:dyDescent="0.25">
      <c r="A3">
        <v>2</v>
      </c>
      <c r="B3">
        <v>2011</v>
      </c>
    </row>
    <row r="4" spans="1:2" x14ac:dyDescent="0.25">
      <c r="A4">
        <v>3</v>
      </c>
      <c r="B4">
        <v>2012</v>
      </c>
    </row>
    <row r="5" spans="1:2" x14ac:dyDescent="0.25">
      <c r="A5">
        <v>4</v>
      </c>
      <c r="B5">
        <v>2013</v>
      </c>
    </row>
    <row r="6" spans="1:2" x14ac:dyDescent="0.25">
      <c r="A6">
        <v>5</v>
      </c>
      <c r="B6">
        <v>2014</v>
      </c>
    </row>
    <row r="7" spans="1:2" x14ac:dyDescent="0.25">
      <c r="A7">
        <v>6</v>
      </c>
      <c r="B7">
        <v>2015</v>
      </c>
    </row>
    <row r="8" spans="1:2" x14ac:dyDescent="0.25">
      <c r="A8">
        <v>7</v>
      </c>
      <c r="B8">
        <v>2016</v>
      </c>
    </row>
    <row r="9" spans="1:2" x14ac:dyDescent="0.25">
      <c r="A9">
        <v>8</v>
      </c>
      <c r="B9">
        <v>2017</v>
      </c>
    </row>
    <row r="10" spans="1:2" x14ac:dyDescent="0.25">
      <c r="A10">
        <v>9</v>
      </c>
      <c r="B10">
        <v>2018</v>
      </c>
    </row>
    <row r="11" spans="1:2" x14ac:dyDescent="0.25">
      <c r="A11">
        <v>10</v>
      </c>
      <c r="B11">
        <v>2019</v>
      </c>
    </row>
    <row r="12" spans="1:2" x14ac:dyDescent="0.25">
      <c r="A12">
        <v>11</v>
      </c>
      <c r="B12">
        <v>2020</v>
      </c>
    </row>
    <row r="13" spans="1:2" x14ac:dyDescent="0.25">
      <c r="A13">
        <v>12</v>
      </c>
      <c r="B13">
        <v>2021</v>
      </c>
    </row>
    <row r="14" spans="1:2" x14ac:dyDescent="0.25">
      <c r="A14">
        <v>13</v>
      </c>
      <c r="B14">
        <v>2022</v>
      </c>
    </row>
    <row r="15" spans="1:2" x14ac:dyDescent="0.25">
      <c r="A15">
        <v>14</v>
      </c>
      <c r="B15">
        <v>2023</v>
      </c>
    </row>
    <row r="16" spans="1:2" x14ac:dyDescent="0.25">
      <c r="A16">
        <v>15</v>
      </c>
      <c r="B16">
        <v>2024</v>
      </c>
    </row>
    <row r="17" spans="1:2" x14ac:dyDescent="0.25">
      <c r="A17">
        <v>16</v>
      </c>
      <c r="B17">
        <v>2025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5" sqref="C5"/>
    </sheetView>
  </sheetViews>
  <sheetFormatPr defaultRowHeight="15" x14ac:dyDescent="0.25"/>
  <cols>
    <col min="1" max="1" width="16.140625" customWidth="1"/>
    <col min="2" max="2" width="20.85546875" customWidth="1"/>
    <col min="3" max="3" width="16.85546875" customWidth="1"/>
  </cols>
  <sheetData>
    <row r="1" spans="1:3" x14ac:dyDescent="0.25">
      <c r="A1" s="1" t="s">
        <v>24</v>
      </c>
      <c r="B1" s="1" t="s">
        <v>3</v>
      </c>
      <c r="C1" s="1" t="s">
        <v>4</v>
      </c>
    </row>
    <row r="2" spans="1:3" x14ac:dyDescent="0.25">
      <c r="A2">
        <v>1</v>
      </c>
      <c r="B2" t="s">
        <v>27</v>
      </c>
      <c r="C2" t="s">
        <v>28</v>
      </c>
    </row>
    <row r="3" spans="1:3" x14ac:dyDescent="0.25">
      <c r="A3">
        <v>2</v>
      </c>
      <c r="B3" t="s">
        <v>29</v>
      </c>
      <c r="C3" t="s">
        <v>28</v>
      </c>
    </row>
    <row r="4" spans="1:3" x14ac:dyDescent="0.25">
      <c r="A4">
        <v>3</v>
      </c>
      <c r="B4" t="s">
        <v>30</v>
      </c>
      <c r="C4" t="s">
        <v>28</v>
      </c>
    </row>
    <row r="5" spans="1:3" x14ac:dyDescent="0.25">
      <c r="A5">
        <v>4</v>
      </c>
      <c r="B5" t="s">
        <v>30</v>
      </c>
      <c r="C5" t="s">
        <v>34</v>
      </c>
    </row>
    <row r="6" spans="1:3" x14ac:dyDescent="0.25">
      <c r="A6">
        <v>5</v>
      </c>
      <c r="B6" t="s">
        <v>29</v>
      </c>
      <c r="C6" t="s">
        <v>34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3257785A-FA49-448D-8BAE-31C112A9ABA8}">
  <ds:schemaRefs/>
</ds:datastoreItem>
</file>

<file path=customXml/itemProps2.xml><?xml version="1.0" encoding="utf-8"?>
<ds:datastoreItem xmlns:ds="http://schemas.openxmlformats.org/officeDocument/2006/customXml" ds:itemID="{0E0C4809-8ABA-4AE2-BA94-4643647470EE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F60C360A-83EC-4176-9AFE-97F24B663A2A}">
  <ds:schemaRefs/>
</ds:datastoreItem>
</file>

<file path=customXml/itemProps4.xml><?xml version="1.0" encoding="utf-8"?>
<ds:datastoreItem xmlns:ds="http://schemas.openxmlformats.org/officeDocument/2006/customXml" ds:itemID="{D5996B69-25EF-48AC-AAFA-D55491F2C75B}">
  <ds:schemaRefs/>
</ds:datastoreItem>
</file>

<file path=customXml/itemProps5.xml><?xml version="1.0" encoding="utf-8"?>
<ds:datastoreItem xmlns:ds="http://schemas.openxmlformats.org/officeDocument/2006/customXml" ds:itemID="{3044E44C-0769-4521-A5CB-97F3A0BFD740}">
  <ds:schemaRefs/>
</ds:datastoreItem>
</file>

<file path=customXml/itemProps6.xml><?xml version="1.0" encoding="utf-8"?>
<ds:datastoreItem xmlns:ds="http://schemas.openxmlformats.org/officeDocument/2006/customXml" ds:itemID="{DD92BFE5-4D1A-40EE-A4A9-9D3F32A13CB4}">
  <ds:schemaRefs/>
</ds:datastoreItem>
</file>

<file path=customXml/itemProps7.xml><?xml version="1.0" encoding="utf-8"?>
<ds:datastoreItem xmlns:ds="http://schemas.openxmlformats.org/officeDocument/2006/customXml" ds:itemID="{E74A900E-BC29-4020-A533-E6FE8CFAA47E}">
  <ds:schemaRefs/>
</ds:datastoreItem>
</file>

<file path=customXml/itemProps8.xml><?xml version="1.0" encoding="utf-8"?>
<ds:datastoreItem xmlns:ds="http://schemas.openxmlformats.org/officeDocument/2006/customXml" ds:itemID="{1B7C9314-6280-494E-BD4A-612A3688FC54}">
  <ds:schemaRefs/>
</ds:datastoreItem>
</file>

<file path=customXml/itemProps9.xml><?xml version="1.0" encoding="utf-8"?>
<ds:datastoreItem xmlns:ds="http://schemas.openxmlformats.org/officeDocument/2006/customXml" ds:itemID="{A4697CFE-D64E-4F4D-BDA9-C8868270388E}">
  <ds:schemaRefs/>
</ds:datastoreItem>
</file>

<file path=customXml/itemProps10.xml><?xml version="1.0" encoding="utf-8"?>
<ds:datastoreItem xmlns:ds="http://schemas.openxmlformats.org/officeDocument/2006/customXml" ds:itemID="{7DFC4293-CF70-4586-BCCE-830EC6998FF1}">
  <ds:schemaRefs/>
</ds:datastoreItem>
</file>

<file path=customXml/itemProps11.xml><?xml version="1.0" encoding="utf-8"?>
<ds:datastoreItem xmlns:ds="http://schemas.openxmlformats.org/officeDocument/2006/customXml" ds:itemID="{0C0B87C0-1A6F-4CB7-A35B-B2C1B6811FEB}">
  <ds:schemaRefs/>
</ds:datastoreItem>
</file>

<file path=customXml/itemProps12.xml><?xml version="1.0" encoding="utf-8"?>
<ds:datastoreItem xmlns:ds="http://schemas.openxmlformats.org/officeDocument/2006/customXml" ds:itemID="{66B8EAF8-2AF5-4B75-BCCC-AA53729B65D1}">
  <ds:schemaRefs/>
</ds:datastoreItem>
</file>

<file path=customXml/itemProps13.xml><?xml version="1.0" encoding="utf-8"?>
<ds:datastoreItem xmlns:ds="http://schemas.openxmlformats.org/officeDocument/2006/customXml" ds:itemID="{124D189C-5172-4FD1-82DF-1E2D7819E7FD}">
  <ds:schemaRefs/>
</ds:datastoreItem>
</file>

<file path=customXml/itemProps14.xml><?xml version="1.0" encoding="utf-8"?>
<ds:datastoreItem xmlns:ds="http://schemas.openxmlformats.org/officeDocument/2006/customXml" ds:itemID="{1A9885FA-23ED-4896-B129-8F4064BAC829}">
  <ds:schemaRefs/>
</ds:datastoreItem>
</file>

<file path=customXml/itemProps15.xml><?xml version="1.0" encoding="utf-8"?>
<ds:datastoreItem xmlns:ds="http://schemas.openxmlformats.org/officeDocument/2006/customXml" ds:itemID="{BF715C21-A085-49EA-9A3C-B463E519DC8C}">
  <ds:schemaRefs/>
</ds:datastoreItem>
</file>

<file path=customXml/itemProps16.xml><?xml version="1.0" encoding="utf-8"?>
<ds:datastoreItem xmlns:ds="http://schemas.openxmlformats.org/officeDocument/2006/customXml" ds:itemID="{1EADA13B-FC94-4409-A1F3-CC5B57255261}">
  <ds:schemaRefs/>
</ds:datastoreItem>
</file>

<file path=customXml/itemProps17.xml><?xml version="1.0" encoding="utf-8"?>
<ds:datastoreItem xmlns:ds="http://schemas.openxmlformats.org/officeDocument/2006/customXml" ds:itemID="{7C1BB415-07EA-4696-8177-EEA54F60DEE3}">
  <ds:schemaRefs/>
</ds:datastoreItem>
</file>

<file path=customXml/itemProps18.xml><?xml version="1.0" encoding="utf-8"?>
<ds:datastoreItem xmlns:ds="http://schemas.openxmlformats.org/officeDocument/2006/customXml" ds:itemID="{45968B2A-41F3-4C50-A9AE-DD4156E67F54}">
  <ds:schemaRefs/>
</ds:datastoreItem>
</file>

<file path=customXml/itemProps19.xml><?xml version="1.0" encoding="utf-8"?>
<ds:datastoreItem xmlns:ds="http://schemas.openxmlformats.org/officeDocument/2006/customXml" ds:itemID="{E9475F2B-09B4-4560-A1A0-78395239C27E}">
  <ds:schemaRefs/>
</ds:datastoreItem>
</file>

<file path=customXml/itemProps20.xml><?xml version="1.0" encoding="utf-8"?>
<ds:datastoreItem xmlns:ds="http://schemas.openxmlformats.org/officeDocument/2006/customXml" ds:itemID="{9AAB9099-79EE-4C4C-8F3E-8DC687D6F3F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graphs</vt:lpstr>
      <vt:lpstr>fact_vehicle_sales</vt:lpstr>
      <vt:lpstr>dim_country</vt:lpstr>
      <vt:lpstr>dim_date</vt:lpstr>
      <vt:lpstr>dim_vehicle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Saleh, Nourhan (Nextcare Egypt)</cp:lastModifiedBy>
  <dcterms:created xsi:type="dcterms:W3CDTF">2026-04-06T17:38:51Z</dcterms:created>
  <dcterms:modified xsi:type="dcterms:W3CDTF">2026-04-07T07:54:39Z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2026-04-07T07:16:32Z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5265e09f-62c1-4f58-b54a-df44bde83a16</vt:lpwstr>
  </property>
  <property fmtid="{D5CDD505-2E9C-101B-9397-08002B2CF9AE}" pid="8" name="MSIP_Label_ce5f591a-3248-43e9-9b70-1ad50135772d_ContentBits">
    <vt:lpwstr>0</vt:lpwstr>
  </property>
  <property fmtid="{D5CDD505-2E9C-101B-9397-08002B2CF9AE}" pid="9" name="MSIP_Label_ce5f591a-3248-43e9-9b70-1ad50135772d_Tag">
    <vt:lpwstr>10, 0, 1, 1</vt:lpwstr>
  </property>
</Properties>
</file>